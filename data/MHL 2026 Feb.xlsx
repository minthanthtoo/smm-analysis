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15s\Desktop\SNow Feb exit report in march\"/>
    </mc:Choice>
  </mc:AlternateContent>
  <xr:revisionPtr revIDLastSave="0" documentId="13_ncr:1_{77C6BDCA-E4B3-4B9F-A182-8982E1A51A3F}" xr6:coauthVersionLast="47" xr6:coauthVersionMax="47" xr10:uidLastSave="{00000000-0000-0000-0000-000000000000}"/>
  <bookViews>
    <workbookView xWindow="-108" yWindow="-108" windowWidth="23256" windowHeight="12456" tabRatio="868" firstSheet="1" activeTab="1" xr2:uid="{00000000-000D-0000-FFFF-FFFF00000000}"/>
  </bookViews>
  <sheets>
    <sheet name="7-MTL" sheetId="1" state="hidden" r:id="rId1"/>
    <sheet name="Business Summary" sheetId="21" r:id="rId2"/>
    <sheet name="Ws Semi Ws " sheetId="22" state="hidden" r:id="rId3"/>
    <sheet name="Final MTL SKU Wise" sheetId="16" state="hidden" r:id="rId4"/>
    <sheet name="MTL Individual" sheetId="23" r:id="rId5"/>
    <sheet name="MTL SKU Analysis" sheetId="20" r:id="rId6"/>
    <sheet name="Township wise Analysis" sheetId="3" r:id="rId7"/>
    <sheet name="Final Town SKU wise Analysis" sheetId="17" r:id="rId8"/>
    <sheet name="Outlet Summary" sheetId="35" r:id="rId9"/>
    <sheet name="Outlet List " sheetId="37" r:id="rId10"/>
    <sheet name="Way Plan" sheetId="36" r:id="rId11"/>
    <sheet name="3-Van Wise SKU" sheetId="38" r:id="rId12"/>
    <sheet name="Competition Information" sheetId="34" r:id="rId13"/>
    <sheet name="Top 3 or 4 brands in Township" sheetId="18" state="hidden" r:id="rId14"/>
    <sheet name="Meiktila" sheetId="4" state="hidden" r:id="rId15"/>
    <sheet name="Tharzi" sheetId="5" state="hidden" r:id="rId16"/>
    <sheet name="Pyawbwe" sheetId="6" state="hidden" r:id="rId17"/>
    <sheet name="Wantwin" sheetId="7" state="hidden" r:id="rId18"/>
    <sheet name="Mahlaing" sheetId="8" state="hidden" r:id="rId19"/>
    <sheet name="Yamethin" sheetId="9" state="hidden" r:id="rId20"/>
    <sheet name="Kyaukpandaung" sheetId="10" state="hidden" r:id="rId21"/>
    <sheet name="Taungthar" sheetId="11" state="hidden" r:id="rId22"/>
    <sheet name="Myingan" sheetId="12" state="hidden" r:id="rId23"/>
    <sheet name="Bagan" sheetId="13" state="hidden" r:id="rId24"/>
    <sheet name="Pakokku" sheetId="14" state="hidden" r:id="rId25"/>
  </sheets>
  <externalReferences>
    <externalReference r:id="rId26"/>
    <externalReference r:id="rId27"/>
    <externalReference r:id="rId28"/>
    <externalReference r:id="rId29"/>
  </externalReferences>
  <definedNames>
    <definedName name="_xlnm._FilterDatabase" localSheetId="0" hidden="1">'7-MTL'!$A$3:$DL$36</definedName>
    <definedName name="_xlnm._FilterDatabase" localSheetId="23" hidden="1">Bagan!$A$4:$AS$21</definedName>
    <definedName name="_xlnm._FilterDatabase" localSheetId="7" hidden="1">'Final Town SKU wise Analysis'!$A$2:$AZ$61</definedName>
    <definedName name="_xlnm._FilterDatabase" localSheetId="20" hidden="1">Kyaukpandaung!$A$4:$AS$24</definedName>
    <definedName name="_xlnm._FilterDatabase" localSheetId="18" hidden="1">Mahlaing!$A$4:$AS$21</definedName>
    <definedName name="_xlnm._FilterDatabase" localSheetId="14" hidden="1">Meiktila!$A$4:$AU$31</definedName>
    <definedName name="_xlnm._FilterDatabase" localSheetId="4" hidden="1">'MTL Individual'!$A$3:$DR$52</definedName>
    <definedName name="_xlnm._FilterDatabase" localSheetId="22" hidden="1">Myingan!$A$4:$AS$12</definedName>
    <definedName name="_xlnm._FilterDatabase" localSheetId="24" hidden="1">Pakokku!$A$4:$AS$14</definedName>
    <definedName name="_xlnm._FilterDatabase" localSheetId="16" hidden="1">Pyawbwe!$A$4:$AS$23</definedName>
    <definedName name="_xlnm._FilterDatabase" localSheetId="21" hidden="1">Taungthar!$A$4:$AS$15</definedName>
    <definedName name="_xlnm._FilterDatabase" localSheetId="15" hidden="1">Tharzi!$A$4:$AS$21</definedName>
    <definedName name="_xlnm._FilterDatabase" localSheetId="17" hidden="1">Wantwin!$A$4:$AS$30</definedName>
    <definedName name="_xlnm._FilterDatabase" localSheetId="2" hidden="1">'Ws Semi Ws '!$A$3:$CB$52</definedName>
    <definedName name="_xlnm._FilterDatabase" localSheetId="19" hidden="1">Yamethin!$A$4:$AS$23</definedName>
    <definedName name="A">#REF!</definedName>
    <definedName name="aa" localSheetId="11">#REF!</definedName>
    <definedName name="aa" localSheetId="0">#REF!</definedName>
    <definedName name="aa" localSheetId="14">#REF!</definedName>
    <definedName name="aa" localSheetId="4">#REF!</definedName>
    <definedName name="aa" localSheetId="6">#REF!</definedName>
    <definedName name="aa">#REF!</definedName>
    <definedName name="aaa" localSheetId="11">#REF!</definedName>
    <definedName name="aaa" localSheetId="0">#REF!</definedName>
    <definedName name="aaa" localSheetId="14">#REF!</definedName>
    <definedName name="aaa" localSheetId="4">#REF!</definedName>
    <definedName name="aaa" localSheetId="6">#REF!</definedName>
    <definedName name="aaa">#REF!</definedName>
    <definedName name="aaaaa" localSheetId="14">#REF!</definedName>
    <definedName name="aaaaa" localSheetId="6">#REF!</definedName>
    <definedName name="aaaaa">#REF!</definedName>
    <definedName name="aaaaaaa" localSheetId="0">#REF!</definedName>
    <definedName name="aaaaaaa" localSheetId="14">#REF!</definedName>
    <definedName name="aaaaaaa" localSheetId="6">#REF!</definedName>
    <definedName name="aaaaaaa">#REF!</definedName>
    <definedName name="asd" localSheetId="11">'[1]Market ( Mar) '!#REF!</definedName>
    <definedName name="asd" localSheetId="14">'[1]Market ( Mar) '!#REF!</definedName>
    <definedName name="asd" localSheetId="4">'[1]Market ( Mar) '!#REF!</definedName>
    <definedName name="asd" localSheetId="6">'[1]Market ( Mar) '!#REF!</definedName>
    <definedName name="asd">'[1]Market ( Mar) '!#REF!</definedName>
    <definedName name="atr" localSheetId="11">#REF!</definedName>
    <definedName name="atr" localSheetId="14">#REF!</definedName>
    <definedName name="atr" localSheetId="4">#REF!</definedName>
    <definedName name="atr" localSheetId="6">#REF!</definedName>
    <definedName name="atr">#REF!</definedName>
    <definedName name="b" localSheetId="11">#REF!</definedName>
    <definedName name="b" localSheetId="14">#REF!</definedName>
    <definedName name="b" localSheetId="4">#REF!</definedName>
    <definedName name="b" localSheetId="6">#REF!</definedName>
    <definedName name="b">#REF!</definedName>
    <definedName name="bb" localSheetId="11">#REF!</definedName>
    <definedName name="bb" localSheetId="14">#REF!</definedName>
    <definedName name="bb" localSheetId="4">#REF!</definedName>
    <definedName name="bb" localSheetId="6">#REF!</definedName>
    <definedName name="bb">#REF!</definedName>
    <definedName name="Beg_Bal" localSheetId="11">#REF!</definedName>
    <definedName name="Beg_Bal" localSheetId="14">#REF!</definedName>
    <definedName name="Beg_Bal" localSheetId="4">#REF!</definedName>
    <definedName name="Beg_Bal" localSheetId="6">#REF!</definedName>
    <definedName name="Beg_Bal">#REF!</definedName>
    <definedName name="Cash_Cr" localSheetId="11">#REF!</definedName>
    <definedName name="Cash_Cr" localSheetId="14">#REF!</definedName>
    <definedName name="Cash_Cr" localSheetId="4">#REF!</definedName>
    <definedName name="Cash_Cr" localSheetId="6">#REF!</definedName>
    <definedName name="Cash_Cr">#REF!</definedName>
    <definedName name="Cash_Dr" localSheetId="11">#REF!</definedName>
    <definedName name="Cash_Dr" localSheetId="14">#REF!</definedName>
    <definedName name="Cash_Dr" localSheetId="4">#REF!</definedName>
    <definedName name="Cash_Dr" localSheetId="6">#REF!</definedName>
    <definedName name="Cash_Dr">#REF!</definedName>
    <definedName name="cc" localSheetId="11">#REF!</definedName>
    <definedName name="cc" localSheetId="14">#REF!</definedName>
    <definedName name="cc" localSheetId="4">#REF!</definedName>
    <definedName name="cc" localSheetId="6">#REF!</definedName>
    <definedName name="cc">#REF!</definedName>
    <definedName name="ccc" localSheetId="11">#REF!</definedName>
    <definedName name="ccc" localSheetId="14">#REF!</definedName>
    <definedName name="ccc" localSheetId="4">#REF!</definedName>
    <definedName name="ccc" localSheetId="6">#REF!</definedName>
    <definedName name="ccc">#REF!</definedName>
    <definedName name="cft">#REF!</definedName>
    <definedName name="cr" localSheetId="11">#REF!</definedName>
    <definedName name="cr" localSheetId="14">#REF!</definedName>
    <definedName name="cr" localSheetId="4">#REF!</definedName>
    <definedName name="cr" localSheetId="6">#REF!</definedName>
    <definedName name="cr">#REF!</definedName>
    <definedName name="crs" localSheetId="11">#REF!</definedName>
    <definedName name="crs" localSheetId="14">#REF!</definedName>
    <definedName name="crs" localSheetId="4">#REF!</definedName>
    <definedName name="crs" localSheetId="6">#REF!</definedName>
    <definedName name="crs">#REF!</definedName>
    <definedName name="cvvvv" localSheetId="14">#REF!</definedName>
    <definedName name="cvvvv" localSheetId="6">#REF!</definedName>
    <definedName name="cvvvv">#REF!</definedName>
    <definedName name="cwer">#REF!</definedName>
    <definedName name="Data" localSheetId="11">#REF!</definedName>
    <definedName name="Data" localSheetId="14">#REF!</definedName>
    <definedName name="Data" localSheetId="4">#REF!</definedName>
    <definedName name="Data" localSheetId="6">#REF!</definedName>
    <definedName name="Data">#REF!</definedName>
    <definedName name="dd" localSheetId="11">#REF!</definedName>
    <definedName name="dd" localSheetId="14">#REF!</definedName>
    <definedName name="dd" localSheetId="4">#REF!</definedName>
    <definedName name="dd" localSheetId="6">#REF!</definedName>
    <definedName name="dd">#REF!</definedName>
    <definedName name="ddd" localSheetId="11">#REF!</definedName>
    <definedName name="ddd" localSheetId="14">#REF!</definedName>
    <definedName name="ddd" localSheetId="4">#REF!</definedName>
    <definedName name="ddd" localSheetId="6">#REF!</definedName>
    <definedName name="ddd">#REF!</definedName>
    <definedName name="dddd">#N/A</definedName>
    <definedName name="dr" localSheetId="11">#REF!</definedName>
    <definedName name="dr" localSheetId="14">#REF!</definedName>
    <definedName name="dr" localSheetId="4">#REF!</definedName>
    <definedName name="dr" localSheetId="6">#REF!</definedName>
    <definedName name="dr">#REF!</definedName>
    <definedName name="drs" localSheetId="11">#REF!</definedName>
    <definedName name="drs" localSheetId="14">#REF!</definedName>
    <definedName name="drs" localSheetId="4">#REF!</definedName>
    <definedName name="drs" localSheetId="6">#REF!</definedName>
    <definedName name="drs">#REF!</definedName>
    <definedName name="dsfas" localSheetId="14">#REF!</definedName>
    <definedName name="dsfas" localSheetId="6">#REF!</definedName>
    <definedName name="dsfas">#REF!</definedName>
    <definedName name="eeee" localSheetId="14">#REF!</definedName>
    <definedName name="eeee" localSheetId="6">#REF!</definedName>
    <definedName name="eeee">#REF!</definedName>
    <definedName name="eeeee">'[1]Market ( Mar) '!#REF!</definedName>
    <definedName name="End_Bal" localSheetId="11">#REF!</definedName>
    <definedName name="End_Bal" localSheetId="14">#REF!</definedName>
    <definedName name="End_Bal" localSheetId="4">#REF!</definedName>
    <definedName name="End_Bal" localSheetId="6">#REF!</definedName>
    <definedName name="End_Bal">#REF!</definedName>
    <definedName name="Extra_Pay" localSheetId="11">#REF!</definedName>
    <definedName name="Extra_Pay" localSheetId="14">#REF!</definedName>
    <definedName name="Extra_Pay" localSheetId="4">#REF!</definedName>
    <definedName name="Extra_Pay" localSheetId="6">#REF!</definedName>
    <definedName name="Extra_Pay">#REF!</definedName>
    <definedName name="fgf" localSheetId="11">#REF!</definedName>
    <definedName name="fgf" localSheetId="14">#REF!</definedName>
    <definedName name="fgf" localSheetId="4">#REF!</definedName>
    <definedName name="fgf" localSheetId="6">#REF!</definedName>
    <definedName name="fgf">#REF!</definedName>
    <definedName name="fgjhj" localSheetId="11">#REF!</definedName>
    <definedName name="fgjhj" localSheetId="14">#REF!</definedName>
    <definedName name="fgjhj" localSheetId="4">#REF!</definedName>
    <definedName name="fgjhj" localSheetId="6">#REF!</definedName>
    <definedName name="fgjhj">#REF!</definedName>
    <definedName name="ftyu">#REF!</definedName>
    <definedName name="Full_Print" localSheetId="11">#REF!</definedName>
    <definedName name="Full_Print" localSheetId="14">#REF!</definedName>
    <definedName name="Full_Print" localSheetId="4">#REF!</definedName>
    <definedName name="Full_Print" localSheetId="6">#REF!</definedName>
    <definedName name="Full_Print">#REF!</definedName>
    <definedName name="fusales4">#REF!</definedName>
    <definedName name="gg">#REF!</definedName>
    <definedName name="gggggg">#REF!</definedName>
    <definedName name="Header_Row" localSheetId="6">ROW(#REF!)</definedName>
    <definedName name="Header_Row">ROW(#REF!)</definedName>
    <definedName name="hjj" localSheetId="11">#REF!</definedName>
    <definedName name="hjj" localSheetId="14">#REF!</definedName>
    <definedName name="hjj" localSheetId="4">#REF!</definedName>
    <definedName name="hjj" localSheetId="6">#REF!</definedName>
    <definedName name="hjj">#REF!</definedName>
    <definedName name="hjjj">#REF!</definedName>
    <definedName name="hjkjk" localSheetId="11">#REF!</definedName>
    <definedName name="hjkjk" localSheetId="14">#REF!</definedName>
    <definedName name="hjkjk" localSheetId="4">#REF!</definedName>
    <definedName name="hjkjk" localSheetId="6">#REF!</definedName>
    <definedName name="hjkjk">#REF!</definedName>
    <definedName name="hmjhj" localSheetId="11">#REF!</definedName>
    <definedName name="hmjhj" localSheetId="14">#REF!</definedName>
    <definedName name="hmjhj" localSheetId="4">#REF!</definedName>
    <definedName name="hmjhj" localSheetId="6">#REF!</definedName>
    <definedName name="hmjhj">#REF!</definedName>
    <definedName name="ii" localSheetId="14">#REF!</definedName>
    <definedName name="ii" localSheetId="6">#REF!</definedName>
    <definedName name="ii">#REF!</definedName>
    <definedName name="III" localSheetId="14">#REF!</definedName>
    <definedName name="III" localSheetId="6">#REF!</definedName>
    <definedName name="III">#REF!</definedName>
    <definedName name="Int" localSheetId="11">#REF!</definedName>
    <definedName name="Int" localSheetId="14">#REF!</definedName>
    <definedName name="Int" localSheetId="4">#REF!</definedName>
    <definedName name="Int" localSheetId="6">#REF!</definedName>
    <definedName name="Int">#REF!</definedName>
    <definedName name="Interest_Rate" localSheetId="11">#REF!</definedName>
    <definedName name="Interest_Rate" localSheetId="14">#REF!</definedName>
    <definedName name="Interest_Rate" localSheetId="4">#REF!</definedName>
    <definedName name="Interest_Rate" localSheetId="6">#REF!</definedName>
    <definedName name="Interest_Rate">#REF!</definedName>
    <definedName name="jbkjkl" localSheetId="11">#REF!</definedName>
    <definedName name="jbkjkl" localSheetId="14">#REF!</definedName>
    <definedName name="jbkjkl" localSheetId="4">#REF!</definedName>
    <definedName name="jbkjkl" localSheetId="6">#REF!</definedName>
    <definedName name="jbkjkl">#REF!</definedName>
    <definedName name="Journal_Cr" localSheetId="14">#REF!</definedName>
    <definedName name="Journal_Cr" localSheetId="6">#REF!</definedName>
    <definedName name="Journal_Cr">#REF!</definedName>
    <definedName name="Journal_Dr" localSheetId="14">#REF!</definedName>
    <definedName name="Journal_Dr" localSheetId="6">#REF!</definedName>
    <definedName name="Journal_Dr">#REF!</definedName>
    <definedName name="kdt" localSheetId="11">#REF!</definedName>
    <definedName name="kdt" localSheetId="14">#REF!</definedName>
    <definedName name="kdt" localSheetId="4">#REF!</definedName>
    <definedName name="kdt" localSheetId="6">#REF!</definedName>
    <definedName name="kdt">#REF!</definedName>
    <definedName name="kk">IF(Loan_Amount*Interest_Rate*Loan_Years*Loan_Start&gt;0,1,0)</definedName>
    <definedName name="kluyufuf">#REF!</definedName>
    <definedName name="Last_Row" localSheetId="11">IF('3-Van Wise SKU'!Values_Entered,Header_Row+'3-Van Wise SKU'!Number_of_Payments,Header_Row)</definedName>
    <definedName name="Last_Row" localSheetId="0">IF('7-MTL'!Values_Entered,Header_Row+'7-MTL'!Number_of_Payments,Header_Row)</definedName>
    <definedName name="Last_Row" localSheetId="14">IF(Meiktila!Values_Entered,Header_Row+Meiktila!Number_of_Payments,Header_Row)</definedName>
    <definedName name="Last_Row" localSheetId="4">IF('MTL Individual'!Values_Entered,Header_Row+'MTL Individual'!Number_of_Payments,Header_Row)</definedName>
    <definedName name="Last_Row" localSheetId="6">IF('Township wise Analysis'!Values_Entered,'Township wise Analysis'!Header_Row+'Township wise Analysis'!Number_of_Payments,'Township wise Analysis'!Header_Row)</definedName>
    <definedName name="Last_Row">IF(Values_Entered,Header_Row+Number_of_Payments,Header_Row)</definedName>
    <definedName name="Loan_Amount" localSheetId="11">#REF!</definedName>
    <definedName name="Loan_Amount" localSheetId="0">#REF!</definedName>
    <definedName name="Loan_Amount" localSheetId="14">#REF!</definedName>
    <definedName name="Loan_Amount" localSheetId="4">#REF!</definedName>
    <definedName name="Loan_Amount" localSheetId="6">#REF!</definedName>
    <definedName name="Loan_Amount">#REF!</definedName>
    <definedName name="Loan_Start" localSheetId="11">#REF!</definedName>
    <definedName name="Loan_Start" localSheetId="0">#REF!</definedName>
    <definedName name="Loan_Start" localSheetId="14">#REF!</definedName>
    <definedName name="Loan_Start" localSheetId="4">#REF!</definedName>
    <definedName name="Loan_Start" localSheetId="6">#REF!</definedName>
    <definedName name="Loan_Start">#REF!</definedName>
    <definedName name="Loan_Years" localSheetId="11">#REF!</definedName>
    <definedName name="Loan_Years" localSheetId="0">#REF!</definedName>
    <definedName name="Loan_Years" localSheetId="14">#REF!</definedName>
    <definedName name="Loan_Years" localSheetId="4">#REF!</definedName>
    <definedName name="Loan_Years" localSheetId="6">#REF!</definedName>
    <definedName name="Loan_Years">#REF!</definedName>
    <definedName name="LSO" localSheetId="11">#REF!</definedName>
    <definedName name="LSO" localSheetId="14">#REF!</definedName>
    <definedName name="LSO" localSheetId="4">#REF!</definedName>
    <definedName name="LSO" localSheetId="6">#REF!</definedName>
    <definedName name="LSO">#REF!</definedName>
    <definedName name="lsoq" localSheetId="11">#REF!</definedName>
    <definedName name="lsoq" localSheetId="14">#REF!</definedName>
    <definedName name="lsoq" localSheetId="4">#REF!</definedName>
    <definedName name="lsoq" localSheetId="6">#REF!</definedName>
    <definedName name="lsoq">#REF!</definedName>
    <definedName name="lsoq1">#REF!</definedName>
    <definedName name="mmmkk">#REF!</definedName>
    <definedName name="mms" localSheetId="11">#REF!</definedName>
    <definedName name="mms" localSheetId="14">#REF!</definedName>
    <definedName name="mms" localSheetId="4">#REF!</definedName>
    <definedName name="mms" localSheetId="6">#REF!</definedName>
    <definedName name="mms">#REF!</definedName>
    <definedName name="neew" localSheetId="11">#REF!</definedName>
    <definedName name="neew" localSheetId="14">#REF!</definedName>
    <definedName name="neew" localSheetId="4">#REF!</definedName>
    <definedName name="neew" localSheetId="6">#REF!</definedName>
    <definedName name="neew">#REF!</definedName>
    <definedName name="New" localSheetId="11">#REF!</definedName>
    <definedName name="New" localSheetId="14">#REF!</definedName>
    <definedName name="New" localSheetId="4">#REF!</definedName>
    <definedName name="New" localSheetId="6">#REF!</definedName>
    <definedName name="New">#REF!</definedName>
    <definedName name="NOV" localSheetId="14">#REF!</definedName>
    <definedName name="NOV" localSheetId="6">#REF!</definedName>
    <definedName name="NOV">#REF!</definedName>
    <definedName name="Num_Pmt_Per_Year" localSheetId="11">#REF!</definedName>
    <definedName name="Num_Pmt_Per_Year" localSheetId="14">#REF!</definedName>
    <definedName name="Num_Pmt_Per_Year" localSheetId="4">#REF!</definedName>
    <definedName name="Num_Pmt_Per_Year" localSheetId="6">#REF!</definedName>
    <definedName name="Num_Pmt_Per_Year">#REF!</definedName>
    <definedName name="Number_of_Payments" localSheetId="11">MATCH(0.01,'3-Van Wise SKU'!End_Bal,-1)+1</definedName>
    <definedName name="Number_of_Payments" localSheetId="0">MATCH(0.01,End_Bal,-1)+1</definedName>
    <definedName name="Number_of_Payments" localSheetId="14">MATCH(0.01,Meiktila!End_Bal,-1)+1</definedName>
    <definedName name="Number_of_Payments" localSheetId="4">MATCH(0.01,'MTL Individual'!End_Bal,-1)+1</definedName>
    <definedName name="Number_of_Payments" localSheetId="6">MATCH(0.01,'Township wise Analysis'!End_Bal,-1)+1</definedName>
    <definedName name="Number_of_Payments">MATCH(0.01,End_Bal,-1)+1</definedName>
    <definedName name="ooo">#REF!</definedName>
    <definedName name="Opening_Cr" localSheetId="11">#REF!</definedName>
    <definedName name="Opening_Cr" localSheetId="14">#REF!</definedName>
    <definedName name="Opening_Cr" localSheetId="4">#REF!</definedName>
    <definedName name="Opening_Cr" localSheetId="6">#REF!</definedName>
    <definedName name="Opening_Cr">#REF!</definedName>
    <definedName name="Opening_Dr" localSheetId="11">#REF!</definedName>
    <definedName name="Opening_Dr" localSheetId="14">#REF!</definedName>
    <definedName name="Opening_Dr" localSheetId="4">#REF!</definedName>
    <definedName name="Opening_Dr" localSheetId="6">#REF!</definedName>
    <definedName name="Opening_Dr">#REF!</definedName>
    <definedName name="Pay_Date" localSheetId="11">#REF!</definedName>
    <definedName name="Pay_Date" localSheetId="14">#REF!</definedName>
    <definedName name="Pay_Date" localSheetId="4">#REF!</definedName>
    <definedName name="Pay_Date" localSheetId="6">#REF!</definedName>
    <definedName name="Pay_Date">#REF!</definedName>
    <definedName name="Pay_Num" localSheetId="11">#REF!</definedName>
    <definedName name="Pay_Num" localSheetId="14">#REF!</definedName>
    <definedName name="Pay_Num" localSheetId="4">#REF!</definedName>
    <definedName name="Pay_Num" localSheetId="6">#REF!</definedName>
    <definedName name="Pay_Num">#REF!</definedName>
    <definedName name="Payment_Date" localSheetId="11">DATE(YEAR('3-Van Wise SKU'!Loan_Start),MONTH('3-Van Wise SKU'!Loan_Start)+Payment_Number,DAY('3-Van Wise SKU'!Loan_Start))</definedName>
    <definedName name="Payment_Date" localSheetId="0">DATE(YEAR('7-MTL'!Loan_Start),MONTH('7-MTL'!Loan_Start)+Payment_Number,DAY('7-MTL'!Loan_Start))</definedName>
    <definedName name="Payment_Date" localSheetId="14">DATE(YEAR(Meiktila!Loan_Start),MONTH(Meiktila!Loan_Start)+Payment_Number,DAY(Meiktila!Loan_Start))</definedName>
    <definedName name="Payment_Date" localSheetId="4">DATE(YEAR('MTL Individual'!Loan_Start),MONTH('MTL Individual'!Loan_Start)+Payment_Number,DAY('MTL Individual'!Loan_Start))</definedName>
    <definedName name="Payment_Date" localSheetId="6">DATE(YEAR('Township wise Analysis'!Loan_Start),MONTH('Township wise Analysis'!Loan_Start)+Payment_Number,DAY('Township wise Analysis'!Loan_Start))</definedName>
    <definedName name="Payment_Date">DATE(YEAR(Loan_Start),MONTH(Loan_Start)+Payment_Number,DAY(Loan_Start))</definedName>
    <definedName name="Princ" localSheetId="11">#REF!</definedName>
    <definedName name="Princ" localSheetId="0">#REF!</definedName>
    <definedName name="Princ" localSheetId="14">#REF!</definedName>
    <definedName name="Princ" localSheetId="4">#REF!</definedName>
    <definedName name="Princ" localSheetId="6">#REF!</definedName>
    <definedName name="Princ">#REF!</definedName>
    <definedName name="princeee">#REF!</definedName>
    <definedName name="Print_Area_Reset" localSheetId="11">OFFSET('3-Van Wise SKU'!Full_Print,0,0,'3-Van Wise SKU'!Last_Row)</definedName>
    <definedName name="Print_Area_Reset" localSheetId="0">OFFSET(Full_Print,0,0,'7-MTL'!Last_Row)</definedName>
    <definedName name="Print_Area_Reset" localSheetId="14">OFFSET(Meiktila!Full_Print,0,0,Meiktila!Last_Row)</definedName>
    <definedName name="Print_Area_Reset" localSheetId="4">OFFSET('MTL Individual'!Full_Print,0,0,'MTL Individual'!Last_Row)</definedName>
    <definedName name="Print_Area_Reset" localSheetId="6">OFFSET('Township wise Analysis'!Full_Print,0,0,'Township wise Analysis'!Last_Row)</definedName>
    <definedName name="Print_Area_Reset">OFFSET(Full_Print,0,0,Last_Row)</definedName>
    <definedName name="qqqqqq" localSheetId="14">#REF!</definedName>
    <definedName name="qqqqqq" localSheetId="6">#REF!</definedName>
    <definedName name="qqqqqq">#REF!</definedName>
    <definedName name="Rate">#REF!</definedName>
    <definedName name="rty">#REF!</definedName>
    <definedName name="s" localSheetId="11">#REF!</definedName>
    <definedName name="s" localSheetId="0">#REF!</definedName>
    <definedName name="s" localSheetId="14">#REF!</definedName>
    <definedName name="s" localSheetId="4">#REF!</definedName>
    <definedName name="s" localSheetId="6">#REF!</definedName>
    <definedName name="s">#REF!</definedName>
    <definedName name="Salees">#REF!</definedName>
    <definedName name="sales">#REF!</definedName>
    <definedName name="Sched_Pay" localSheetId="11">#REF!</definedName>
    <definedName name="Sched_Pay" localSheetId="14">#REF!</definedName>
    <definedName name="Sched_Pay" localSheetId="4">#REF!</definedName>
    <definedName name="Sched_Pay" localSheetId="6">#REF!</definedName>
    <definedName name="Sched_Pay">#REF!</definedName>
    <definedName name="Scheduled_Extra_Payments" localSheetId="11">#REF!</definedName>
    <definedName name="Scheduled_Extra_Payments" localSheetId="14">#REF!</definedName>
    <definedName name="Scheduled_Extra_Payments" localSheetId="4">#REF!</definedName>
    <definedName name="Scheduled_Extra_Payments" localSheetId="6">#REF!</definedName>
    <definedName name="Scheduled_Extra_Payments">#REF!</definedName>
    <definedName name="Scheduled_Interest_Rate" localSheetId="11">#REF!</definedName>
    <definedName name="Scheduled_Interest_Rate" localSheetId="14">#REF!</definedName>
    <definedName name="Scheduled_Interest_Rate" localSheetId="4">#REF!</definedName>
    <definedName name="Scheduled_Interest_Rate" localSheetId="6">#REF!</definedName>
    <definedName name="Scheduled_Interest_Rate">#REF!</definedName>
    <definedName name="Scheduled_Monthly_Payment" localSheetId="11">#REF!</definedName>
    <definedName name="Scheduled_Monthly_Payment" localSheetId="14">#REF!</definedName>
    <definedName name="Scheduled_Monthly_Payment" localSheetId="4">#REF!</definedName>
    <definedName name="Scheduled_Monthly_Payment" localSheetId="6">#REF!</definedName>
    <definedName name="Scheduled_Monthly_Payment">#REF!</definedName>
    <definedName name="smm" localSheetId="11">'[1]Market ( Mar) '!#REF!</definedName>
    <definedName name="smm" localSheetId="14">#REF!</definedName>
    <definedName name="smm" localSheetId="4">#REF!</definedName>
    <definedName name="smm" localSheetId="6">#REF!</definedName>
    <definedName name="smm">#REF!</definedName>
    <definedName name="smmm" localSheetId="11">'[1]Market ( Mar) '!#REF!</definedName>
    <definedName name="smmm" localSheetId="14">'[1]Market ( Mar) '!#REF!</definedName>
    <definedName name="smmm" localSheetId="4">'[1]Market ( Mar) '!#REF!</definedName>
    <definedName name="smmm" localSheetId="6">'[1]Market ( Mar) '!#REF!</definedName>
    <definedName name="smmm">'[1]Market ( Mar) '!#REF!</definedName>
    <definedName name="tdk" localSheetId="11">#REF!</definedName>
    <definedName name="tdk" localSheetId="14">#REF!</definedName>
    <definedName name="tdk" localSheetId="4">#REF!</definedName>
    <definedName name="tdk" localSheetId="6">#REF!</definedName>
    <definedName name="tdk">#REF!</definedName>
    <definedName name="Total_Interest" localSheetId="11">#REF!</definedName>
    <definedName name="Total_Interest" localSheetId="14">#REF!</definedName>
    <definedName name="Total_Interest" localSheetId="4">#REF!</definedName>
    <definedName name="Total_Interest" localSheetId="6">#REF!</definedName>
    <definedName name="Total_Interest">#REF!</definedName>
    <definedName name="Total_Pay" localSheetId="11">#REF!</definedName>
    <definedName name="Total_Pay" localSheetId="14">#REF!</definedName>
    <definedName name="Total_Pay" localSheetId="4">#REF!</definedName>
    <definedName name="Total_Pay" localSheetId="6">#REF!</definedName>
    <definedName name="Total_Pay">#REF!</definedName>
    <definedName name="Total_Payment" localSheetId="11">Scheduled_Payment+Extra_Payment</definedName>
    <definedName name="Total_Payment" localSheetId="0">Scheduled_Payment+Extra_Payment</definedName>
    <definedName name="Total_Payment" localSheetId="14">Scheduled_Payment+Extra_Payment</definedName>
    <definedName name="Total_Payment" localSheetId="4">Scheduled_Payment+Extra_Payment</definedName>
    <definedName name="Total_Payment" localSheetId="6">Scheduled_Payment+Extra_Payment</definedName>
    <definedName name="Total_Payment">Scheduled_Payment+Extra_Payment</definedName>
    <definedName name="TYPE1" localSheetId="14">'[2]1.2.22'!$AV$7:$AV$8</definedName>
    <definedName name="TYPE1" localSheetId="4">'[2]1.2.22'!$AV$7:$AV$8</definedName>
    <definedName name="TYPE1" localSheetId="6">'[2]1.2.22'!$AV$7:$AV$8</definedName>
    <definedName name="TYPE1">'[3]1.2.22'!$AV$7:$AV$8</definedName>
    <definedName name="TYPE2" localSheetId="14">'[2]19.2.22'!$AV$7:$AV$9</definedName>
    <definedName name="TYPE2" localSheetId="4">'[2]19.2.22'!$AV$7:$AV$9</definedName>
    <definedName name="TYPE2" localSheetId="6">'[2]19.2.22'!$AV$7:$AV$9</definedName>
    <definedName name="TYPE2">'[3]19.2.22'!$AV$7:$AV$9</definedName>
    <definedName name="TYPE3" localSheetId="14">'[2]20.2.22'!$AV$7:$AV$9</definedName>
    <definedName name="TYPE3" localSheetId="4">'[2]20.2.22'!$AV$7:$AV$9</definedName>
    <definedName name="TYPE3" localSheetId="6">'[2]20.2.22'!$AV$7:$AV$9</definedName>
    <definedName name="TYPE3">'[3]20.2.22'!$AV$7:$AV$9</definedName>
    <definedName name="TYPE4" localSheetId="14">'[2]19.2.22'!$AV$7:$AV$9</definedName>
    <definedName name="TYPE4" localSheetId="4">'[2]19.2.22'!$AV$7:$AV$9</definedName>
    <definedName name="TYPE4" localSheetId="6">'[2]19.2.22'!$AV$7:$AV$9</definedName>
    <definedName name="TYPE4">'[3]19.2.22'!$AV$7:$AV$9</definedName>
    <definedName name="uuu" localSheetId="14">#REF!</definedName>
    <definedName name="uuu" localSheetId="6">#REF!</definedName>
    <definedName name="uuu">#REF!</definedName>
    <definedName name="Values_Entered" localSheetId="11">IF('3-Van Wise SKU'!Loan_Amount*'3-Van Wise SKU'!Interest_Rate*'3-Van Wise SKU'!Loan_Years*'3-Van Wise SKU'!Loan_Start&gt;0,1,0)</definedName>
    <definedName name="Values_Entered" localSheetId="0">IF('7-MTL'!Loan_Amount*Interest_Rate*'7-MTL'!Loan_Years*'7-MTL'!Loan_Start&gt;0,1,0)</definedName>
    <definedName name="Values_Entered" localSheetId="14">IF(Meiktila!Loan_Amount*Meiktila!Interest_Rate*Meiktila!Loan_Years*Meiktila!Loan_Start&gt;0,1,0)</definedName>
    <definedName name="Values_Entered" localSheetId="4">IF('MTL Individual'!Loan_Amount*'MTL Individual'!Interest_Rate*'MTL Individual'!Loan_Years*'MTL Individual'!Loan_Start&gt;0,1,0)</definedName>
    <definedName name="Values_Entered" localSheetId="6">IF('Township wise Analysis'!Loan_Amount*'Township wise Analysis'!Interest_Rate*'Township wise Analysis'!Loan_Years*'Township wise Analysis'!Loan_Start&gt;0,1,0)</definedName>
    <definedName name="Values_Entered">IF(Loan_Amount*Interest_Rate*Loan_Years*Loan_Start&gt;0,1,0)</definedName>
    <definedName name="vkhfkgf" localSheetId="11">#REF!</definedName>
    <definedName name="vkhfkgf" localSheetId="0">#REF!</definedName>
    <definedName name="vkhfkgf" localSheetId="14">#REF!</definedName>
    <definedName name="vkhfkgf" localSheetId="4">#REF!</definedName>
    <definedName name="vkhfkgf" localSheetId="6">#REF!</definedName>
    <definedName name="vkhfkgf">#REF!</definedName>
    <definedName name="wert">#REF!</definedName>
    <definedName name="xdfrg" localSheetId="14">#REF!</definedName>
    <definedName name="xdfrg" localSheetId="6">#REF!</definedName>
    <definedName name="xdfrg">#REF!</definedName>
    <definedName name="y" localSheetId="14">#REF!</definedName>
    <definedName name="y" localSheetId="6">#REF!</definedName>
    <definedName name="y">#REF!</definedName>
    <definedName name="yhhg123" localSheetId="11">IF(Values_Entered,Header_Row+Number_of_Payments,Header_Row)</definedName>
    <definedName name="yhhg123" localSheetId="14">IF([4]!Values_Entered,Header_Row+[4]!Number_of_Payments,Header_Row)</definedName>
    <definedName name="yhhg123" localSheetId="4">IF('MTL Individual'!Values_Entered,Header_Row+'MTL Individual'!Number_of_Payments,Header_Row)</definedName>
    <definedName name="yhhg123" localSheetId="6">IF([4]!Values_Entered,Header_Row+[4]!Number_of_Payments,Header_Row)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 localSheetId="14">#REF!</definedName>
    <definedName name="yy" localSheetId="6">#REF!</definedName>
    <definedName name="yy">#REF!</definedName>
    <definedName name="yyyyy" localSheetId="14">#REF!</definedName>
    <definedName name="yyyyy" localSheetId="6">#REF!</definedName>
    <definedName name="yyyyy">#REF!</definedName>
    <definedName name="zx" localSheetId="14">#REF!</definedName>
    <definedName name="zx" localSheetId="6">#REF!</definedName>
    <definedName name="zx">#REF!</definedName>
    <definedName name="zxz" localSheetId="14">#REF!</definedName>
    <definedName name="zxz" localSheetId="6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38" l="1"/>
  <c r="G35" i="38"/>
  <c r="H35" i="38"/>
  <c r="F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X35" i="38"/>
  <c r="Y35" i="38"/>
  <c r="Z35" i="38"/>
  <c r="AA35" i="38"/>
  <c r="AB35" i="38"/>
  <c r="AC35" i="38"/>
  <c r="AD35" i="38"/>
  <c r="AE35" i="38"/>
  <c r="AF35" i="38"/>
  <c r="AG35" i="38"/>
  <c r="AH35" i="38"/>
  <c r="AI35" i="38"/>
  <c r="AJ35" i="38"/>
  <c r="AK35" i="38"/>
  <c r="AL35" i="38"/>
  <c r="AM35" i="38"/>
  <c r="AN35" i="38"/>
  <c r="AO35" i="38"/>
  <c r="AP35" i="38"/>
  <c r="AQ35" i="38"/>
  <c r="AR35" i="38"/>
  <c r="AS35" i="38"/>
  <c r="AT35" i="38"/>
  <c r="AU35" i="38"/>
  <c r="AV35" i="38"/>
  <c r="AW35" i="38"/>
  <c r="AX35" i="38"/>
  <c r="AY35" i="38"/>
  <c r="AZ35" i="38"/>
  <c r="BA35" i="38"/>
  <c r="BB35" i="38"/>
  <c r="BC35" i="38"/>
  <c r="BD35" i="38"/>
  <c r="BE35" i="38"/>
  <c r="BF35" i="38"/>
  <c r="BG35" i="38"/>
  <c r="BH35" i="38"/>
  <c r="BI35" i="38"/>
  <c r="BJ35" i="38"/>
  <c r="BK35" i="38"/>
  <c r="BL35" i="38"/>
  <c r="BM35" i="38"/>
  <c r="J35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X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AS34" i="38"/>
  <c r="AT34" i="38"/>
  <c r="AU34" i="38"/>
  <c r="AV34" i="38"/>
  <c r="AW34" i="38"/>
  <c r="AX34" i="38"/>
  <c r="AY34" i="38"/>
  <c r="AZ34" i="38"/>
  <c r="BA34" i="38"/>
  <c r="BB34" i="38"/>
  <c r="BC34" i="38"/>
  <c r="BD34" i="38"/>
  <c r="BE34" i="38"/>
  <c r="BF34" i="38"/>
  <c r="BG34" i="38"/>
  <c r="BH34" i="38"/>
  <c r="BI34" i="38"/>
  <c r="BJ34" i="38"/>
  <c r="BK34" i="38"/>
  <c r="BL34" i="38"/>
  <c r="BM34" i="38"/>
  <c r="Y34" i="38"/>
  <c r="BL28" i="38"/>
  <c r="BL29" i="38"/>
  <c r="K27" i="38"/>
  <c r="L27" i="38"/>
  <c r="M27" i="38"/>
  <c r="N27" i="38"/>
  <c r="N36" i="38" s="1"/>
  <c r="O27" i="38"/>
  <c r="O36" i="38" s="1"/>
  <c r="P27" i="38"/>
  <c r="Q27" i="38"/>
  <c r="R27" i="38"/>
  <c r="S27" i="38"/>
  <c r="T27" i="38"/>
  <c r="T36" i="38" s="1"/>
  <c r="U27" i="38"/>
  <c r="V27" i="38"/>
  <c r="W27" i="38"/>
  <c r="X27" i="38"/>
  <c r="Y27" i="38"/>
  <c r="Z27" i="38"/>
  <c r="AA27" i="38"/>
  <c r="AB27" i="38"/>
  <c r="AC27" i="38"/>
  <c r="AD27" i="38"/>
  <c r="AE27" i="38"/>
  <c r="AF27" i="38"/>
  <c r="AF36" i="38" s="1"/>
  <c r="AG27" i="38"/>
  <c r="AG36" i="38" s="1"/>
  <c r="AH27" i="38"/>
  <c r="AI27" i="38"/>
  <c r="AJ27" i="38"/>
  <c r="AK27" i="38"/>
  <c r="AL27" i="38"/>
  <c r="AL36" i="38" s="1"/>
  <c r="AM27" i="38"/>
  <c r="AM36" i="38" s="1"/>
  <c r="AN27" i="38"/>
  <c r="AO27" i="38"/>
  <c r="AP27" i="38"/>
  <c r="AQ27" i="38"/>
  <c r="AR27" i="38"/>
  <c r="AR36" i="38" s="1"/>
  <c r="AS27" i="38"/>
  <c r="AT27" i="38"/>
  <c r="AU27" i="38"/>
  <c r="AV27" i="38"/>
  <c r="AW27" i="38"/>
  <c r="AX27" i="38"/>
  <c r="AY27" i="38"/>
  <c r="AZ27" i="38"/>
  <c r="BA27" i="38"/>
  <c r="BB27" i="38"/>
  <c r="BC27" i="38"/>
  <c r="BD27" i="38"/>
  <c r="BD36" i="38" s="1"/>
  <c r="BE27" i="38"/>
  <c r="BE36" i="38" s="1"/>
  <c r="BF27" i="38"/>
  <c r="BG27" i="38"/>
  <c r="BH27" i="38"/>
  <c r="BI27" i="38"/>
  <c r="BJ27" i="38"/>
  <c r="BJ36" i="38" s="1"/>
  <c r="BK27" i="38"/>
  <c r="BK36" i="38" s="1"/>
  <c r="BL27" i="38"/>
  <c r="BM27" i="38"/>
  <c r="J27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W36" i="38" s="1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I36" i="38" s="1"/>
  <c r="AJ16" i="38"/>
  <c r="AK16" i="38"/>
  <c r="AL16" i="38"/>
  <c r="AM16" i="38"/>
  <c r="AN16" i="38"/>
  <c r="AO16" i="38"/>
  <c r="AP16" i="38"/>
  <c r="AQ16" i="38"/>
  <c r="AR16" i="38"/>
  <c r="AS16" i="38"/>
  <c r="AT16" i="38"/>
  <c r="AU16" i="38"/>
  <c r="AU36" i="38" s="1"/>
  <c r="AV16" i="38"/>
  <c r="AW16" i="38"/>
  <c r="AX16" i="38"/>
  <c r="AY16" i="38"/>
  <c r="AZ16" i="38"/>
  <c r="BA16" i="38"/>
  <c r="BB16" i="38"/>
  <c r="BC16" i="38"/>
  <c r="BD16" i="38"/>
  <c r="BE16" i="38"/>
  <c r="BF16" i="38"/>
  <c r="BG16" i="38"/>
  <c r="BG36" i="38" s="1"/>
  <c r="BH16" i="38"/>
  <c r="BI16" i="38"/>
  <c r="BJ16" i="38"/>
  <c r="BK16" i="38"/>
  <c r="BL16" i="38"/>
  <c r="BM16" i="38"/>
  <c r="J16" i="38"/>
  <c r="J85" i="36"/>
  <c r="J84" i="36"/>
  <c r="J83" i="36"/>
  <c r="J82" i="36"/>
  <c r="J80" i="36"/>
  <c r="J79" i="36"/>
  <c r="J78" i="36"/>
  <c r="J77" i="36"/>
  <c r="J76" i="36"/>
  <c r="J75" i="36"/>
  <c r="J73" i="36"/>
  <c r="J72" i="36"/>
  <c r="J71" i="36"/>
  <c r="J70" i="36"/>
  <c r="J69" i="36"/>
  <c r="J68" i="36"/>
  <c r="J74" i="36" s="1"/>
  <c r="J66" i="36"/>
  <c r="J65" i="36"/>
  <c r="J64" i="36"/>
  <c r="J63" i="36"/>
  <c r="J62" i="36"/>
  <c r="J61" i="36"/>
  <c r="J59" i="36"/>
  <c r="J58" i="36"/>
  <c r="J57" i="36"/>
  <c r="J56" i="36"/>
  <c r="J55" i="36"/>
  <c r="J54" i="36"/>
  <c r="J53" i="36"/>
  <c r="J52" i="36"/>
  <c r="J51" i="36"/>
  <c r="J50" i="36"/>
  <c r="J49" i="36"/>
  <c r="J48" i="36"/>
  <c r="J47" i="36"/>
  <c r="J46" i="36"/>
  <c r="J45" i="36"/>
  <c r="J44" i="36"/>
  <c r="J43" i="36"/>
  <c r="J42" i="36"/>
  <c r="J41" i="36"/>
  <c r="J40" i="36"/>
  <c r="J39" i="36"/>
  <c r="J38" i="36"/>
  <c r="J37" i="36"/>
  <c r="J36" i="36"/>
  <c r="J35" i="36"/>
  <c r="J34" i="36"/>
  <c r="J33" i="36"/>
  <c r="J31" i="36"/>
  <c r="J30" i="36"/>
  <c r="J32" i="36" s="1"/>
  <c r="J29" i="36"/>
  <c r="J28" i="36"/>
  <c r="J27" i="36"/>
  <c r="J26" i="36"/>
  <c r="J25" i="36"/>
  <c r="I25" i="36"/>
  <c r="J24" i="36"/>
  <c r="J23" i="36"/>
  <c r="J22" i="36"/>
  <c r="J21" i="36"/>
  <c r="J20" i="36"/>
  <c r="J19" i="36"/>
  <c r="J18" i="36"/>
  <c r="I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J5" i="36"/>
  <c r="J4" i="36"/>
  <c r="J3" i="36"/>
  <c r="J2" i="36"/>
  <c r="BI36" i="38"/>
  <c r="BH36" i="38"/>
  <c r="AY36" i="38"/>
  <c r="AX36" i="38"/>
  <c r="AW36" i="38"/>
  <c r="AV36" i="38"/>
  <c r="AS36" i="38"/>
  <c r="AK36" i="38"/>
  <c r="AJ36" i="38"/>
  <c r="AA36" i="38"/>
  <c r="Z36" i="38"/>
  <c r="Y36" i="38"/>
  <c r="X36" i="38"/>
  <c r="U36" i="38"/>
  <c r="M36" i="38"/>
  <c r="L36" i="38"/>
  <c r="K36" i="38"/>
  <c r="J36" i="38"/>
  <c r="H34" i="38"/>
  <c r="G34" i="38"/>
  <c r="F34" i="38"/>
  <c r="BM33" i="38"/>
  <c r="BL33" i="38"/>
  <c r="AY33" i="38"/>
  <c r="AQ33" i="38"/>
  <c r="AO33" i="38"/>
  <c r="Z33" i="38"/>
  <c r="Y33" i="38"/>
  <c r="BA32" i="38"/>
  <c r="BM32" i="38" s="1"/>
  <c r="AW32" i="38"/>
  <c r="AQ32" i="38"/>
  <c r="AO32" i="38"/>
  <c r="Z32" i="38"/>
  <c r="BL32" i="38" s="1"/>
  <c r="Y32" i="38"/>
  <c r="AS31" i="38"/>
  <c r="AQ31" i="38"/>
  <c r="BM31" i="38" s="1"/>
  <c r="AO31" i="38"/>
  <c r="AC31" i="38"/>
  <c r="Z31" i="38"/>
  <c r="BL30" i="38"/>
  <c r="BA30" i="38"/>
  <c r="BM30" i="38" s="1"/>
  <c r="AY30" i="38"/>
  <c r="AW30" i="38"/>
  <c r="AQ30" i="38"/>
  <c r="AO30" i="38"/>
  <c r="BA29" i="38"/>
  <c r="BM29" i="38" s="1"/>
  <c r="AW29" i="38"/>
  <c r="AQ29" i="38"/>
  <c r="AO29" i="38"/>
  <c r="Y29" i="38"/>
  <c r="BM28" i="38"/>
  <c r="BA28" i="38"/>
  <c r="AW28" i="38"/>
  <c r="AS28" i="38"/>
  <c r="AQ28" i="38"/>
  <c r="AO28" i="38"/>
  <c r="AC28" i="38"/>
  <c r="Z28" i="38"/>
  <c r="H27" i="38"/>
  <c r="G27" i="38"/>
  <c r="F27" i="38"/>
  <c r="BM26" i="38"/>
  <c r="BL26" i="38"/>
  <c r="BA26" i="38"/>
  <c r="AH26" i="38"/>
  <c r="V26" i="38"/>
  <c r="AQ25" i="38"/>
  <c r="BM25" i="38" s="1"/>
  <c r="AO25" i="38"/>
  <c r="AH25" i="38"/>
  <c r="BL25" i="38" s="1"/>
  <c r="AF25" i="38"/>
  <c r="Y25" i="38"/>
  <c r="V25" i="38"/>
  <c r="P25" i="38"/>
  <c r="J25" i="38"/>
  <c r="AY24" i="38"/>
  <c r="AO24" i="38"/>
  <c r="BM24" i="38" s="1"/>
  <c r="AH24" i="38"/>
  <c r="BL24" i="38" s="1"/>
  <c r="AF24" i="38"/>
  <c r="Z24" i="38"/>
  <c r="V24" i="38"/>
  <c r="T24" i="38"/>
  <c r="P24" i="38"/>
  <c r="J24" i="38"/>
  <c r="BA23" i="38"/>
  <c r="BM23" i="38" s="1"/>
  <c r="AW23" i="38"/>
  <c r="AQ23" i="38"/>
  <c r="AH23" i="38"/>
  <c r="BL23" i="38" s="1"/>
  <c r="Y23" i="38"/>
  <c r="P23" i="38"/>
  <c r="BL22" i="38"/>
  <c r="AY22" i="38"/>
  <c r="BM22" i="38" s="1"/>
  <c r="AQ22" i="38"/>
  <c r="AO22" i="38"/>
  <c r="AH22" i="38"/>
  <c r="T22" i="38"/>
  <c r="P22" i="38"/>
  <c r="N22" i="38"/>
  <c r="J22" i="38"/>
  <c r="BK21" i="38"/>
  <c r="BM21" i="38" s="1"/>
  <c r="AQ21" i="38"/>
  <c r="AH21" i="38"/>
  <c r="BL21" i="38" s="1"/>
  <c r="Y21" i="38"/>
  <c r="V21" i="38"/>
  <c r="T21" i="38"/>
  <c r="P21" i="38"/>
  <c r="N21" i="38"/>
  <c r="AQ20" i="38"/>
  <c r="BM20" i="38" s="1"/>
  <c r="AO20" i="38"/>
  <c r="AH20" i="38"/>
  <c r="BL20" i="38" s="1"/>
  <c r="AF20" i="38"/>
  <c r="AC20" i="38"/>
  <c r="V20" i="38"/>
  <c r="N20" i="38"/>
  <c r="L20" i="38"/>
  <c r="BH19" i="38"/>
  <c r="BL19" i="38" s="1"/>
  <c r="AQ19" i="38"/>
  <c r="BM19" i="38" s="1"/>
  <c r="AF19" i="38"/>
  <c r="AC19" i="38"/>
  <c r="Y19" i="38"/>
  <c r="V19" i="38"/>
  <c r="N19" i="38"/>
  <c r="L19" i="38"/>
  <c r="AQ18" i="38"/>
  <c r="AH18" i="38"/>
  <c r="Y18" i="38"/>
  <c r="BM18" i="38" s="1"/>
  <c r="V18" i="38"/>
  <c r="BL18" i="38" s="1"/>
  <c r="N18" i="38"/>
  <c r="BA17" i="38"/>
  <c r="BM17" i="38" s="1"/>
  <c r="AW17" i="38"/>
  <c r="AH17" i="38"/>
  <c r="BL17" i="38" s="1"/>
  <c r="P17" i="38"/>
  <c r="N17" i="38"/>
  <c r="H16" i="38"/>
  <c r="G16" i="38"/>
  <c r="F16" i="38"/>
  <c r="AY15" i="38"/>
  <c r="BM15" i="38" s="1"/>
  <c r="AQ15" i="38"/>
  <c r="AF15" i="38"/>
  <c r="BL15" i="38" s="1"/>
  <c r="L15" i="38"/>
  <c r="BM14" i="38"/>
  <c r="BL14" i="38"/>
  <c r="Y14" i="38"/>
  <c r="P14" i="38"/>
  <c r="AF13" i="38"/>
  <c r="BL13" i="38" s="1"/>
  <c r="Z13" i="38"/>
  <c r="Y13" i="38"/>
  <c r="BM13" i="38" s="1"/>
  <c r="P13" i="38"/>
  <c r="BL12" i="38"/>
  <c r="AY12" i="38"/>
  <c r="BM12" i="38" s="1"/>
  <c r="AQ12" i="38"/>
  <c r="AO12" i="38"/>
  <c r="AH12" i="38"/>
  <c r="Z12" i="38"/>
  <c r="P12" i="38"/>
  <c r="J12" i="38"/>
  <c r="AQ11" i="38"/>
  <c r="BM11" i="38" s="1"/>
  <c r="AO11" i="38"/>
  <c r="AH11" i="38"/>
  <c r="BL11" i="38" s="1"/>
  <c r="BM10" i="38"/>
  <c r="AO10" i="38"/>
  <c r="AH10" i="38"/>
  <c r="AF10" i="38"/>
  <c r="AC10" i="38"/>
  <c r="Y10" i="38"/>
  <c r="V10" i="38"/>
  <c r="BL10" i="38" s="1"/>
  <c r="P10" i="38"/>
  <c r="BH9" i="38"/>
  <c r="BL9" i="38" s="1"/>
  <c r="AQ9" i="38"/>
  <c r="BM9" i="38" s="1"/>
  <c r="AO9" i="38"/>
  <c r="AC9" i="38"/>
  <c r="Y9" i="38"/>
  <c r="BH8" i="38"/>
  <c r="BL8" i="38" s="1"/>
  <c r="BA8" i="38"/>
  <c r="BM8" i="38" s="1"/>
  <c r="AW8" i="38"/>
  <c r="AQ8" i="38"/>
  <c r="AO8" i="38"/>
  <c r="AJ8" i="38"/>
  <c r="AF8" i="38"/>
  <c r="Z8" i="38"/>
  <c r="Y8" i="38"/>
  <c r="V8" i="38"/>
  <c r="P8" i="38"/>
  <c r="J8" i="38"/>
  <c r="AF7" i="38"/>
  <c r="BL7" i="38" s="1"/>
  <c r="Y7" i="38"/>
  <c r="BM7" i="38" s="1"/>
  <c r="P7" i="38"/>
  <c r="J7" i="38"/>
  <c r="AQ6" i="38"/>
  <c r="AO6" i="38"/>
  <c r="BM6" i="38" s="1"/>
  <c r="AF6" i="38"/>
  <c r="Y6" i="38"/>
  <c r="L6" i="38"/>
  <c r="BL6" i="38" s="1"/>
  <c r="J6" i="38"/>
  <c r="BL5" i="38"/>
  <c r="AO5" i="38"/>
  <c r="BM5" i="38" s="1"/>
  <c r="Y5" i="38"/>
  <c r="AC15" i="35"/>
  <c r="AA15" i="35"/>
  <c r="Z15" i="35"/>
  <c r="Y15" i="35"/>
  <c r="Q15" i="35"/>
  <c r="P15" i="35"/>
  <c r="O15" i="35"/>
  <c r="S15" i="35" s="1"/>
  <c r="G15" i="35"/>
  <c r="F15" i="35"/>
  <c r="E15" i="35"/>
  <c r="I15" i="35" s="1"/>
  <c r="I14" i="35"/>
  <c r="S13" i="35"/>
  <c r="I13" i="35"/>
  <c r="S12" i="35"/>
  <c r="I12" i="35"/>
  <c r="S11" i="35"/>
  <c r="I11" i="35"/>
  <c r="S10" i="35"/>
  <c r="I10" i="35"/>
  <c r="AC9" i="35"/>
  <c r="S9" i="35"/>
  <c r="I9" i="35"/>
  <c r="AC8" i="35"/>
  <c r="S8" i="35"/>
  <c r="I8" i="35"/>
  <c r="AC7" i="35"/>
  <c r="S7" i="35"/>
  <c r="I7" i="35"/>
  <c r="AC6" i="35"/>
  <c r="S6" i="35"/>
  <c r="I6" i="35"/>
  <c r="AC5" i="35"/>
  <c r="S5" i="35"/>
  <c r="I5" i="35"/>
  <c r="AC4" i="35"/>
  <c r="S4" i="35"/>
  <c r="I4" i="35"/>
  <c r="BL31" i="38" l="1"/>
  <c r="AE36" i="38"/>
  <c r="BF36" i="38"/>
  <c r="AT36" i="38"/>
  <c r="AH36" i="38"/>
  <c r="V36" i="38"/>
  <c r="BC36" i="38"/>
  <c r="AQ36" i="38"/>
  <c r="S36" i="38"/>
  <c r="BB36" i="38"/>
  <c r="AP36" i="38"/>
  <c r="AD36" i="38"/>
  <c r="R36" i="38"/>
  <c r="BA36" i="38"/>
  <c r="AO36" i="38"/>
  <c r="AC36" i="38"/>
  <c r="Q36" i="38"/>
  <c r="AZ36" i="38"/>
  <c r="AN36" i="38"/>
  <c r="AB36" i="38"/>
  <c r="P36" i="38"/>
  <c r="AD17" i="35"/>
  <c r="J60" i="36"/>
  <c r="J81" i="36"/>
  <c r="J67" i="36"/>
  <c r="Y20" i="17"/>
  <c r="AT57" i="17"/>
  <c r="AS57" i="17"/>
  <c r="AT55" i="17"/>
  <c r="AS55" i="17"/>
  <c r="AT53" i="17"/>
  <c r="AS53" i="17"/>
  <c r="AT51" i="17"/>
  <c r="AS51" i="17"/>
  <c r="AT48" i="17"/>
  <c r="AS48" i="17"/>
  <c r="AT45" i="17"/>
  <c r="AS45" i="17"/>
  <c r="AT39" i="17"/>
  <c r="AS39" i="17"/>
  <c r="AT33" i="17"/>
  <c r="AS33" i="17"/>
  <c r="AT31" i="17"/>
  <c r="AS31" i="17"/>
  <c r="AT29" i="17"/>
  <c r="AS29" i="17"/>
  <c r="AT27" i="17"/>
  <c r="AS27" i="17"/>
  <c r="AT25" i="17"/>
  <c r="AS25" i="17"/>
  <c r="AT23" i="17"/>
  <c r="AS23" i="17"/>
  <c r="AT20" i="17"/>
  <c r="AS20" i="17"/>
  <c r="AT14" i="17"/>
  <c r="AS14" i="17"/>
  <c r="AT11" i="17"/>
  <c r="AS11" i="17"/>
  <c r="AT7" i="17"/>
  <c r="AS7" i="17"/>
  <c r="AT4" i="17"/>
  <c r="AS4" i="17"/>
  <c r="AP57" i="17"/>
  <c r="AO57" i="17"/>
  <c r="AP55" i="17"/>
  <c r="AO55" i="17"/>
  <c r="AP53" i="17"/>
  <c r="AO53" i="17"/>
  <c r="AP51" i="17"/>
  <c r="AO51" i="17"/>
  <c r="AP48" i="17"/>
  <c r="AO48" i="17"/>
  <c r="AP45" i="17"/>
  <c r="AO45" i="17"/>
  <c r="AP39" i="17"/>
  <c r="AO39" i="17"/>
  <c r="AP33" i="17"/>
  <c r="AO33" i="17"/>
  <c r="AP31" i="17"/>
  <c r="AO31" i="17"/>
  <c r="AP29" i="17"/>
  <c r="AO29" i="17"/>
  <c r="AP27" i="17"/>
  <c r="AO27" i="17"/>
  <c r="AP25" i="17"/>
  <c r="AO25" i="17"/>
  <c r="AP23" i="17"/>
  <c r="AO23" i="17"/>
  <c r="AP20" i="17"/>
  <c r="AO20" i="17"/>
  <c r="AP14" i="17"/>
  <c r="AO14" i="17"/>
  <c r="AP11" i="17"/>
  <c r="AO11" i="17"/>
  <c r="AP7" i="17"/>
  <c r="AO7" i="17"/>
  <c r="AP4" i="17"/>
  <c r="AO4" i="17"/>
  <c r="AL57" i="17"/>
  <c r="AK57" i="17"/>
  <c r="AL55" i="17"/>
  <c r="AK55" i="17"/>
  <c r="AL53" i="17"/>
  <c r="AK53" i="17"/>
  <c r="AL51" i="17"/>
  <c r="AK51" i="17"/>
  <c r="AL48" i="17"/>
  <c r="AK48" i="17"/>
  <c r="AL45" i="17"/>
  <c r="AK45" i="17"/>
  <c r="AL39" i="17"/>
  <c r="AK39" i="17"/>
  <c r="AL33" i="17"/>
  <c r="AK33" i="17"/>
  <c r="AL31" i="17"/>
  <c r="AK31" i="17"/>
  <c r="AL29" i="17"/>
  <c r="AK29" i="17"/>
  <c r="AL27" i="17"/>
  <c r="AK27" i="17"/>
  <c r="AL25" i="17"/>
  <c r="AK25" i="17"/>
  <c r="AL23" i="17"/>
  <c r="AK23" i="17"/>
  <c r="AL20" i="17"/>
  <c r="AK20" i="17"/>
  <c r="AL14" i="17"/>
  <c r="AK14" i="17"/>
  <c r="AL11" i="17"/>
  <c r="AK11" i="17"/>
  <c r="AL7" i="17"/>
  <c r="AK7" i="17"/>
  <c r="AL4" i="17"/>
  <c r="AK4" i="17"/>
  <c r="AH57" i="17"/>
  <c r="AG57" i="17"/>
  <c r="AH55" i="17"/>
  <c r="AG55" i="17"/>
  <c r="AH53" i="17"/>
  <c r="AG53" i="17"/>
  <c r="AH51" i="17"/>
  <c r="AG51" i="17"/>
  <c r="AH48" i="17"/>
  <c r="AG48" i="17"/>
  <c r="AH45" i="17"/>
  <c r="AG45" i="17"/>
  <c r="AH39" i="17"/>
  <c r="AG39" i="17"/>
  <c r="AH33" i="17"/>
  <c r="AG33" i="17"/>
  <c r="AH31" i="17"/>
  <c r="AG31" i="17"/>
  <c r="AH29" i="17"/>
  <c r="AG29" i="17"/>
  <c r="AH27" i="17"/>
  <c r="AG27" i="17"/>
  <c r="AH25" i="17"/>
  <c r="AG25" i="17"/>
  <c r="AH23" i="17"/>
  <c r="AG23" i="17"/>
  <c r="AH20" i="17"/>
  <c r="AG20" i="17"/>
  <c r="AH14" i="17"/>
  <c r="AG14" i="17"/>
  <c r="AH11" i="17"/>
  <c r="AG11" i="17"/>
  <c r="AH7" i="17"/>
  <c r="AG7" i="17"/>
  <c r="AH4" i="17"/>
  <c r="AG4" i="17"/>
  <c r="AD57" i="17"/>
  <c r="AC57" i="17"/>
  <c r="AD55" i="17"/>
  <c r="AC55" i="17"/>
  <c r="AD53" i="17"/>
  <c r="AC53" i="17"/>
  <c r="AD51" i="17"/>
  <c r="AC51" i="17"/>
  <c r="AD48" i="17"/>
  <c r="AC48" i="17"/>
  <c r="AD45" i="17"/>
  <c r="AC45" i="17"/>
  <c r="AD39" i="17"/>
  <c r="AC39" i="17"/>
  <c r="AD33" i="17"/>
  <c r="AC33" i="17"/>
  <c r="AD31" i="17"/>
  <c r="AC31" i="17"/>
  <c r="AD29" i="17"/>
  <c r="AC29" i="17"/>
  <c r="AD27" i="17"/>
  <c r="AC27" i="17"/>
  <c r="AD25" i="17"/>
  <c r="AC25" i="17"/>
  <c r="AD23" i="17"/>
  <c r="AC23" i="17"/>
  <c r="AD20" i="17"/>
  <c r="AC20" i="17"/>
  <c r="AD14" i="17"/>
  <c r="AC14" i="17"/>
  <c r="AD11" i="17"/>
  <c r="AC11" i="17"/>
  <c r="AD7" i="17"/>
  <c r="AC7" i="17"/>
  <c r="AD4" i="17"/>
  <c r="AC4" i="17"/>
  <c r="Z57" i="17"/>
  <c r="Y57" i="17"/>
  <c r="Z55" i="17"/>
  <c r="Y55" i="17"/>
  <c r="Z53" i="17"/>
  <c r="Y53" i="17"/>
  <c r="Z51" i="17"/>
  <c r="Y51" i="17"/>
  <c r="Z48" i="17"/>
  <c r="Y48" i="17"/>
  <c r="Z45" i="17"/>
  <c r="Y45" i="17"/>
  <c r="Z39" i="17"/>
  <c r="Y39" i="17"/>
  <c r="Z33" i="17"/>
  <c r="Y33" i="17"/>
  <c r="Z31" i="17"/>
  <c r="Y31" i="17"/>
  <c r="Z29" i="17"/>
  <c r="Y29" i="17"/>
  <c r="Z27" i="17"/>
  <c r="Y27" i="17"/>
  <c r="Z25" i="17"/>
  <c r="Y25" i="17"/>
  <c r="Z23" i="17"/>
  <c r="Y23" i="17"/>
  <c r="Z20" i="17"/>
  <c r="Z14" i="17"/>
  <c r="Y14" i="17"/>
  <c r="Z11" i="17"/>
  <c r="Y11" i="17"/>
  <c r="Z7" i="17"/>
  <c r="Y7" i="17"/>
  <c r="Z4" i="17"/>
  <c r="Y4" i="17"/>
  <c r="V57" i="17"/>
  <c r="U57" i="17"/>
  <c r="V55" i="17"/>
  <c r="U55" i="17"/>
  <c r="V53" i="17"/>
  <c r="U53" i="17"/>
  <c r="V51" i="17"/>
  <c r="U51" i="17"/>
  <c r="V48" i="17"/>
  <c r="U48" i="17"/>
  <c r="V45" i="17"/>
  <c r="U45" i="17"/>
  <c r="V39" i="17"/>
  <c r="U39" i="17"/>
  <c r="V33" i="17"/>
  <c r="U33" i="17"/>
  <c r="V31" i="17"/>
  <c r="U31" i="17"/>
  <c r="V29" i="17"/>
  <c r="U29" i="17"/>
  <c r="V27" i="17"/>
  <c r="U27" i="17"/>
  <c r="V25" i="17"/>
  <c r="U25" i="17"/>
  <c r="V23" i="17"/>
  <c r="U23" i="17"/>
  <c r="V20" i="17"/>
  <c r="U20" i="17"/>
  <c r="V14" i="17"/>
  <c r="U14" i="17"/>
  <c r="V11" i="17"/>
  <c r="U11" i="17"/>
  <c r="V7" i="17"/>
  <c r="U7" i="17"/>
  <c r="V4" i="17"/>
  <c r="U4" i="17"/>
  <c r="R57" i="17"/>
  <c r="Q57" i="17"/>
  <c r="R55" i="17"/>
  <c r="Q55" i="17"/>
  <c r="R53" i="17"/>
  <c r="Q53" i="17"/>
  <c r="R51" i="17"/>
  <c r="Q51" i="17"/>
  <c r="R48" i="17"/>
  <c r="Q48" i="17"/>
  <c r="R45" i="17"/>
  <c r="Q45" i="17"/>
  <c r="R39" i="17"/>
  <c r="Q39" i="17"/>
  <c r="R33" i="17"/>
  <c r="Q33" i="17"/>
  <c r="R31" i="17"/>
  <c r="Q31" i="17"/>
  <c r="R29" i="17"/>
  <c r="Q29" i="17"/>
  <c r="R27" i="17"/>
  <c r="Q27" i="17"/>
  <c r="R25" i="17"/>
  <c r="Q25" i="17"/>
  <c r="R23" i="17"/>
  <c r="Q23" i="17"/>
  <c r="R20" i="17"/>
  <c r="Q20" i="17"/>
  <c r="R14" i="17"/>
  <c r="Q14" i="17"/>
  <c r="R11" i="17"/>
  <c r="Q11" i="17"/>
  <c r="R7" i="17"/>
  <c r="Q7" i="17"/>
  <c r="R4" i="17"/>
  <c r="Q4" i="17"/>
  <c r="N57" i="17"/>
  <c r="M57" i="17"/>
  <c r="N55" i="17"/>
  <c r="M55" i="17"/>
  <c r="N53" i="17"/>
  <c r="M53" i="17"/>
  <c r="N51" i="17"/>
  <c r="M51" i="17"/>
  <c r="N48" i="17"/>
  <c r="M48" i="17"/>
  <c r="N45" i="17"/>
  <c r="M45" i="17"/>
  <c r="N39" i="17"/>
  <c r="M39" i="17"/>
  <c r="N33" i="17"/>
  <c r="M33" i="17"/>
  <c r="N31" i="17"/>
  <c r="M31" i="17"/>
  <c r="N29" i="17"/>
  <c r="M29" i="17"/>
  <c r="N27" i="17"/>
  <c r="M27" i="17"/>
  <c r="N25" i="17"/>
  <c r="M25" i="17"/>
  <c r="N23" i="17"/>
  <c r="M23" i="17"/>
  <c r="N20" i="17"/>
  <c r="M20" i="17"/>
  <c r="N14" i="17"/>
  <c r="M14" i="17"/>
  <c r="N11" i="17"/>
  <c r="M11" i="17"/>
  <c r="N7" i="17"/>
  <c r="M7" i="17"/>
  <c r="N4" i="17"/>
  <c r="M4" i="17"/>
  <c r="J57" i="17"/>
  <c r="I57" i="17"/>
  <c r="J55" i="17"/>
  <c r="I55" i="17"/>
  <c r="J53" i="17"/>
  <c r="I53" i="17"/>
  <c r="J51" i="17"/>
  <c r="I51" i="17"/>
  <c r="J48" i="17"/>
  <c r="I48" i="17"/>
  <c r="J45" i="17"/>
  <c r="I45" i="17"/>
  <c r="J39" i="17"/>
  <c r="I39" i="17"/>
  <c r="J33" i="17"/>
  <c r="I33" i="17"/>
  <c r="J31" i="17"/>
  <c r="I31" i="17"/>
  <c r="J29" i="17"/>
  <c r="I29" i="17"/>
  <c r="J27" i="17"/>
  <c r="I27" i="17"/>
  <c r="J25" i="17"/>
  <c r="I25" i="17"/>
  <c r="J23" i="17"/>
  <c r="I23" i="17"/>
  <c r="J20" i="17"/>
  <c r="I20" i="17"/>
  <c r="J14" i="17"/>
  <c r="I14" i="17"/>
  <c r="J11" i="17"/>
  <c r="I11" i="17"/>
  <c r="J7" i="17"/>
  <c r="I7" i="17"/>
  <c r="J4" i="17"/>
  <c r="I4" i="17"/>
  <c r="AX21" i="17"/>
  <c r="AW21" i="17"/>
  <c r="F23" i="17"/>
  <c r="E23" i="17"/>
  <c r="E25" i="17"/>
  <c r="AT58" i="17" l="1"/>
  <c r="AV21" i="17" s="1"/>
  <c r="AS58" i="17"/>
  <c r="AP58" i="17"/>
  <c r="AR21" i="17" s="1"/>
  <c r="AO58" i="17"/>
  <c r="AK58" i="17"/>
  <c r="AL58" i="17"/>
  <c r="AN21" i="17" s="1"/>
  <c r="AH58" i="17"/>
  <c r="AJ21" i="17" s="1"/>
  <c r="AG58" i="17"/>
  <c r="AD58" i="17"/>
  <c r="AF21" i="17" s="1"/>
  <c r="AC58" i="17"/>
  <c r="Y58" i="17"/>
  <c r="Z58" i="17"/>
  <c r="AB21" i="17" s="1"/>
  <c r="U58" i="17"/>
  <c r="V58" i="17"/>
  <c r="X21" i="17" s="1"/>
  <c r="Q58" i="17"/>
  <c r="R58" i="17"/>
  <c r="T21" i="17" s="1"/>
  <c r="N58" i="17"/>
  <c r="P21" i="17" s="1"/>
  <c r="M58" i="17"/>
  <c r="I58" i="17"/>
  <c r="J58" i="17"/>
  <c r="L21" i="17" s="1"/>
  <c r="AJ15" i="3" l="1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AH15" i="3"/>
  <c r="BF5" i="3"/>
  <c r="BG5" i="3"/>
  <c r="BF6" i="3"/>
  <c r="BG6" i="3"/>
  <c r="BF7" i="3"/>
  <c r="BG7" i="3"/>
  <c r="BF8" i="3"/>
  <c r="BG8" i="3"/>
  <c r="BF9" i="3"/>
  <c r="BG9" i="3"/>
  <c r="BF10" i="3"/>
  <c r="BG10" i="3"/>
  <c r="BF11" i="3"/>
  <c r="BG11" i="3"/>
  <c r="BF12" i="3"/>
  <c r="BG12" i="3"/>
  <c r="BF13" i="3"/>
  <c r="BG13" i="3"/>
  <c r="BF14" i="3"/>
  <c r="BG14" i="3"/>
  <c r="BG4" i="3"/>
  <c r="BF4" i="3"/>
  <c r="DM22" i="20"/>
  <c r="DN22" i="20"/>
  <c r="EN22" i="20"/>
  <c r="EP22" i="20"/>
  <c r="EO22" i="20"/>
  <c r="EQ22" i="20" s="1"/>
  <c r="DR24" i="20"/>
  <c r="DS24" i="20"/>
  <c r="DT24" i="20"/>
  <c r="DU24" i="20"/>
  <c r="DV24" i="20"/>
  <c r="DW24" i="20"/>
  <c r="DX24" i="20"/>
  <c r="DY24" i="20"/>
  <c r="DZ24" i="20"/>
  <c r="EA24" i="20"/>
  <c r="EB24" i="20"/>
  <c r="EC24" i="20"/>
  <c r="ED24" i="20"/>
  <c r="EE24" i="20"/>
  <c r="EF24" i="20"/>
  <c r="EG24" i="20"/>
  <c r="EH24" i="20"/>
  <c r="EI24" i="20"/>
  <c r="EJ24" i="20"/>
  <c r="EK24" i="20"/>
  <c r="EL24" i="20"/>
  <c r="EM24" i="20"/>
  <c r="DP24" i="20"/>
  <c r="DQ24" i="20"/>
  <c r="BG15" i="3" l="1"/>
  <c r="EW22" i="20"/>
  <c r="EY22" i="20" s="1"/>
  <c r="EZ22" i="20" s="1"/>
  <c r="BF15" i="3"/>
  <c r="EV22" i="20"/>
  <c r="EX22" i="20" s="1"/>
  <c r="DK6" i="20" l="1"/>
  <c r="DL6" i="20"/>
  <c r="DK7" i="20"/>
  <c r="DL7" i="20"/>
  <c r="DK9" i="20"/>
  <c r="DL9" i="20"/>
  <c r="DK10" i="20"/>
  <c r="DL10" i="20"/>
  <c r="DK11" i="20"/>
  <c r="DL11" i="20"/>
  <c r="DK13" i="20"/>
  <c r="DL13" i="20"/>
  <c r="DK14" i="20"/>
  <c r="DL14" i="20"/>
  <c r="DK16" i="20"/>
  <c r="DL16" i="20"/>
  <c r="DK17" i="20"/>
  <c r="DL17" i="20"/>
  <c r="DK18" i="20"/>
  <c r="DL18" i="20"/>
  <c r="DK19" i="20"/>
  <c r="DL19" i="20"/>
  <c r="DK20" i="20"/>
  <c r="DL20" i="20"/>
  <c r="DK23" i="20"/>
  <c r="DK24" i="20" s="1"/>
  <c r="DL23" i="20"/>
  <c r="DL24" i="20" s="1"/>
  <c r="DK25" i="20"/>
  <c r="DL25" i="20"/>
  <c r="DK27" i="20"/>
  <c r="DL27" i="20"/>
  <c r="DK28" i="20"/>
  <c r="DL28" i="20"/>
  <c r="DK29" i="20"/>
  <c r="DL29" i="20"/>
  <c r="DK30" i="20"/>
  <c r="DL30" i="20"/>
  <c r="DK31" i="20"/>
  <c r="DL31" i="20"/>
  <c r="DK32" i="20"/>
  <c r="DL32" i="20"/>
  <c r="DK33" i="20"/>
  <c r="DL33" i="20"/>
  <c r="DK35" i="20"/>
  <c r="DL35" i="20"/>
  <c r="DK36" i="20"/>
  <c r="DL36" i="20"/>
  <c r="DK37" i="20"/>
  <c r="DL37" i="20"/>
  <c r="DK38" i="20"/>
  <c r="DL38" i="20"/>
  <c r="DK40" i="20"/>
  <c r="DL40" i="20"/>
  <c r="DK41" i="20"/>
  <c r="DL41" i="20"/>
  <c r="DK42" i="20"/>
  <c r="DL42" i="20"/>
  <c r="DK43" i="20"/>
  <c r="DL43" i="20"/>
  <c r="DK45" i="20"/>
  <c r="DL45" i="20"/>
  <c r="DK46" i="20"/>
  <c r="DL46" i="20"/>
  <c r="DK48" i="20"/>
  <c r="DL48" i="20"/>
  <c r="DK49" i="20"/>
  <c r="DL49" i="20"/>
  <c r="DK50" i="20"/>
  <c r="DL50" i="20"/>
  <c r="DK51" i="20"/>
  <c r="DL51" i="20"/>
  <c r="DK53" i="20"/>
  <c r="DL53" i="20"/>
  <c r="DK55" i="20"/>
  <c r="DL55" i="20"/>
  <c r="DL4" i="20"/>
  <c r="DK4" i="20"/>
  <c r="CF30" i="23"/>
  <c r="CG30" i="23"/>
  <c r="CH30" i="23"/>
  <c r="CI30" i="23"/>
  <c r="CJ30" i="23"/>
  <c r="CK30" i="23"/>
  <c r="CL30" i="23"/>
  <c r="CM30" i="23"/>
  <c r="CN30" i="23"/>
  <c r="CO30" i="23"/>
  <c r="CP30" i="23"/>
  <c r="CQ30" i="23"/>
  <c r="CR30" i="23"/>
  <c r="CS30" i="23"/>
  <c r="CT30" i="23"/>
  <c r="CU30" i="23"/>
  <c r="CV30" i="23"/>
  <c r="CW30" i="23"/>
  <c r="CX30" i="23"/>
  <c r="CY30" i="23"/>
  <c r="CZ30" i="23"/>
  <c r="DA30" i="23"/>
  <c r="DB30" i="23"/>
  <c r="DC30" i="23"/>
  <c r="DD30" i="23"/>
  <c r="DE30" i="23"/>
  <c r="DF30" i="23"/>
  <c r="DG30" i="23"/>
  <c r="DH30" i="23"/>
  <c r="DI30" i="23"/>
  <c r="CL52" i="23" l="1"/>
  <c r="CM52" i="23"/>
  <c r="CN52" i="23"/>
  <c r="CX52" i="23"/>
  <c r="CY52" i="23"/>
  <c r="DA52" i="23"/>
  <c r="DB52" i="23"/>
  <c r="CF51" i="23"/>
  <c r="CF52" i="23" s="1"/>
  <c r="CG51" i="23"/>
  <c r="CG52" i="23" s="1"/>
  <c r="CH51" i="23"/>
  <c r="CH52" i="23" s="1"/>
  <c r="CI51" i="23"/>
  <c r="CI52" i="23" s="1"/>
  <c r="CJ51" i="23"/>
  <c r="CK51" i="23"/>
  <c r="CK52" i="23" s="1"/>
  <c r="CL51" i="23"/>
  <c r="CM51" i="23"/>
  <c r="CN51" i="23"/>
  <c r="CO51" i="23"/>
  <c r="CP51" i="23"/>
  <c r="CQ51" i="23"/>
  <c r="CR51" i="23"/>
  <c r="CS51" i="23"/>
  <c r="CS52" i="23" s="1"/>
  <c r="CT51" i="23"/>
  <c r="CU51" i="23"/>
  <c r="CU52" i="23" s="1"/>
  <c r="CV51" i="23"/>
  <c r="CV52" i="23" s="1"/>
  <c r="CW51" i="23"/>
  <c r="CW52" i="23" s="1"/>
  <c r="CX51" i="23"/>
  <c r="CY51" i="23"/>
  <c r="CZ51" i="23"/>
  <c r="DA51" i="23"/>
  <c r="DB51" i="23"/>
  <c r="DC51" i="23"/>
  <c r="DD51" i="23"/>
  <c r="DE51" i="23"/>
  <c r="DE52" i="23" s="1"/>
  <c r="DF51" i="23"/>
  <c r="DG51" i="23"/>
  <c r="DH51" i="23"/>
  <c r="DI51" i="23"/>
  <c r="CF46" i="23"/>
  <c r="CG46" i="23"/>
  <c r="CH46" i="23"/>
  <c r="CI46" i="23"/>
  <c r="CJ46" i="23"/>
  <c r="CJ52" i="23" s="1"/>
  <c r="CK46" i="23"/>
  <c r="CL46" i="23"/>
  <c r="CM46" i="23"/>
  <c r="CN46" i="23"/>
  <c r="CO46" i="23"/>
  <c r="CO52" i="23" s="1"/>
  <c r="CP46" i="23"/>
  <c r="CP52" i="23" s="1"/>
  <c r="CQ46" i="23"/>
  <c r="CQ52" i="23" s="1"/>
  <c r="CR46" i="23"/>
  <c r="CR52" i="23" s="1"/>
  <c r="CS46" i="23"/>
  <c r="CT46" i="23"/>
  <c r="CT52" i="23" s="1"/>
  <c r="CU46" i="23"/>
  <c r="CV46" i="23"/>
  <c r="CW46" i="23"/>
  <c r="CX46" i="23"/>
  <c r="CY46" i="23"/>
  <c r="CZ46" i="23"/>
  <c r="CZ52" i="23" s="1"/>
  <c r="DA46" i="23"/>
  <c r="DB46" i="23"/>
  <c r="DC46" i="23"/>
  <c r="DC52" i="23" s="1"/>
  <c r="DD46" i="23"/>
  <c r="DD52" i="23" s="1"/>
  <c r="DE46" i="23"/>
  <c r="DF46" i="23"/>
  <c r="DF52" i="23" s="1"/>
  <c r="DG46" i="23"/>
  <c r="DG52" i="23" s="1"/>
  <c r="DH46" i="23"/>
  <c r="DH52" i="23" s="1"/>
  <c r="DI46" i="23"/>
  <c r="DI52" i="23" s="1"/>
  <c r="BT50" i="23"/>
  <c r="BU50" i="23"/>
  <c r="BV50" i="23"/>
  <c r="BV49" i="23"/>
  <c r="BV51" i="23" s="1"/>
  <c r="BU49" i="23"/>
  <c r="BU51" i="23" s="1"/>
  <c r="BT49" i="23"/>
  <c r="BT51" i="23" s="1"/>
  <c r="BZ46" i="23"/>
  <c r="BT32" i="23"/>
  <c r="BU32" i="23"/>
  <c r="BV32" i="23"/>
  <c r="BT33" i="23"/>
  <c r="BU33" i="23"/>
  <c r="BV33" i="23"/>
  <c r="BT34" i="23"/>
  <c r="BU34" i="23"/>
  <c r="BV34" i="23"/>
  <c r="BT35" i="23"/>
  <c r="BU35" i="23"/>
  <c r="BV35" i="23"/>
  <c r="BT36" i="23"/>
  <c r="BU36" i="23"/>
  <c r="BV36" i="23"/>
  <c r="BT37" i="23"/>
  <c r="BU37" i="23"/>
  <c r="BV37" i="23"/>
  <c r="BT38" i="23"/>
  <c r="BU38" i="23"/>
  <c r="BV38" i="23"/>
  <c r="BT39" i="23"/>
  <c r="BU39" i="23"/>
  <c r="BV39" i="23"/>
  <c r="BT40" i="23"/>
  <c r="BU40" i="23"/>
  <c r="BV40" i="23"/>
  <c r="BT41" i="23"/>
  <c r="BU41" i="23"/>
  <c r="BV41" i="23"/>
  <c r="BT42" i="23"/>
  <c r="BU42" i="23"/>
  <c r="BV42" i="23"/>
  <c r="BT43" i="23"/>
  <c r="BU43" i="23"/>
  <c r="BV43" i="23"/>
  <c r="BT44" i="23"/>
  <c r="BU44" i="23"/>
  <c r="BV44" i="23"/>
  <c r="BT45" i="23"/>
  <c r="BU45" i="23"/>
  <c r="BV45" i="23"/>
  <c r="BV31" i="23"/>
  <c r="BV46" i="23" s="1"/>
  <c r="BU31" i="23"/>
  <c r="BU46" i="23" s="1"/>
  <c r="BT31" i="23"/>
  <c r="BT46" i="23" s="1"/>
  <c r="BZ30" i="23"/>
  <c r="BT5" i="23"/>
  <c r="BU5" i="23"/>
  <c r="BV5" i="23"/>
  <c r="BT6" i="23"/>
  <c r="BU6" i="23"/>
  <c r="BV6" i="23"/>
  <c r="BT7" i="23"/>
  <c r="BU7" i="23"/>
  <c r="BU30" i="23" s="1"/>
  <c r="BV7" i="23"/>
  <c r="BV30" i="23" s="1"/>
  <c r="BT8" i="23"/>
  <c r="BT30" i="23" s="1"/>
  <c r="BU8" i="23"/>
  <c r="BV8" i="23"/>
  <c r="BT9" i="23"/>
  <c r="BU9" i="23"/>
  <c r="BV9" i="23"/>
  <c r="BT10" i="23"/>
  <c r="BU10" i="23"/>
  <c r="BV10" i="23"/>
  <c r="BT11" i="23"/>
  <c r="BU11" i="23"/>
  <c r="BV11" i="23"/>
  <c r="BT12" i="23"/>
  <c r="BU12" i="23"/>
  <c r="BV12" i="23"/>
  <c r="BT13" i="23"/>
  <c r="BU13" i="23"/>
  <c r="BV13" i="23"/>
  <c r="BT14" i="23"/>
  <c r="BU14" i="23"/>
  <c r="BV14" i="23"/>
  <c r="BT15" i="23"/>
  <c r="BU15" i="23"/>
  <c r="BV15" i="23"/>
  <c r="BT16" i="23"/>
  <c r="BU16" i="23"/>
  <c r="BV16" i="23"/>
  <c r="BT17" i="23"/>
  <c r="BU17" i="23"/>
  <c r="BV17" i="23"/>
  <c r="BT18" i="23"/>
  <c r="BU18" i="23"/>
  <c r="BV18" i="23"/>
  <c r="BT19" i="23"/>
  <c r="BU19" i="23"/>
  <c r="BV19" i="23"/>
  <c r="BT20" i="23"/>
  <c r="BU20" i="23"/>
  <c r="BV20" i="23"/>
  <c r="BT21" i="23"/>
  <c r="BU21" i="23"/>
  <c r="BV21" i="23"/>
  <c r="BT22" i="23"/>
  <c r="BU22" i="23"/>
  <c r="BV22" i="23"/>
  <c r="BT23" i="23"/>
  <c r="BU23" i="23"/>
  <c r="BV23" i="23"/>
  <c r="BT24" i="23"/>
  <c r="BU24" i="23"/>
  <c r="BV24" i="23"/>
  <c r="BT25" i="23"/>
  <c r="BU25" i="23"/>
  <c r="BV25" i="23"/>
  <c r="BT26" i="23"/>
  <c r="BU26" i="23"/>
  <c r="BV26" i="23"/>
  <c r="BT27" i="23"/>
  <c r="BU27" i="23"/>
  <c r="BV27" i="23"/>
  <c r="BT28" i="23"/>
  <c r="BU28" i="23"/>
  <c r="BV28" i="23"/>
  <c r="BT29" i="23"/>
  <c r="BU29" i="23"/>
  <c r="BV29" i="23"/>
  <c r="BU4" i="23"/>
  <c r="BV4" i="23"/>
  <c r="BT4" i="23"/>
  <c r="BU52" i="23" l="1"/>
  <c r="BT52" i="23"/>
  <c r="BV52" i="23"/>
  <c r="R27" i="34"/>
  <c r="R26" i="34"/>
  <c r="J26" i="34"/>
  <c r="R25" i="34"/>
  <c r="J25" i="34"/>
  <c r="R24" i="34"/>
  <c r="J24" i="34"/>
  <c r="R23" i="34"/>
  <c r="J23" i="34"/>
  <c r="R22" i="34"/>
  <c r="J22" i="34"/>
  <c r="R21" i="34"/>
  <c r="J21" i="34"/>
  <c r="R20" i="34"/>
  <c r="J20" i="34"/>
  <c r="R19" i="34"/>
  <c r="J19" i="34"/>
  <c r="R18" i="34"/>
  <c r="J18" i="34"/>
  <c r="R17" i="34"/>
  <c r="J17" i="34"/>
  <c r="R16" i="34"/>
  <c r="J16" i="34"/>
  <c r="R15" i="34"/>
  <c r="J15" i="34"/>
  <c r="R14" i="34"/>
  <c r="J14" i="34"/>
  <c r="R13" i="34"/>
  <c r="J13" i="34"/>
  <c r="R12" i="34"/>
  <c r="J12" i="34"/>
  <c r="R11" i="34"/>
  <c r="J11" i="34"/>
  <c r="R10" i="34"/>
  <c r="J10" i="34"/>
  <c r="R9" i="34"/>
  <c r="J9" i="34"/>
  <c r="R8" i="34"/>
  <c r="J8" i="34"/>
  <c r="R7" i="34"/>
  <c r="J7" i="34"/>
  <c r="R6" i="34"/>
  <c r="J6" i="34"/>
  <c r="R5" i="34"/>
  <c r="J5" i="34"/>
  <c r="R4" i="34"/>
  <c r="J4" i="34"/>
  <c r="R3" i="34"/>
  <c r="J3" i="34"/>
  <c r="CE51" i="23" l="1"/>
  <c r="CD51" i="23"/>
  <c r="CC51" i="23"/>
  <c r="CB51" i="23"/>
  <c r="CA51" i="23"/>
  <c r="BZ51" i="23"/>
  <c r="BZ52" i="23" s="1"/>
  <c r="BP51" i="23"/>
  <c r="BO51" i="23"/>
  <c r="BN51" i="23"/>
  <c r="BM51" i="23"/>
  <c r="BL51" i="23"/>
  <c r="BL52" i="23" s="1"/>
  <c r="BK51" i="23"/>
  <c r="BK52" i="23" s="1"/>
  <c r="BJ51" i="23"/>
  <c r="BI51" i="23"/>
  <c r="BH51" i="23"/>
  <c r="BG51" i="23"/>
  <c r="BF51" i="23"/>
  <c r="BE51" i="23"/>
  <c r="BD51" i="23"/>
  <c r="BD52" i="23" s="1"/>
  <c r="BC51" i="23"/>
  <c r="BC52" i="23" s="1"/>
  <c r="BB51" i="23"/>
  <c r="BB52" i="23" s="1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N52" i="23" s="1"/>
  <c r="AM51" i="23"/>
  <c r="AM52" i="23" s="1"/>
  <c r="AL51" i="23"/>
  <c r="AK51" i="23"/>
  <c r="AJ51" i="23"/>
  <c r="AI51" i="23"/>
  <c r="AH51" i="23"/>
  <c r="AG51" i="23"/>
  <c r="AD51" i="23"/>
  <c r="AD52" i="23" s="1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P52" i="23" s="1"/>
  <c r="O51" i="23"/>
  <c r="O52" i="23" s="1"/>
  <c r="N51" i="23"/>
  <c r="N52" i="23" s="1"/>
  <c r="M51" i="23"/>
  <c r="L51" i="23"/>
  <c r="K51" i="23"/>
  <c r="J51" i="23"/>
  <c r="I51" i="23"/>
  <c r="H51" i="23"/>
  <c r="G51" i="23"/>
  <c r="G52" i="23" s="1"/>
  <c r="DL50" i="23"/>
  <c r="DO50" i="23" s="1"/>
  <c r="DP50" i="23" s="1"/>
  <c r="DK50" i="23"/>
  <c r="DN50" i="23" s="1"/>
  <c r="DJ50" i="23"/>
  <c r="DM50" i="23" s="1"/>
  <c r="BW50" i="23"/>
  <c r="BS50" i="23"/>
  <c r="BY50" i="23" s="1"/>
  <c r="BR50" i="23"/>
  <c r="BX50" i="23" s="1"/>
  <c r="BQ50" i="23"/>
  <c r="AF50" i="23"/>
  <c r="AE50" i="23"/>
  <c r="DL49" i="23"/>
  <c r="DK49" i="23"/>
  <c r="DJ49" i="23"/>
  <c r="BS49" i="23"/>
  <c r="BY49" i="23" s="1"/>
  <c r="BR49" i="23"/>
  <c r="BX49" i="23" s="1"/>
  <c r="BX51" i="23" s="1"/>
  <c r="BQ49" i="23"/>
  <c r="BW49" i="23" s="1"/>
  <c r="BW51" i="23" s="1"/>
  <c r="AF49" i="23"/>
  <c r="AE49" i="23"/>
  <c r="BS48" i="23"/>
  <c r="BR48" i="23"/>
  <c r="BQ48" i="23"/>
  <c r="AF48" i="23"/>
  <c r="AE48" i="23"/>
  <c r="BS47" i="23"/>
  <c r="BR47" i="23"/>
  <c r="BQ47" i="23"/>
  <c r="AF47" i="23"/>
  <c r="AE47" i="23"/>
  <c r="CE46" i="23"/>
  <c r="CD46" i="23"/>
  <c r="CC46" i="23"/>
  <c r="CB46" i="23"/>
  <c r="CA46" i="23"/>
  <c r="BP46" i="23"/>
  <c r="BO46" i="23"/>
  <c r="BN46" i="23"/>
  <c r="BM46" i="23"/>
  <c r="BL46" i="23"/>
  <c r="BK46" i="23"/>
  <c r="BJ46" i="23"/>
  <c r="BI46" i="23"/>
  <c r="BH46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T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DL45" i="23"/>
  <c r="DO45" i="23" s="1"/>
  <c r="DK45" i="23"/>
  <c r="DN45" i="23" s="1"/>
  <c r="DJ45" i="23"/>
  <c r="DM45" i="23" s="1"/>
  <c r="BS45" i="23"/>
  <c r="BY45" i="23" s="1"/>
  <c r="BR45" i="23"/>
  <c r="BX45" i="23" s="1"/>
  <c r="BQ45" i="23"/>
  <c r="BW45" i="23" s="1"/>
  <c r="AF45" i="23"/>
  <c r="AE45" i="23"/>
  <c r="DL44" i="23"/>
  <c r="DO44" i="23" s="1"/>
  <c r="DK44" i="23"/>
  <c r="DN44" i="23" s="1"/>
  <c r="DJ44" i="23"/>
  <c r="DM44" i="23" s="1"/>
  <c r="BS44" i="23"/>
  <c r="BY44" i="23" s="1"/>
  <c r="BR44" i="23"/>
  <c r="BX44" i="23" s="1"/>
  <c r="BQ44" i="23"/>
  <c r="BW44" i="23" s="1"/>
  <c r="AF44" i="23"/>
  <c r="AE44" i="23"/>
  <c r="DL43" i="23"/>
  <c r="DK43" i="23"/>
  <c r="DN43" i="23" s="1"/>
  <c r="DJ43" i="23"/>
  <c r="DM43" i="23" s="1"/>
  <c r="BS43" i="23"/>
  <c r="BY43" i="23" s="1"/>
  <c r="BR43" i="23"/>
  <c r="BX43" i="23" s="1"/>
  <c r="BQ43" i="23"/>
  <c r="BW43" i="23" s="1"/>
  <c r="AF43" i="23"/>
  <c r="AE43" i="23"/>
  <c r="DL42" i="23"/>
  <c r="DO42" i="23" s="1"/>
  <c r="DK42" i="23"/>
  <c r="DN42" i="23" s="1"/>
  <c r="DJ42" i="23"/>
  <c r="DM42" i="23" s="1"/>
  <c r="BS42" i="23"/>
  <c r="BY42" i="23" s="1"/>
  <c r="BR42" i="23"/>
  <c r="BX42" i="23" s="1"/>
  <c r="BQ42" i="23"/>
  <c r="BW42" i="23" s="1"/>
  <c r="AF42" i="23"/>
  <c r="AE42" i="23"/>
  <c r="DL41" i="23"/>
  <c r="DO41" i="23" s="1"/>
  <c r="DK41" i="23"/>
  <c r="DN41" i="23" s="1"/>
  <c r="DJ41" i="23"/>
  <c r="DM41" i="23" s="1"/>
  <c r="BX41" i="23"/>
  <c r="BS41" i="23"/>
  <c r="BY41" i="23" s="1"/>
  <c r="BR41" i="23"/>
  <c r="BQ41" i="23"/>
  <c r="BW41" i="23" s="1"/>
  <c r="AF41" i="23"/>
  <c r="AE41" i="23"/>
  <c r="DL40" i="23"/>
  <c r="DO40" i="23" s="1"/>
  <c r="DQ40" i="23" s="1"/>
  <c r="DK40" i="23"/>
  <c r="DN40" i="23" s="1"/>
  <c r="DJ40" i="23"/>
  <c r="DM40" i="23" s="1"/>
  <c r="BS40" i="23"/>
  <c r="BY40" i="23" s="1"/>
  <c r="BR40" i="23"/>
  <c r="BX40" i="23" s="1"/>
  <c r="BQ40" i="23"/>
  <c r="BW40" i="23" s="1"/>
  <c r="AF40" i="23"/>
  <c r="AE40" i="23"/>
  <c r="DL39" i="23"/>
  <c r="DK39" i="23"/>
  <c r="DN39" i="23" s="1"/>
  <c r="DJ39" i="23"/>
  <c r="DM39" i="23" s="1"/>
  <c r="BS39" i="23"/>
  <c r="BY39" i="23" s="1"/>
  <c r="BR39" i="23"/>
  <c r="BX39" i="23" s="1"/>
  <c r="BQ39" i="23"/>
  <c r="BW39" i="23" s="1"/>
  <c r="AF39" i="23"/>
  <c r="AE39" i="23"/>
  <c r="DL38" i="23"/>
  <c r="DK38" i="23"/>
  <c r="DN38" i="23" s="1"/>
  <c r="DJ38" i="23"/>
  <c r="DM38" i="23" s="1"/>
  <c r="BS38" i="23"/>
  <c r="BY38" i="23" s="1"/>
  <c r="BR38" i="23"/>
  <c r="BX38" i="23" s="1"/>
  <c r="BQ38" i="23"/>
  <c r="BW38" i="23" s="1"/>
  <c r="AF38" i="23"/>
  <c r="AE38" i="23"/>
  <c r="DL37" i="23"/>
  <c r="DK37" i="23"/>
  <c r="DN37" i="23" s="1"/>
  <c r="DJ37" i="23"/>
  <c r="DM37" i="23" s="1"/>
  <c r="BX37" i="23"/>
  <c r="BS37" i="23"/>
  <c r="BY37" i="23" s="1"/>
  <c r="BR37" i="23"/>
  <c r="BQ37" i="23"/>
  <c r="BW37" i="23" s="1"/>
  <c r="AF37" i="23"/>
  <c r="AE37" i="23"/>
  <c r="DL36" i="23"/>
  <c r="DO36" i="23" s="1"/>
  <c r="DK36" i="23"/>
  <c r="DN36" i="23" s="1"/>
  <c r="DJ36" i="23"/>
  <c r="DM36" i="23" s="1"/>
  <c r="BY36" i="23"/>
  <c r="BS36" i="23"/>
  <c r="BR36" i="23"/>
  <c r="BX36" i="23" s="1"/>
  <c r="BQ36" i="23"/>
  <c r="BW36" i="23" s="1"/>
  <c r="AF36" i="23"/>
  <c r="AE36" i="23"/>
  <c r="DL35" i="23"/>
  <c r="DK35" i="23"/>
  <c r="DN35" i="23" s="1"/>
  <c r="DJ35" i="23"/>
  <c r="DM35" i="23" s="1"/>
  <c r="BX35" i="23"/>
  <c r="BS35" i="23"/>
  <c r="BY35" i="23" s="1"/>
  <c r="BR35" i="23"/>
  <c r="BQ35" i="23"/>
  <c r="BW35" i="23" s="1"/>
  <c r="AF35" i="23"/>
  <c r="AE35" i="23"/>
  <c r="DL34" i="23"/>
  <c r="DO34" i="23" s="1"/>
  <c r="DQ34" i="23" s="1"/>
  <c r="DK34" i="23"/>
  <c r="DN34" i="23" s="1"/>
  <c r="DJ34" i="23"/>
  <c r="DM34" i="23" s="1"/>
  <c r="BX34" i="23"/>
  <c r="BW34" i="23"/>
  <c r="BS34" i="23"/>
  <c r="BY34" i="23" s="1"/>
  <c r="BR34" i="23"/>
  <c r="BQ34" i="23"/>
  <c r="AF34" i="23"/>
  <c r="AE34" i="23"/>
  <c r="DL33" i="23"/>
  <c r="DO33" i="23" s="1"/>
  <c r="DK33" i="23"/>
  <c r="DN33" i="23" s="1"/>
  <c r="DJ33" i="23"/>
  <c r="DM33" i="23" s="1"/>
  <c r="BS33" i="23"/>
  <c r="BY33" i="23" s="1"/>
  <c r="BR33" i="23"/>
  <c r="BX33" i="23" s="1"/>
  <c r="BQ33" i="23"/>
  <c r="BW33" i="23" s="1"/>
  <c r="AF33" i="23"/>
  <c r="AE33" i="23"/>
  <c r="DL32" i="23"/>
  <c r="DO32" i="23" s="1"/>
  <c r="DK32" i="23"/>
  <c r="DN32" i="23" s="1"/>
  <c r="DJ32" i="23"/>
  <c r="DM32" i="23" s="1"/>
  <c r="BS32" i="23"/>
  <c r="BY32" i="23" s="1"/>
  <c r="BR32" i="23"/>
  <c r="BX32" i="23" s="1"/>
  <c r="BQ32" i="23"/>
  <c r="BW32" i="23" s="1"/>
  <c r="AF32" i="23"/>
  <c r="AE32" i="23"/>
  <c r="DL31" i="23"/>
  <c r="DK31" i="23"/>
  <c r="DJ31" i="23"/>
  <c r="BS31" i="23"/>
  <c r="BY31" i="23" s="1"/>
  <c r="BR31" i="23"/>
  <c r="BX31" i="23" s="1"/>
  <c r="BQ31" i="23"/>
  <c r="BW31" i="23" s="1"/>
  <c r="AF31" i="23"/>
  <c r="AE31" i="23"/>
  <c r="CE30" i="23"/>
  <c r="CD30" i="23"/>
  <c r="CC30" i="23"/>
  <c r="CB30" i="23"/>
  <c r="CB52" i="23" s="1"/>
  <c r="CA30" i="23"/>
  <c r="CA52" i="23" s="1"/>
  <c r="BP30" i="23"/>
  <c r="BO30" i="23"/>
  <c r="BN30" i="23"/>
  <c r="BM30" i="23"/>
  <c r="BL30" i="23"/>
  <c r="BK30" i="23"/>
  <c r="BJ30" i="23"/>
  <c r="BI30" i="23"/>
  <c r="BI52" i="23" s="1"/>
  <c r="BH30" i="23"/>
  <c r="BH52" i="23" s="1"/>
  <c r="BG30" i="23"/>
  <c r="BG52" i="23" s="1"/>
  <c r="BF30" i="23"/>
  <c r="BF52" i="23" s="1"/>
  <c r="BE30" i="23"/>
  <c r="BD30" i="23"/>
  <c r="BC30" i="23"/>
  <c r="BB30" i="23"/>
  <c r="BA30" i="23"/>
  <c r="AZ30" i="23"/>
  <c r="AY30" i="23"/>
  <c r="AX30" i="23"/>
  <c r="AW30" i="23"/>
  <c r="AW52" i="23" s="1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K52" i="23" s="1"/>
  <c r="AJ30" i="23"/>
  <c r="AJ52" i="23" s="1"/>
  <c r="AI30" i="23"/>
  <c r="BS30" i="23" s="1"/>
  <c r="AH30" i="23"/>
  <c r="BR30" i="23" s="1"/>
  <c r="AG30" i="23"/>
  <c r="AD30" i="23"/>
  <c r="AC30" i="23"/>
  <c r="AB30" i="23"/>
  <c r="AA30" i="23"/>
  <c r="Z30" i="23"/>
  <c r="Y30" i="23"/>
  <c r="X30" i="23"/>
  <c r="W30" i="23"/>
  <c r="V30" i="23"/>
  <c r="U30" i="23"/>
  <c r="U52" i="23" s="1"/>
  <c r="T30" i="23"/>
  <c r="T52" i="23" s="1"/>
  <c r="S30" i="23"/>
  <c r="R30" i="23"/>
  <c r="Q30" i="23"/>
  <c r="P30" i="23"/>
  <c r="O30" i="23"/>
  <c r="N30" i="23"/>
  <c r="M30" i="23"/>
  <c r="L30" i="23"/>
  <c r="K30" i="23"/>
  <c r="K52" i="23" s="1"/>
  <c r="J30" i="23"/>
  <c r="J52" i="23" s="1"/>
  <c r="I30" i="23"/>
  <c r="I52" i="23" s="1"/>
  <c r="H30" i="23"/>
  <c r="AF30" i="23" s="1"/>
  <c r="G30" i="23"/>
  <c r="DL29" i="23"/>
  <c r="DO29" i="23" s="1"/>
  <c r="DK29" i="23"/>
  <c r="DN29" i="23" s="1"/>
  <c r="DJ29" i="23"/>
  <c r="DM29" i="23" s="1"/>
  <c r="BS29" i="23"/>
  <c r="BY29" i="23" s="1"/>
  <c r="BR29" i="23"/>
  <c r="BX29" i="23" s="1"/>
  <c r="BQ29" i="23"/>
  <c r="BW29" i="23" s="1"/>
  <c r="AF29" i="23"/>
  <c r="AE29" i="23"/>
  <c r="DL28" i="23"/>
  <c r="DO28" i="23" s="1"/>
  <c r="DK28" i="23"/>
  <c r="DN28" i="23" s="1"/>
  <c r="DJ28" i="23"/>
  <c r="DM28" i="23" s="1"/>
  <c r="BS28" i="23"/>
  <c r="BY28" i="23" s="1"/>
  <c r="BR28" i="23"/>
  <c r="BX28" i="23" s="1"/>
  <c r="BQ28" i="23"/>
  <c r="BW28" i="23" s="1"/>
  <c r="AF28" i="23"/>
  <c r="AE28" i="23"/>
  <c r="DL27" i="23"/>
  <c r="DK27" i="23"/>
  <c r="DN27" i="23" s="1"/>
  <c r="DJ27" i="23"/>
  <c r="DM27" i="23" s="1"/>
  <c r="BS27" i="23"/>
  <c r="BY27" i="23" s="1"/>
  <c r="BR27" i="23"/>
  <c r="BX27" i="23" s="1"/>
  <c r="BQ27" i="23"/>
  <c r="BW27" i="23" s="1"/>
  <c r="AF27" i="23"/>
  <c r="AE27" i="23"/>
  <c r="DL26" i="23"/>
  <c r="DO26" i="23" s="1"/>
  <c r="DK26" i="23"/>
  <c r="DN26" i="23" s="1"/>
  <c r="DJ26" i="23"/>
  <c r="DM26" i="23" s="1"/>
  <c r="BS26" i="23"/>
  <c r="BY26" i="23" s="1"/>
  <c r="BR26" i="23"/>
  <c r="BX26" i="23" s="1"/>
  <c r="BQ26" i="23"/>
  <c r="BW26" i="23" s="1"/>
  <c r="AF26" i="23"/>
  <c r="AE26" i="23"/>
  <c r="DL25" i="23"/>
  <c r="DO25" i="23" s="1"/>
  <c r="DK25" i="23"/>
  <c r="DN25" i="23" s="1"/>
  <c r="DJ25" i="23"/>
  <c r="DM25" i="23" s="1"/>
  <c r="BS25" i="23"/>
  <c r="BY25" i="23" s="1"/>
  <c r="BR25" i="23"/>
  <c r="BX25" i="23" s="1"/>
  <c r="BQ25" i="23"/>
  <c r="BW25" i="23" s="1"/>
  <c r="AF25" i="23"/>
  <c r="AE25" i="23"/>
  <c r="DL24" i="23"/>
  <c r="DO24" i="23" s="1"/>
  <c r="DK24" i="23"/>
  <c r="DN24" i="23" s="1"/>
  <c r="DJ24" i="23"/>
  <c r="DM24" i="23" s="1"/>
  <c r="BS24" i="23"/>
  <c r="BY24" i="23" s="1"/>
  <c r="BR24" i="23"/>
  <c r="BX24" i="23" s="1"/>
  <c r="BQ24" i="23"/>
  <c r="BW24" i="23" s="1"/>
  <c r="AF24" i="23"/>
  <c r="AE24" i="23"/>
  <c r="DL23" i="23"/>
  <c r="DO23" i="23" s="1"/>
  <c r="DK23" i="23"/>
  <c r="DN23" i="23" s="1"/>
  <c r="DJ23" i="23"/>
  <c r="DM23" i="23" s="1"/>
  <c r="BS23" i="23"/>
  <c r="BY23" i="23" s="1"/>
  <c r="BR23" i="23"/>
  <c r="BX23" i="23" s="1"/>
  <c r="BQ23" i="23"/>
  <c r="BW23" i="23" s="1"/>
  <c r="AF23" i="23"/>
  <c r="AE23" i="23"/>
  <c r="DL22" i="23"/>
  <c r="DO22" i="23" s="1"/>
  <c r="DK22" i="23"/>
  <c r="DN22" i="23" s="1"/>
  <c r="DJ22" i="23"/>
  <c r="DM22" i="23" s="1"/>
  <c r="BS22" i="23"/>
  <c r="BY22" i="23" s="1"/>
  <c r="BR22" i="23"/>
  <c r="BX22" i="23" s="1"/>
  <c r="BQ22" i="23"/>
  <c r="BW22" i="23" s="1"/>
  <c r="AF22" i="23"/>
  <c r="AE22" i="23"/>
  <c r="DL21" i="23"/>
  <c r="DO21" i="23" s="1"/>
  <c r="DK21" i="23"/>
  <c r="DN21" i="23" s="1"/>
  <c r="DJ21" i="23"/>
  <c r="DM21" i="23" s="1"/>
  <c r="BS21" i="23"/>
  <c r="BY21" i="23" s="1"/>
  <c r="BR21" i="23"/>
  <c r="BX21" i="23" s="1"/>
  <c r="BQ21" i="23"/>
  <c r="BW21" i="23" s="1"/>
  <c r="AF21" i="23"/>
  <c r="AE21" i="23"/>
  <c r="DL20" i="23"/>
  <c r="DO20" i="23" s="1"/>
  <c r="DK20" i="23"/>
  <c r="DN20" i="23" s="1"/>
  <c r="DJ20" i="23"/>
  <c r="DM20" i="23" s="1"/>
  <c r="BS20" i="23"/>
  <c r="BY20" i="23" s="1"/>
  <c r="BR20" i="23"/>
  <c r="BX20" i="23" s="1"/>
  <c r="BQ20" i="23"/>
  <c r="BW20" i="23" s="1"/>
  <c r="AF20" i="23"/>
  <c r="AE20" i="23"/>
  <c r="DL19" i="23"/>
  <c r="DK19" i="23"/>
  <c r="DN19" i="23" s="1"/>
  <c r="DJ19" i="23"/>
  <c r="DM19" i="23" s="1"/>
  <c r="BS19" i="23"/>
  <c r="BY19" i="23" s="1"/>
  <c r="BR19" i="23"/>
  <c r="BX19" i="23" s="1"/>
  <c r="BQ19" i="23"/>
  <c r="BW19" i="23" s="1"/>
  <c r="AF19" i="23"/>
  <c r="AE19" i="23"/>
  <c r="DL18" i="23"/>
  <c r="DO18" i="23" s="1"/>
  <c r="DK18" i="23"/>
  <c r="DN18" i="23" s="1"/>
  <c r="DJ18" i="23"/>
  <c r="DM18" i="23" s="1"/>
  <c r="BY18" i="23"/>
  <c r="BW18" i="23"/>
  <c r="BS18" i="23"/>
  <c r="BR18" i="23"/>
  <c r="BX18" i="23" s="1"/>
  <c r="BQ18" i="23"/>
  <c r="AF18" i="23"/>
  <c r="AE18" i="23"/>
  <c r="DL17" i="23"/>
  <c r="DO17" i="23" s="1"/>
  <c r="DP17" i="23" s="1"/>
  <c r="DK17" i="23"/>
  <c r="DN17" i="23" s="1"/>
  <c r="DJ17" i="23"/>
  <c r="DM17" i="23" s="1"/>
  <c r="BY17" i="23"/>
  <c r="DQ17" i="23" s="1"/>
  <c r="BX17" i="23"/>
  <c r="BS17" i="23"/>
  <c r="BR17" i="23"/>
  <c r="BQ17" i="23"/>
  <c r="BW17" i="23" s="1"/>
  <c r="AF17" i="23"/>
  <c r="AE17" i="23"/>
  <c r="DL16" i="23"/>
  <c r="DO16" i="23" s="1"/>
  <c r="DP16" i="23" s="1"/>
  <c r="DK16" i="23"/>
  <c r="DN16" i="23" s="1"/>
  <c r="DJ16" i="23"/>
  <c r="DM16" i="23" s="1"/>
  <c r="BY16" i="23"/>
  <c r="BX16" i="23"/>
  <c r="BW16" i="23"/>
  <c r="BS16" i="23"/>
  <c r="BR16" i="23"/>
  <c r="BQ16" i="23"/>
  <c r="AF16" i="23"/>
  <c r="AE16" i="23"/>
  <c r="DL15" i="23"/>
  <c r="DO15" i="23" s="1"/>
  <c r="DP15" i="23" s="1"/>
  <c r="DK15" i="23"/>
  <c r="DN15" i="23" s="1"/>
  <c r="DJ15" i="23"/>
  <c r="DM15" i="23" s="1"/>
  <c r="BX15" i="23"/>
  <c r="BW15" i="23"/>
  <c r="BS15" i="23"/>
  <c r="BY15" i="23" s="1"/>
  <c r="DQ15" i="23" s="1"/>
  <c r="BR15" i="23"/>
  <c r="BQ15" i="23"/>
  <c r="AF15" i="23"/>
  <c r="AE15" i="23"/>
  <c r="DL14" i="23"/>
  <c r="DO14" i="23" s="1"/>
  <c r="DP14" i="23" s="1"/>
  <c r="DK14" i="23"/>
  <c r="DN14" i="23" s="1"/>
  <c r="DJ14" i="23"/>
  <c r="DM14" i="23" s="1"/>
  <c r="BW14" i="23"/>
  <c r="BS14" i="23"/>
  <c r="BY14" i="23" s="1"/>
  <c r="BR14" i="23"/>
  <c r="BX14" i="23" s="1"/>
  <c r="BQ14" i="23"/>
  <c r="AF14" i="23"/>
  <c r="AE14" i="23"/>
  <c r="DL13" i="23"/>
  <c r="DO13" i="23" s="1"/>
  <c r="DP13" i="23" s="1"/>
  <c r="DK13" i="23"/>
  <c r="DN13" i="23" s="1"/>
  <c r="DJ13" i="23"/>
  <c r="DM13" i="23" s="1"/>
  <c r="BS13" i="23"/>
  <c r="BY13" i="23" s="1"/>
  <c r="DQ13" i="23" s="1"/>
  <c r="BR13" i="23"/>
  <c r="BX13" i="23" s="1"/>
  <c r="BQ13" i="23"/>
  <c r="BW13" i="23" s="1"/>
  <c r="AF13" i="23"/>
  <c r="AE13" i="23"/>
  <c r="DL12" i="23"/>
  <c r="DO12" i="23" s="1"/>
  <c r="DP12" i="23" s="1"/>
  <c r="DK12" i="23"/>
  <c r="DN12" i="23" s="1"/>
  <c r="DJ12" i="23"/>
  <c r="DM12" i="23" s="1"/>
  <c r="BS12" i="23"/>
  <c r="BY12" i="23" s="1"/>
  <c r="BR12" i="23"/>
  <c r="BX12" i="23" s="1"/>
  <c r="BQ12" i="23"/>
  <c r="BW12" i="23" s="1"/>
  <c r="AF12" i="23"/>
  <c r="AE12" i="23"/>
  <c r="DL11" i="23"/>
  <c r="DO11" i="23" s="1"/>
  <c r="DP11" i="23" s="1"/>
  <c r="DK11" i="23"/>
  <c r="DN11" i="23" s="1"/>
  <c r="DJ11" i="23"/>
  <c r="DM11" i="23" s="1"/>
  <c r="BS11" i="23"/>
  <c r="BY11" i="23" s="1"/>
  <c r="DQ11" i="23" s="1"/>
  <c r="BR11" i="23"/>
  <c r="BX11" i="23" s="1"/>
  <c r="BQ11" i="23"/>
  <c r="BW11" i="23" s="1"/>
  <c r="AF11" i="23"/>
  <c r="AE11" i="23"/>
  <c r="DL10" i="23"/>
  <c r="DK10" i="23"/>
  <c r="DN10" i="23" s="1"/>
  <c r="DJ10" i="23"/>
  <c r="DM10" i="23" s="1"/>
  <c r="BY10" i="23"/>
  <c r="BS10" i="23"/>
  <c r="BR10" i="23"/>
  <c r="BX10" i="23" s="1"/>
  <c r="BQ10" i="23"/>
  <c r="BW10" i="23" s="1"/>
  <c r="AF10" i="23"/>
  <c r="AE10" i="23"/>
  <c r="DL9" i="23"/>
  <c r="DK9" i="23"/>
  <c r="DN9" i="23" s="1"/>
  <c r="DJ9" i="23"/>
  <c r="DM9" i="23" s="1"/>
  <c r="BS9" i="23"/>
  <c r="BY9" i="23" s="1"/>
  <c r="BR9" i="23"/>
  <c r="BX9" i="23" s="1"/>
  <c r="BQ9" i="23"/>
  <c r="BW9" i="23" s="1"/>
  <c r="AF9" i="23"/>
  <c r="AE9" i="23"/>
  <c r="DL8" i="23"/>
  <c r="DK8" i="23"/>
  <c r="DN8" i="23" s="1"/>
  <c r="DJ8" i="23"/>
  <c r="DM8" i="23" s="1"/>
  <c r="BY8" i="23"/>
  <c r="BX8" i="23"/>
  <c r="BS8" i="23"/>
  <c r="BR8" i="23"/>
  <c r="BQ8" i="23"/>
  <c r="BW8" i="23" s="1"/>
  <c r="AF8" i="23"/>
  <c r="AE8" i="23"/>
  <c r="DL7" i="23"/>
  <c r="DK7" i="23"/>
  <c r="DN7" i="23" s="1"/>
  <c r="DJ7" i="23"/>
  <c r="DM7" i="23" s="1"/>
  <c r="BS7" i="23"/>
  <c r="BY7" i="23" s="1"/>
  <c r="BR7" i="23"/>
  <c r="BX7" i="23" s="1"/>
  <c r="BQ7" i="23"/>
  <c r="BW7" i="23" s="1"/>
  <c r="AF7" i="23"/>
  <c r="AE7" i="23"/>
  <c r="DL6" i="23"/>
  <c r="DK6" i="23"/>
  <c r="DN6" i="23" s="1"/>
  <c r="DJ6" i="23"/>
  <c r="DM6" i="23" s="1"/>
  <c r="BS6" i="23"/>
  <c r="BY6" i="23" s="1"/>
  <c r="BR6" i="23"/>
  <c r="BX6" i="23" s="1"/>
  <c r="BQ6" i="23"/>
  <c r="BW6" i="23" s="1"/>
  <c r="AF6" i="23"/>
  <c r="AE6" i="23"/>
  <c r="DL5" i="23"/>
  <c r="DK5" i="23"/>
  <c r="DN5" i="23" s="1"/>
  <c r="DJ5" i="23"/>
  <c r="DM5" i="23" s="1"/>
  <c r="BS5" i="23"/>
  <c r="BY5" i="23" s="1"/>
  <c r="BR5" i="23"/>
  <c r="BX5" i="23" s="1"/>
  <c r="BQ5" i="23"/>
  <c r="BW5" i="23" s="1"/>
  <c r="AF5" i="23"/>
  <c r="AE5" i="23"/>
  <c r="DL4" i="23"/>
  <c r="DL30" i="23" s="1"/>
  <c r="DK4" i="23"/>
  <c r="DJ4" i="23"/>
  <c r="BY4" i="23"/>
  <c r="BS4" i="23"/>
  <c r="BR4" i="23"/>
  <c r="BX4" i="23" s="1"/>
  <c r="BQ4" i="23"/>
  <c r="BW4" i="23" s="1"/>
  <c r="AF4" i="23"/>
  <c r="AE4" i="23"/>
  <c r="BY51" i="23" l="1"/>
  <c r="DQ42" i="23"/>
  <c r="BX30" i="23"/>
  <c r="BW30" i="23"/>
  <c r="BW52" i="23" s="1"/>
  <c r="Y52" i="23"/>
  <c r="AY52" i="23"/>
  <c r="Z52" i="23"/>
  <c r="AZ52" i="23"/>
  <c r="BQ51" i="23"/>
  <c r="AA52" i="23"/>
  <c r="AO52" i="23"/>
  <c r="BA52" i="23"/>
  <c r="BM52" i="23"/>
  <c r="BW46" i="23"/>
  <c r="DQ33" i="23"/>
  <c r="AE46" i="23"/>
  <c r="BQ46" i="23"/>
  <c r="H52" i="23"/>
  <c r="BR51" i="23"/>
  <c r="AB52" i="23"/>
  <c r="AP52" i="23"/>
  <c r="BN52" i="23"/>
  <c r="BX46" i="23"/>
  <c r="AF46" i="23"/>
  <c r="BR46" i="23"/>
  <c r="AU52" i="23"/>
  <c r="Q52" i="23"/>
  <c r="AC52" i="23"/>
  <c r="AQ52" i="23"/>
  <c r="BO52" i="23"/>
  <c r="BY46" i="23"/>
  <c r="DQ44" i="23"/>
  <c r="BS46" i="23"/>
  <c r="V52" i="23"/>
  <c r="AV52" i="23"/>
  <c r="AX52" i="23"/>
  <c r="M52" i="23"/>
  <c r="DJ30" i="23"/>
  <c r="R52" i="23"/>
  <c r="AR52" i="23"/>
  <c r="BP52" i="23"/>
  <c r="W52" i="23"/>
  <c r="DQ36" i="23"/>
  <c r="L52" i="23"/>
  <c r="AF52" i="23" s="1"/>
  <c r="BY30" i="23"/>
  <c r="BY52" i="23" s="1"/>
  <c r="DK30" i="23"/>
  <c r="DK52" i="23" s="1"/>
  <c r="AE30" i="23"/>
  <c r="S52" i="23"/>
  <c r="AS52" i="23"/>
  <c r="BE52" i="23"/>
  <c r="X52" i="23"/>
  <c r="AL52" i="23"/>
  <c r="BJ52" i="23"/>
  <c r="DK51" i="23"/>
  <c r="DN51" i="23" s="1"/>
  <c r="DN49" i="23"/>
  <c r="DL51" i="23"/>
  <c r="DO51" i="23" s="1"/>
  <c r="DO49" i="23"/>
  <c r="DP49" i="23" s="1"/>
  <c r="DQ50" i="23"/>
  <c r="DQ49" i="23"/>
  <c r="DJ51" i="23"/>
  <c r="DM51" i="23" s="1"/>
  <c r="DM49" i="23"/>
  <c r="DO43" i="23"/>
  <c r="DQ43" i="23" s="1"/>
  <c r="DO35" i="23"/>
  <c r="DQ35" i="23" s="1"/>
  <c r="DM31" i="23"/>
  <c r="DM46" i="23" s="1"/>
  <c r="DJ46" i="23"/>
  <c r="DJ52" i="23" s="1"/>
  <c r="DO37" i="23"/>
  <c r="DQ37" i="23" s="1"/>
  <c r="DN31" i="23"/>
  <c r="DN46" i="23" s="1"/>
  <c r="DK46" i="23"/>
  <c r="DO38" i="23"/>
  <c r="DQ38" i="23" s="1"/>
  <c r="DO39" i="23"/>
  <c r="DQ39" i="23" s="1"/>
  <c r="DL46" i="23"/>
  <c r="DO31" i="23"/>
  <c r="DO6" i="23"/>
  <c r="DP6" i="23" s="1"/>
  <c r="DM4" i="23"/>
  <c r="DM30" i="23" s="1"/>
  <c r="DN4" i="23"/>
  <c r="DN30" i="23" s="1"/>
  <c r="DO7" i="23"/>
  <c r="DP7" i="23" s="1"/>
  <c r="DO27" i="23"/>
  <c r="DQ27" i="23" s="1"/>
  <c r="CC52" i="23"/>
  <c r="DO19" i="23"/>
  <c r="DQ19" i="23" s="1"/>
  <c r="DQ10" i="23"/>
  <c r="DO10" i="23"/>
  <c r="DP10" i="23" s="1"/>
  <c r="CD52" i="23"/>
  <c r="DO9" i="23"/>
  <c r="DQ9" i="23" s="1"/>
  <c r="DO4" i="23"/>
  <c r="DO5" i="23"/>
  <c r="DQ5" i="23" s="1"/>
  <c r="DO8" i="23"/>
  <c r="DP8" i="23" s="1"/>
  <c r="DQ12" i="23"/>
  <c r="DQ14" i="23"/>
  <c r="DQ16" i="23"/>
  <c r="CE52" i="23"/>
  <c r="AE52" i="23"/>
  <c r="DQ24" i="23"/>
  <c r="DP24" i="23"/>
  <c r="DQ29" i="23"/>
  <c r="DP29" i="23"/>
  <c r="DQ32" i="23"/>
  <c r="DP9" i="23"/>
  <c r="DP51" i="23"/>
  <c r="DQ51" i="23"/>
  <c r="DQ26" i="23"/>
  <c r="DP26" i="23"/>
  <c r="BQ30" i="23"/>
  <c r="AG52" i="23"/>
  <c r="DQ41" i="23"/>
  <c r="DQ20" i="23"/>
  <c r="DP20" i="23"/>
  <c r="DQ25" i="23"/>
  <c r="DP25" i="23"/>
  <c r="DQ21" i="23"/>
  <c r="DP21" i="23"/>
  <c r="DQ23" i="23"/>
  <c r="DP23" i="23"/>
  <c r="DQ22" i="23"/>
  <c r="DP22" i="23"/>
  <c r="AT52" i="23"/>
  <c r="AE51" i="23"/>
  <c r="BS51" i="23"/>
  <c r="AF51" i="23"/>
  <c r="DQ31" i="23"/>
  <c r="AH52" i="23"/>
  <c r="AI52" i="23"/>
  <c r="BS52" i="23" l="1"/>
  <c r="DN52" i="23"/>
  <c r="DL52" i="23"/>
  <c r="BX52" i="23"/>
  <c r="BQ52" i="23"/>
  <c r="DM52" i="23"/>
  <c r="DO46" i="23"/>
  <c r="DQ46" i="23" s="1"/>
  <c r="DP5" i="23"/>
  <c r="DQ7" i="23"/>
  <c r="DO30" i="23"/>
  <c r="DO52" i="23" s="1"/>
  <c r="DP4" i="23"/>
  <c r="DQ4" i="23"/>
  <c r="DQ8" i="23"/>
  <c r="DQ6" i="23"/>
  <c r="DQ28" i="23"/>
  <c r="DP28" i="23"/>
  <c r="BR52" i="23"/>
  <c r="DQ30" i="23" l="1"/>
  <c r="DP30" i="23"/>
  <c r="DP52" i="23"/>
  <c r="DQ52" i="23"/>
  <c r="CH15" i="3" l="1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CJ14" i="3"/>
  <c r="CL14" i="3" s="1"/>
  <c r="CI14" i="3"/>
  <c r="CK14" i="3" s="1"/>
  <c r="CJ13" i="3"/>
  <c r="CL13" i="3" s="1"/>
  <c r="CI13" i="3"/>
  <c r="CK13" i="3" s="1"/>
  <c r="CJ12" i="3"/>
  <c r="CL12" i="3" s="1"/>
  <c r="CI12" i="3"/>
  <c r="CK12" i="3" s="1"/>
  <c r="CJ11" i="3"/>
  <c r="CL11" i="3" s="1"/>
  <c r="CI11" i="3"/>
  <c r="CK11" i="3" s="1"/>
  <c r="CJ10" i="3"/>
  <c r="CL10" i="3" s="1"/>
  <c r="CI10" i="3"/>
  <c r="CK10" i="3" s="1"/>
  <c r="CJ9" i="3"/>
  <c r="CL9" i="3" s="1"/>
  <c r="CI9" i="3"/>
  <c r="CK9" i="3" s="1"/>
  <c r="CJ8" i="3"/>
  <c r="CL8" i="3" s="1"/>
  <c r="CI8" i="3"/>
  <c r="CK8" i="3" s="1"/>
  <c r="CJ7" i="3"/>
  <c r="CL7" i="3" s="1"/>
  <c r="CI7" i="3"/>
  <c r="CK7" i="3" s="1"/>
  <c r="CJ6" i="3"/>
  <c r="CL6" i="3" s="1"/>
  <c r="CI6" i="3"/>
  <c r="CK6" i="3" s="1"/>
  <c r="CJ5" i="3"/>
  <c r="CL5" i="3" s="1"/>
  <c r="CI5" i="3"/>
  <c r="CK5" i="3" s="1"/>
  <c r="CJ4" i="3"/>
  <c r="CL4" i="3" s="1"/>
  <c r="CI4" i="3"/>
  <c r="CL15" i="3" l="1"/>
  <c r="CK4" i="3"/>
  <c r="CK15" i="3" s="1"/>
  <c r="CI15" i="3"/>
  <c r="CO10" i="3"/>
  <c r="CR10" i="3"/>
  <c r="CT10" i="3" s="1"/>
  <c r="CU10" i="3" s="1"/>
  <c r="CR11" i="3"/>
  <c r="CT11" i="3" s="1"/>
  <c r="CU11" i="3" s="1"/>
  <c r="CO11" i="3"/>
  <c r="CR8" i="3"/>
  <c r="CT8" i="3" s="1"/>
  <c r="CU8" i="3" s="1"/>
  <c r="CM8" i="3"/>
  <c r="CO8" i="3"/>
  <c r="CO6" i="3"/>
  <c r="CR6" i="3"/>
  <c r="CT6" i="3" s="1"/>
  <c r="CU6" i="3" s="1"/>
  <c r="CR14" i="3"/>
  <c r="CT14" i="3" s="1"/>
  <c r="CU14" i="3" s="1"/>
  <c r="CO14" i="3"/>
  <c r="CM7" i="3"/>
  <c r="CO7" i="3"/>
  <c r="CR7" i="3"/>
  <c r="CT7" i="3" s="1"/>
  <c r="CU7" i="3" s="1"/>
  <c r="CR4" i="3"/>
  <c r="CT4" i="3" s="1"/>
  <c r="CU4" i="3" s="1"/>
  <c r="CO4" i="3"/>
  <c r="CO12" i="3"/>
  <c r="CR12" i="3"/>
  <c r="CT12" i="3" s="1"/>
  <c r="CU12" i="3" s="1"/>
  <c r="CO5" i="3"/>
  <c r="CR5" i="3"/>
  <c r="CT5" i="3" s="1"/>
  <c r="CU5" i="3" s="1"/>
  <c r="CO9" i="3"/>
  <c r="CR9" i="3"/>
  <c r="CT9" i="3" s="1"/>
  <c r="CU9" i="3" s="1"/>
  <c r="CR13" i="3"/>
  <c r="CT13" i="3" s="1"/>
  <c r="CU13" i="3" s="1"/>
  <c r="CM13" i="3"/>
  <c r="CO13" i="3"/>
  <c r="CJ15" i="3"/>
  <c r="CM11" i="3" s="1"/>
  <c r="CM12" i="3" l="1"/>
  <c r="CM9" i="3"/>
  <c r="CM4" i="3"/>
  <c r="CM5" i="3"/>
  <c r="CM6" i="3"/>
  <c r="CO15" i="3"/>
  <c r="CM15" i="3"/>
  <c r="CR15" i="3"/>
  <c r="CT15" i="3" s="1"/>
  <c r="CU15" i="3" s="1"/>
  <c r="CM10" i="3"/>
  <c r="CM14" i="3"/>
  <c r="DP56" i="20"/>
  <c r="DQ56" i="20"/>
  <c r="DR56" i="20"/>
  <c r="DS56" i="20"/>
  <c r="DT56" i="20"/>
  <c r="DU56" i="20"/>
  <c r="DV56" i="20"/>
  <c r="DW56" i="20"/>
  <c r="DX56" i="20"/>
  <c r="DY56" i="20"/>
  <c r="DZ56" i="20"/>
  <c r="EA56" i="20"/>
  <c r="EB56" i="20"/>
  <c r="EC56" i="20"/>
  <c r="ED56" i="20"/>
  <c r="EE56" i="20"/>
  <c r="EF56" i="20"/>
  <c r="EG56" i="20"/>
  <c r="EH56" i="20"/>
  <c r="EI56" i="20"/>
  <c r="EJ56" i="20"/>
  <c r="EK56" i="20"/>
  <c r="EL56" i="20"/>
  <c r="EM56" i="20"/>
  <c r="DP54" i="20"/>
  <c r="DQ54" i="20"/>
  <c r="DR54" i="20"/>
  <c r="DS54" i="20"/>
  <c r="DT54" i="20"/>
  <c r="DU54" i="20"/>
  <c r="DV54" i="20"/>
  <c r="DW54" i="20"/>
  <c r="DX54" i="20"/>
  <c r="DY54" i="20"/>
  <c r="DZ54" i="20"/>
  <c r="EA54" i="20"/>
  <c r="EB54" i="20"/>
  <c r="EC54" i="20"/>
  <c r="ED54" i="20"/>
  <c r="EE54" i="20"/>
  <c r="EF54" i="20"/>
  <c r="EG54" i="20"/>
  <c r="EH54" i="20"/>
  <c r="EI54" i="20"/>
  <c r="EJ54" i="20"/>
  <c r="EK54" i="20"/>
  <c r="EL54" i="20"/>
  <c r="EM54" i="20"/>
  <c r="DP52" i="20"/>
  <c r="DQ52" i="20"/>
  <c r="DR52" i="20"/>
  <c r="DS52" i="20"/>
  <c r="DT52" i="20"/>
  <c r="DU52" i="20"/>
  <c r="DV52" i="20"/>
  <c r="DW52" i="20"/>
  <c r="DX52" i="20"/>
  <c r="DY52" i="20"/>
  <c r="DZ52" i="20"/>
  <c r="EA52" i="20"/>
  <c r="EB52" i="20"/>
  <c r="EC52" i="20"/>
  <c r="ED52" i="20"/>
  <c r="EE52" i="20"/>
  <c r="EF52" i="20"/>
  <c r="EG52" i="20"/>
  <c r="EH52" i="20"/>
  <c r="EI52" i="20"/>
  <c r="EJ52" i="20"/>
  <c r="EK52" i="20"/>
  <c r="EL52" i="20"/>
  <c r="EM52" i="20"/>
  <c r="DP50" i="20"/>
  <c r="DQ50" i="20"/>
  <c r="DR50" i="20"/>
  <c r="DS50" i="20"/>
  <c r="DT50" i="20"/>
  <c r="DU50" i="20"/>
  <c r="DV50" i="20"/>
  <c r="DW50" i="20"/>
  <c r="DX50" i="20"/>
  <c r="DY50" i="20"/>
  <c r="DZ50" i="20"/>
  <c r="EA50" i="20"/>
  <c r="EB50" i="20"/>
  <c r="EC50" i="20"/>
  <c r="ED50" i="20"/>
  <c r="EE50" i="20"/>
  <c r="EF50" i="20"/>
  <c r="EG50" i="20"/>
  <c r="EH50" i="20"/>
  <c r="EI50" i="20"/>
  <c r="EJ50" i="20"/>
  <c r="EK50" i="20"/>
  <c r="EL50" i="20"/>
  <c r="EM50" i="20"/>
  <c r="DP47" i="20"/>
  <c r="DQ47" i="20"/>
  <c r="DR47" i="20"/>
  <c r="DS47" i="20"/>
  <c r="DT47" i="20"/>
  <c r="DU47" i="20"/>
  <c r="DV47" i="20"/>
  <c r="DW47" i="20"/>
  <c r="DX47" i="20"/>
  <c r="DY47" i="20"/>
  <c r="DZ47" i="20"/>
  <c r="EA47" i="20"/>
  <c r="EB47" i="20"/>
  <c r="EC47" i="20"/>
  <c r="ED47" i="20"/>
  <c r="EE47" i="20"/>
  <c r="EF47" i="20"/>
  <c r="EG47" i="20"/>
  <c r="EH47" i="20"/>
  <c r="EI47" i="20"/>
  <c r="EJ47" i="20"/>
  <c r="EK47" i="20"/>
  <c r="EL47" i="20"/>
  <c r="EM47" i="20"/>
  <c r="DP44" i="20"/>
  <c r="DQ44" i="20"/>
  <c r="DR44" i="20"/>
  <c r="DS44" i="20"/>
  <c r="DT44" i="20"/>
  <c r="DU44" i="20"/>
  <c r="DV44" i="20"/>
  <c r="DW44" i="20"/>
  <c r="DX44" i="20"/>
  <c r="DY44" i="20"/>
  <c r="DZ44" i="20"/>
  <c r="EA44" i="20"/>
  <c r="EB44" i="20"/>
  <c r="EC44" i="20"/>
  <c r="ED44" i="20"/>
  <c r="EE44" i="20"/>
  <c r="EF44" i="20"/>
  <c r="EG44" i="20"/>
  <c r="EH44" i="20"/>
  <c r="EI44" i="20"/>
  <c r="EJ44" i="20"/>
  <c r="EK44" i="20"/>
  <c r="EL44" i="20"/>
  <c r="EM44" i="20"/>
  <c r="DP39" i="20"/>
  <c r="DQ39" i="20"/>
  <c r="DR39" i="20"/>
  <c r="DS39" i="20"/>
  <c r="DT39" i="20"/>
  <c r="DU39" i="20"/>
  <c r="DV39" i="20"/>
  <c r="DW39" i="20"/>
  <c r="DX39" i="20"/>
  <c r="DY39" i="20"/>
  <c r="DZ39" i="20"/>
  <c r="EA39" i="20"/>
  <c r="EB39" i="20"/>
  <c r="EC39" i="20"/>
  <c r="ED39" i="20"/>
  <c r="EE39" i="20"/>
  <c r="EF39" i="20"/>
  <c r="EG39" i="20"/>
  <c r="EH39" i="20"/>
  <c r="EI39" i="20"/>
  <c r="EJ39" i="20"/>
  <c r="EK39" i="20"/>
  <c r="EL39" i="20"/>
  <c r="EM39" i="20"/>
  <c r="DP34" i="20"/>
  <c r="DQ34" i="20"/>
  <c r="DR34" i="20"/>
  <c r="DS34" i="20"/>
  <c r="DT34" i="20"/>
  <c r="DU34" i="20"/>
  <c r="DV34" i="20"/>
  <c r="DW34" i="20"/>
  <c r="DX34" i="20"/>
  <c r="DY34" i="20"/>
  <c r="DZ34" i="20"/>
  <c r="EA34" i="20"/>
  <c r="EB34" i="20"/>
  <c r="EC34" i="20"/>
  <c r="ED34" i="20"/>
  <c r="EE34" i="20"/>
  <c r="EF34" i="20"/>
  <c r="EG34" i="20"/>
  <c r="EH34" i="20"/>
  <c r="EI34" i="20"/>
  <c r="EJ34" i="20"/>
  <c r="EK34" i="20"/>
  <c r="EL34" i="20"/>
  <c r="EM34" i="20"/>
  <c r="DP32" i="20"/>
  <c r="DQ32" i="20"/>
  <c r="DR32" i="20"/>
  <c r="DS32" i="20"/>
  <c r="DT32" i="20"/>
  <c r="DU32" i="20"/>
  <c r="DV32" i="20"/>
  <c r="DW32" i="20"/>
  <c r="DX32" i="20"/>
  <c r="DY32" i="20"/>
  <c r="DZ32" i="20"/>
  <c r="EA32" i="20"/>
  <c r="EB32" i="20"/>
  <c r="EC32" i="20"/>
  <c r="ED32" i="20"/>
  <c r="EE32" i="20"/>
  <c r="EF32" i="20"/>
  <c r="EG32" i="20"/>
  <c r="EH32" i="20"/>
  <c r="EI32" i="20"/>
  <c r="EJ32" i="20"/>
  <c r="EK32" i="20"/>
  <c r="EL32" i="20"/>
  <c r="EM32" i="20"/>
  <c r="DP30" i="20"/>
  <c r="DQ30" i="20"/>
  <c r="DR30" i="20"/>
  <c r="DS30" i="20"/>
  <c r="DT30" i="20"/>
  <c r="DU30" i="20"/>
  <c r="DV30" i="20"/>
  <c r="DW30" i="20"/>
  <c r="DX30" i="20"/>
  <c r="DY30" i="20"/>
  <c r="DZ30" i="20"/>
  <c r="EA30" i="20"/>
  <c r="EB30" i="20"/>
  <c r="EC30" i="20"/>
  <c r="ED30" i="20"/>
  <c r="EE30" i="20"/>
  <c r="EF30" i="20"/>
  <c r="EG30" i="20"/>
  <c r="EH30" i="20"/>
  <c r="EI30" i="20"/>
  <c r="EJ30" i="20"/>
  <c r="EK30" i="20"/>
  <c r="EL30" i="20"/>
  <c r="EM30" i="20"/>
  <c r="DP28" i="20"/>
  <c r="DQ28" i="20"/>
  <c r="DR28" i="20"/>
  <c r="DS28" i="20"/>
  <c r="DT28" i="20"/>
  <c r="DU28" i="20"/>
  <c r="DV28" i="20"/>
  <c r="DW28" i="20"/>
  <c r="DX28" i="20"/>
  <c r="DY28" i="20"/>
  <c r="DZ28" i="20"/>
  <c r="EA28" i="20"/>
  <c r="EB28" i="20"/>
  <c r="EC28" i="20"/>
  <c r="ED28" i="20"/>
  <c r="EE28" i="20"/>
  <c r="EF28" i="20"/>
  <c r="EG28" i="20"/>
  <c r="EH28" i="20"/>
  <c r="EI28" i="20"/>
  <c r="EJ28" i="20"/>
  <c r="EK28" i="20"/>
  <c r="EL28" i="20"/>
  <c r="EM28" i="20"/>
  <c r="DP26" i="20"/>
  <c r="DQ26" i="20"/>
  <c r="DR26" i="20"/>
  <c r="DS26" i="20"/>
  <c r="DT26" i="20"/>
  <c r="DU26" i="20"/>
  <c r="DV26" i="20"/>
  <c r="DW26" i="20"/>
  <c r="DX26" i="20"/>
  <c r="DY26" i="20"/>
  <c r="DZ26" i="20"/>
  <c r="EA26" i="20"/>
  <c r="EB26" i="20"/>
  <c r="EC26" i="20"/>
  <c r="ED26" i="20"/>
  <c r="EE26" i="20"/>
  <c r="EF26" i="20"/>
  <c r="EG26" i="20"/>
  <c r="EH26" i="20"/>
  <c r="EI26" i="20"/>
  <c r="EJ26" i="20"/>
  <c r="EK26" i="20"/>
  <c r="EL26" i="20"/>
  <c r="EM26" i="20"/>
  <c r="DP21" i="20"/>
  <c r="DQ21" i="20"/>
  <c r="DR21" i="20"/>
  <c r="DS21" i="20"/>
  <c r="DT21" i="20"/>
  <c r="DU21" i="20"/>
  <c r="DV21" i="20"/>
  <c r="DW21" i="20"/>
  <c r="DX21" i="20"/>
  <c r="DY21" i="20"/>
  <c r="DZ21" i="20"/>
  <c r="EA21" i="20"/>
  <c r="EB21" i="20"/>
  <c r="EC21" i="20"/>
  <c r="ED21" i="20"/>
  <c r="EE21" i="20"/>
  <c r="EF21" i="20"/>
  <c r="EG21" i="20"/>
  <c r="EH21" i="20"/>
  <c r="EI21" i="20"/>
  <c r="EJ21" i="20"/>
  <c r="EK21" i="20"/>
  <c r="EL21" i="20"/>
  <c r="EM21" i="20"/>
  <c r="DP15" i="20"/>
  <c r="DQ15" i="20"/>
  <c r="DR15" i="20"/>
  <c r="DS15" i="20"/>
  <c r="DT15" i="20"/>
  <c r="DU15" i="20"/>
  <c r="DV15" i="20"/>
  <c r="DW15" i="20"/>
  <c r="DX15" i="20"/>
  <c r="DY15" i="20"/>
  <c r="DZ15" i="20"/>
  <c r="EA15" i="20"/>
  <c r="EB15" i="20"/>
  <c r="EC15" i="20"/>
  <c r="ED15" i="20"/>
  <c r="EE15" i="20"/>
  <c r="EF15" i="20"/>
  <c r="EG15" i="20"/>
  <c r="EH15" i="20"/>
  <c r="EI15" i="20"/>
  <c r="EJ15" i="20"/>
  <c r="EK15" i="20"/>
  <c r="EL15" i="20"/>
  <c r="EM15" i="20"/>
  <c r="DP12" i="20"/>
  <c r="DQ12" i="20"/>
  <c r="DR12" i="20"/>
  <c r="DS12" i="20"/>
  <c r="DT12" i="20"/>
  <c r="DU12" i="20"/>
  <c r="DV12" i="20"/>
  <c r="DW12" i="20"/>
  <c r="DX12" i="20"/>
  <c r="DY12" i="20"/>
  <c r="DZ12" i="20"/>
  <c r="EA12" i="20"/>
  <c r="EB12" i="20"/>
  <c r="EC12" i="20"/>
  <c r="ED12" i="20"/>
  <c r="EE12" i="20"/>
  <c r="EF12" i="20"/>
  <c r="EG12" i="20"/>
  <c r="EH12" i="20"/>
  <c r="EI12" i="20"/>
  <c r="EJ12" i="20"/>
  <c r="EK12" i="20"/>
  <c r="EL12" i="20"/>
  <c r="EM12" i="20"/>
  <c r="DP8" i="20"/>
  <c r="DQ8" i="20"/>
  <c r="DR8" i="20"/>
  <c r="DS8" i="20"/>
  <c r="DT8" i="20"/>
  <c r="DU8" i="20"/>
  <c r="DV8" i="20"/>
  <c r="DW8" i="20"/>
  <c r="DX8" i="20"/>
  <c r="DY8" i="20"/>
  <c r="DZ8" i="20"/>
  <c r="EA8" i="20"/>
  <c r="EB8" i="20"/>
  <c r="EC8" i="20"/>
  <c r="ED8" i="20"/>
  <c r="EE8" i="20"/>
  <c r="EF8" i="20"/>
  <c r="EG8" i="20"/>
  <c r="EH8" i="20"/>
  <c r="EI8" i="20"/>
  <c r="EJ8" i="20"/>
  <c r="EK8" i="20"/>
  <c r="EL8" i="20"/>
  <c r="EM8" i="20"/>
  <c r="DP5" i="20"/>
  <c r="DQ5" i="20"/>
  <c r="DR5" i="20"/>
  <c r="DS5" i="20"/>
  <c r="DS57" i="20" s="1"/>
  <c r="DT5" i="20"/>
  <c r="DU5" i="20"/>
  <c r="DV5" i="20"/>
  <c r="DW5" i="20"/>
  <c r="DX5" i="20"/>
  <c r="DY5" i="20"/>
  <c r="DZ5" i="20"/>
  <c r="EA5" i="20"/>
  <c r="EB5" i="20"/>
  <c r="EC5" i="20"/>
  <c r="ED5" i="20"/>
  <c r="EE5" i="20"/>
  <c r="EF5" i="20"/>
  <c r="EG5" i="20"/>
  <c r="EH5" i="20"/>
  <c r="EI5" i="20"/>
  <c r="EJ5" i="20"/>
  <c r="EK5" i="20"/>
  <c r="EL5" i="20"/>
  <c r="EM5" i="20"/>
  <c r="ED57" i="20" l="1"/>
  <c r="DX57" i="20"/>
  <c r="EH57" i="20"/>
  <c r="DT57" i="20"/>
  <c r="EC57" i="20"/>
  <c r="DQ57" i="20"/>
  <c r="EG57" i="20"/>
  <c r="EE57" i="20"/>
  <c r="EB57" i="20"/>
  <c r="DP57" i="20"/>
  <c r="DY57" i="20"/>
  <c r="EI57" i="20"/>
  <c r="DV57" i="20"/>
  <c r="DU57" i="20"/>
  <c r="EM57" i="20"/>
  <c r="EA57" i="20"/>
  <c r="EK57" i="20"/>
  <c r="EJ57" i="20"/>
  <c r="DW57" i="20"/>
  <c r="EF57" i="20"/>
  <c r="EL57" i="20"/>
  <c r="DZ57" i="20"/>
  <c r="DR57" i="20"/>
  <c r="EP73" i="20"/>
  <c r="EO73" i="20"/>
  <c r="EQ73" i="20" s="1"/>
  <c r="EN73" i="20"/>
  <c r="EO72" i="20"/>
  <c r="EQ72" i="20" s="1"/>
  <c r="EN72" i="20"/>
  <c r="EP72" i="20" s="1"/>
  <c r="EO71" i="20"/>
  <c r="EQ71" i="20" s="1"/>
  <c r="EN71" i="20"/>
  <c r="EP71" i="20" s="1"/>
  <c r="EO70" i="20"/>
  <c r="EQ70" i="20" s="1"/>
  <c r="EN70" i="20"/>
  <c r="EP70" i="20" s="1"/>
  <c r="EP69" i="20"/>
  <c r="EO69" i="20"/>
  <c r="EQ69" i="20" s="1"/>
  <c r="EN69" i="20"/>
  <c r="EO68" i="20"/>
  <c r="EQ68" i="20" s="1"/>
  <c r="EN68" i="20"/>
  <c r="EP68" i="20" s="1"/>
  <c r="EO67" i="20"/>
  <c r="EQ67" i="20" s="1"/>
  <c r="EN67" i="20"/>
  <c r="EP67" i="20" s="1"/>
  <c r="EO66" i="20"/>
  <c r="EQ66" i="20" s="1"/>
  <c r="EN66" i="20"/>
  <c r="EP66" i="20" s="1"/>
  <c r="EP65" i="20"/>
  <c r="EO65" i="20"/>
  <c r="EQ65" i="20" s="1"/>
  <c r="EN65" i="20"/>
  <c r="EO64" i="20"/>
  <c r="EQ64" i="20" s="1"/>
  <c r="EN64" i="20"/>
  <c r="EP64" i="20" s="1"/>
  <c r="EO63" i="20"/>
  <c r="EQ63" i="20" s="1"/>
  <c r="EN63" i="20"/>
  <c r="EP63" i="20" s="1"/>
  <c r="EO62" i="20"/>
  <c r="EQ62" i="20" s="1"/>
  <c r="EN62" i="20"/>
  <c r="EP62" i="20" s="1"/>
  <c r="EP61" i="20"/>
  <c r="EO61" i="20"/>
  <c r="EQ61" i="20" s="1"/>
  <c r="EN61" i="20"/>
  <c r="EO60" i="20"/>
  <c r="EQ60" i="20" s="1"/>
  <c r="EN60" i="20"/>
  <c r="EP60" i="20" s="1"/>
  <c r="EO59" i="20"/>
  <c r="EQ59" i="20" s="1"/>
  <c r="EN59" i="20"/>
  <c r="EP59" i="20" s="1"/>
  <c r="EO58" i="20"/>
  <c r="EQ58" i="20" s="1"/>
  <c r="EN58" i="20"/>
  <c r="EP58" i="20" s="1"/>
  <c r="EO55" i="20"/>
  <c r="EQ55" i="20" s="1"/>
  <c r="EN55" i="20"/>
  <c r="EP55" i="20" s="1"/>
  <c r="EO53" i="20"/>
  <c r="EQ53" i="20" s="1"/>
  <c r="EN53" i="20"/>
  <c r="EP53" i="20" s="1"/>
  <c r="EO51" i="20"/>
  <c r="EQ51" i="20" s="1"/>
  <c r="EN51" i="20"/>
  <c r="EP51" i="20" s="1"/>
  <c r="EO49" i="20"/>
  <c r="EQ49" i="20" s="1"/>
  <c r="EN49" i="20"/>
  <c r="EP49" i="20" s="1"/>
  <c r="EO48" i="20"/>
  <c r="EQ48" i="20" s="1"/>
  <c r="EN48" i="20"/>
  <c r="EP48" i="20" s="1"/>
  <c r="EO46" i="20"/>
  <c r="EQ46" i="20" s="1"/>
  <c r="EN46" i="20"/>
  <c r="EP46" i="20" s="1"/>
  <c r="EO45" i="20"/>
  <c r="EQ45" i="20" s="1"/>
  <c r="EN45" i="20"/>
  <c r="EP45" i="20" s="1"/>
  <c r="EO43" i="20"/>
  <c r="EQ43" i="20" s="1"/>
  <c r="EN43" i="20"/>
  <c r="EP43" i="20" s="1"/>
  <c r="EO42" i="20"/>
  <c r="EQ42" i="20" s="1"/>
  <c r="EN42" i="20"/>
  <c r="EP42" i="20" s="1"/>
  <c r="EO41" i="20"/>
  <c r="EQ41" i="20" s="1"/>
  <c r="EN41" i="20"/>
  <c r="EP41" i="20" s="1"/>
  <c r="EO40" i="20"/>
  <c r="EQ40" i="20" s="1"/>
  <c r="EN40" i="20"/>
  <c r="EP40" i="20" s="1"/>
  <c r="EO38" i="20"/>
  <c r="EQ38" i="20" s="1"/>
  <c r="EN38" i="20"/>
  <c r="EP38" i="20" s="1"/>
  <c r="EO37" i="20"/>
  <c r="EQ37" i="20" s="1"/>
  <c r="EN37" i="20"/>
  <c r="EP37" i="20" s="1"/>
  <c r="EO36" i="20"/>
  <c r="EQ36" i="20" s="1"/>
  <c r="EN36" i="20"/>
  <c r="EP36" i="20" s="1"/>
  <c r="EO35" i="20"/>
  <c r="EQ35" i="20" s="1"/>
  <c r="EN35" i="20"/>
  <c r="EP35" i="20" s="1"/>
  <c r="EO33" i="20"/>
  <c r="EQ33" i="20" s="1"/>
  <c r="ET33" i="20" s="1"/>
  <c r="EN33" i="20"/>
  <c r="EP33" i="20" s="1"/>
  <c r="EO31" i="20"/>
  <c r="EQ31" i="20" s="1"/>
  <c r="EN31" i="20"/>
  <c r="EP31" i="20" s="1"/>
  <c r="EO29" i="20"/>
  <c r="EQ29" i="20" s="1"/>
  <c r="EN29" i="20"/>
  <c r="EP29" i="20" s="1"/>
  <c r="EO27" i="20"/>
  <c r="EQ27" i="20" s="1"/>
  <c r="EN27" i="20"/>
  <c r="EP27" i="20" s="1"/>
  <c r="EO25" i="20"/>
  <c r="EQ25" i="20" s="1"/>
  <c r="EN25" i="20"/>
  <c r="EP25" i="20" s="1"/>
  <c r="EO23" i="20"/>
  <c r="EN23" i="20"/>
  <c r="EO20" i="20"/>
  <c r="EQ20" i="20" s="1"/>
  <c r="EN20" i="20"/>
  <c r="EP20" i="20" s="1"/>
  <c r="EO19" i="20"/>
  <c r="EQ19" i="20" s="1"/>
  <c r="EN19" i="20"/>
  <c r="EP19" i="20" s="1"/>
  <c r="EO18" i="20"/>
  <c r="EQ18" i="20" s="1"/>
  <c r="EN18" i="20"/>
  <c r="EP18" i="20" s="1"/>
  <c r="EO17" i="20"/>
  <c r="EQ17" i="20" s="1"/>
  <c r="EN17" i="20"/>
  <c r="EP17" i="20" s="1"/>
  <c r="EO16" i="20"/>
  <c r="EQ16" i="20" s="1"/>
  <c r="EN16" i="20"/>
  <c r="EP16" i="20" s="1"/>
  <c r="EO14" i="20"/>
  <c r="EQ14" i="20" s="1"/>
  <c r="EN14" i="20"/>
  <c r="EP14" i="20" s="1"/>
  <c r="EO13" i="20"/>
  <c r="EQ13" i="20" s="1"/>
  <c r="EN13" i="20"/>
  <c r="EP13" i="20" s="1"/>
  <c r="EO11" i="20"/>
  <c r="EQ11" i="20" s="1"/>
  <c r="EN11" i="20"/>
  <c r="EP11" i="20" s="1"/>
  <c r="EO10" i="20"/>
  <c r="EQ10" i="20" s="1"/>
  <c r="EN10" i="20"/>
  <c r="EP10" i="20" s="1"/>
  <c r="EO9" i="20"/>
  <c r="EQ9" i="20" s="1"/>
  <c r="EN9" i="20"/>
  <c r="EP9" i="20" s="1"/>
  <c r="EO7" i="20"/>
  <c r="EQ7" i="20" s="1"/>
  <c r="EN7" i="20"/>
  <c r="EP7" i="20" s="1"/>
  <c r="EO6" i="20"/>
  <c r="EQ6" i="20" s="1"/>
  <c r="EN6" i="20"/>
  <c r="EP6" i="20" s="1"/>
  <c r="EO4" i="20"/>
  <c r="EQ4" i="20" s="1"/>
  <c r="EN4" i="20"/>
  <c r="EP4" i="20" s="1"/>
  <c r="EP23" i="20" l="1"/>
  <c r="EP24" i="20" s="1"/>
  <c r="EN24" i="20"/>
  <c r="EW49" i="20"/>
  <c r="EY49" i="20" s="1"/>
  <c r="EZ49" i="20" s="1"/>
  <c r="EQ23" i="20"/>
  <c r="EQ24" i="20" s="1"/>
  <c r="EO24" i="20"/>
  <c r="ET46" i="20"/>
  <c r="EW46" i="20"/>
  <c r="EY46" i="20" s="1"/>
  <c r="EZ46" i="20" s="1"/>
  <c r="EO54" i="20"/>
  <c r="EQ54" i="20" s="1"/>
  <c r="EO52" i="20"/>
  <c r="EQ52" i="20" s="1"/>
  <c r="ET36" i="20"/>
  <c r="EW36" i="20"/>
  <c r="EY36" i="20" s="1"/>
  <c r="EZ36" i="20" s="1"/>
  <c r="EW6" i="20"/>
  <c r="EY6" i="20" s="1"/>
  <c r="EZ6" i="20" s="1"/>
  <c r="EW16" i="20"/>
  <c r="EY16" i="20" s="1"/>
  <c r="EZ16" i="20" s="1"/>
  <c r="EN56" i="20"/>
  <c r="EP56" i="20" s="1"/>
  <c r="EO56" i="20"/>
  <c r="EQ56" i="20" s="1"/>
  <c r="EN54" i="20"/>
  <c r="EP54" i="20" s="1"/>
  <c r="EW53" i="20"/>
  <c r="EY53" i="20" s="1"/>
  <c r="EZ53" i="20" s="1"/>
  <c r="ET53" i="20"/>
  <c r="ET51" i="20"/>
  <c r="EW51" i="20"/>
  <c r="EY51" i="20" s="1"/>
  <c r="EZ51" i="20" s="1"/>
  <c r="EN52" i="20"/>
  <c r="EP52" i="20" s="1"/>
  <c r="EW48" i="20"/>
  <c r="EY48" i="20" s="1"/>
  <c r="EZ48" i="20" s="1"/>
  <c r="EN50" i="20"/>
  <c r="EP50" i="20" s="1"/>
  <c r="EO50" i="20"/>
  <c r="EQ50" i="20" s="1"/>
  <c r="EN34" i="20"/>
  <c r="EP34" i="20" s="1"/>
  <c r="EO34" i="20"/>
  <c r="EQ34" i="20" s="1"/>
  <c r="EW42" i="20"/>
  <c r="EY42" i="20" s="1"/>
  <c r="EZ42" i="20" s="1"/>
  <c r="EW43" i="20"/>
  <c r="EY43" i="20" s="1"/>
  <c r="EZ43" i="20" s="1"/>
  <c r="ET45" i="20"/>
  <c r="EW45" i="20"/>
  <c r="EY45" i="20" s="1"/>
  <c r="EZ45" i="20" s="1"/>
  <c r="ET41" i="20"/>
  <c r="EW41" i="20"/>
  <c r="EY41" i="20" s="1"/>
  <c r="EZ41" i="20" s="1"/>
  <c r="EO44" i="20"/>
  <c r="EQ44" i="20" s="1"/>
  <c r="EW38" i="20"/>
  <c r="EY38" i="20" s="1"/>
  <c r="EZ38" i="20" s="1"/>
  <c r="ET38" i="20"/>
  <c r="ET37" i="20"/>
  <c r="EW37" i="20"/>
  <c r="EY37" i="20" s="1"/>
  <c r="EZ37" i="20" s="1"/>
  <c r="EW35" i="20"/>
  <c r="EY35" i="20" s="1"/>
  <c r="EZ35" i="20" s="1"/>
  <c r="ET35" i="20"/>
  <c r="EN32" i="20"/>
  <c r="EP32" i="20" s="1"/>
  <c r="EO32" i="20"/>
  <c r="EQ32" i="20" s="1"/>
  <c r="ET31" i="20"/>
  <c r="EW31" i="20"/>
  <c r="EY31" i="20" s="1"/>
  <c r="EZ31" i="20" s="1"/>
  <c r="EO30" i="20"/>
  <c r="EQ30" i="20" s="1"/>
  <c r="ET29" i="20"/>
  <c r="EW29" i="20"/>
  <c r="EY29" i="20" s="1"/>
  <c r="EZ29" i="20" s="1"/>
  <c r="EN30" i="20"/>
  <c r="EP30" i="20" s="1"/>
  <c r="EN28" i="20"/>
  <c r="EP28" i="20" s="1"/>
  <c r="ET27" i="20"/>
  <c r="EW27" i="20"/>
  <c r="EY27" i="20" s="1"/>
  <c r="EZ27" i="20" s="1"/>
  <c r="EO28" i="20"/>
  <c r="EQ28" i="20" s="1"/>
  <c r="EN26" i="20"/>
  <c r="EP26" i="20" s="1"/>
  <c r="EW25" i="20"/>
  <c r="EY25" i="20" s="1"/>
  <c r="EZ25" i="20" s="1"/>
  <c r="ET25" i="20"/>
  <c r="ET23" i="20"/>
  <c r="EW23" i="20"/>
  <c r="EY23" i="20" s="1"/>
  <c r="EZ23" i="20" s="1"/>
  <c r="EN21" i="20"/>
  <c r="EP21" i="20" s="1"/>
  <c r="ET18" i="20"/>
  <c r="EW18" i="20"/>
  <c r="EY18" i="20" s="1"/>
  <c r="EZ18" i="20" s="1"/>
  <c r="EW19" i="20"/>
  <c r="EY19" i="20" s="1"/>
  <c r="EZ19" i="20" s="1"/>
  <c r="ET19" i="20"/>
  <c r="ET20" i="20"/>
  <c r="EW20" i="20"/>
  <c r="EY20" i="20" s="1"/>
  <c r="EZ20" i="20" s="1"/>
  <c r="ET17" i="20"/>
  <c r="EW17" i="20"/>
  <c r="EY17" i="20" s="1"/>
  <c r="EZ17" i="20" s="1"/>
  <c r="ET14" i="20"/>
  <c r="EW14" i="20"/>
  <c r="EY14" i="20" s="1"/>
  <c r="EZ14" i="20" s="1"/>
  <c r="EO15" i="20"/>
  <c r="EQ15" i="20" s="1"/>
  <c r="ET10" i="20"/>
  <c r="EW10" i="20"/>
  <c r="EY10" i="20" s="1"/>
  <c r="EZ10" i="20" s="1"/>
  <c r="ET11" i="20"/>
  <c r="EW11" i="20"/>
  <c r="EY11" i="20" s="1"/>
  <c r="EZ11" i="20" s="1"/>
  <c r="EW9" i="20"/>
  <c r="EY9" i="20" s="1"/>
  <c r="EZ9" i="20" s="1"/>
  <c r="ET9" i="20"/>
  <c r="EW7" i="20"/>
  <c r="EY7" i="20" s="1"/>
  <c r="EZ7" i="20" s="1"/>
  <c r="ET7" i="20"/>
  <c r="EN8" i="20"/>
  <c r="EP8" i="20" s="1"/>
  <c r="EN5" i="20"/>
  <c r="ET4" i="20"/>
  <c r="EW4" i="20"/>
  <c r="EY4" i="20" s="1"/>
  <c r="EZ4" i="20" s="1"/>
  <c r="EN44" i="20"/>
  <c r="EP44" i="20" s="1"/>
  <c r="EN12" i="20"/>
  <c r="EP12" i="20" s="1"/>
  <c r="EN15" i="20"/>
  <c r="EP15" i="20" s="1"/>
  <c r="EO5" i="20"/>
  <c r="EO21" i="20"/>
  <c r="EQ21" i="20" s="1"/>
  <c r="EO26" i="20"/>
  <c r="EQ26" i="20" s="1"/>
  <c r="EN39" i="20"/>
  <c r="EP39" i="20" s="1"/>
  <c r="EN47" i="20"/>
  <c r="EP47" i="20" s="1"/>
  <c r="EO39" i="20"/>
  <c r="EQ39" i="20" s="1"/>
  <c r="EO47" i="20"/>
  <c r="EQ47" i="20" s="1"/>
  <c r="EO12" i="20"/>
  <c r="EQ12" i="20" s="1"/>
  <c r="EO8" i="20"/>
  <c r="EQ8" i="20" s="1"/>
  <c r="AW5" i="17"/>
  <c r="AX5" i="17"/>
  <c r="AW6" i="17"/>
  <c r="AX6" i="17"/>
  <c r="AW8" i="17"/>
  <c r="AX8" i="17"/>
  <c r="AW9" i="17"/>
  <c r="AX9" i="17"/>
  <c r="AW10" i="17"/>
  <c r="AX10" i="17"/>
  <c r="AW12" i="17"/>
  <c r="AX12" i="17"/>
  <c r="AW13" i="17"/>
  <c r="AX13" i="17"/>
  <c r="AW15" i="17"/>
  <c r="AX15" i="17"/>
  <c r="AW16" i="17"/>
  <c r="AX16" i="17"/>
  <c r="AW17" i="17"/>
  <c r="AX17" i="17"/>
  <c r="AW18" i="17"/>
  <c r="AX18" i="17"/>
  <c r="AW19" i="17"/>
  <c r="AX19" i="17"/>
  <c r="AW22" i="17"/>
  <c r="AX22" i="17"/>
  <c r="AW24" i="17"/>
  <c r="AX24" i="17"/>
  <c r="AW26" i="17"/>
  <c r="AX26" i="17"/>
  <c r="AW28" i="17"/>
  <c r="AX28" i="17"/>
  <c r="AW30" i="17"/>
  <c r="AX30" i="17"/>
  <c r="AW32" i="17"/>
  <c r="AX32" i="17"/>
  <c r="AW34" i="17"/>
  <c r="AX34" i="17"/>
  <c r="AW35" i="17"/>
  <c r="AX35" i="17"/>
  <c r="AW36" i="17"/>
  <c r="AX36" i="17"/>
  <c r="AW37" i="17"/>
  <c r="AX37" i="17"/>
  <c r="AW38" i="17"/>
  <c r="AX38" i="17"/>
  <c r="AW40" i="17"/>
  <c r="AX40" i="17"/>
  <c r="AW41" i="17"/>
  <c r="AX41" i="17"/>
  <c r="AW42" i="17"/>
  <c r="AX42" i="17"/>
  <c r="AW43" i="17"/>
  <c r="AX43" i="17"/>
  <c r="AW44" i="17"/>
  <c r="AX44" i="17"/>
  <c r="AW46" i="17"/>
  <c r="AX46" i="17"/>
  <c r="AW47" i="17"/>
  <c r="AX47" i="17"/>
  <c r="AW49" i="17"/>
  <c r="AX49" i="17"/>
  <c r="AW50" i="17"/>
  <c r="AX50" i="17"/>
  <c r="AW52" i="17"/>
  <c r="AX52" i="17"/>
  <c r="AW54" i="17"/>
  <c r="AX54" i="17"/>
  <c r="AW56" i="17"/>
  <c r="AX56" i="17"/>
  <c r="EN57" i="20" l="1"/>
  <c r="EP5" i="20"/>
  <c r="EP57" i="20" s="1"/>
  <c r="EO57" i="20"/>
  <c r="EQ5" i="20"/>
  <c r="EQ57" i="20" s="1"/>
  <c r="ER22" i="20" s="1"/>
  <c r="ES22" i="20" s="1"/>
  <c r="ET55" i="20"/>
  <c r="EW55" i="20"/>
  <c r="EY55" i="20" s="1"/>
  <c r="EZ55" i="20" s="1"/>
  <c r="EW50" i="20"/>
  <c r="EY50" i="20" s="1"/>
  <c r="EZ50" i="20" s="1"/>
  <c r="EW33" i="20"/>
  <c r="EY33" i="20" s="1"/>
  <c r="EZ33" i="20" s="1"/>
  <c r="EW40" i="20"/>
  <c r="EY40" i="20" s="1"/>
  <c r="EZ40" i="20" s="1"/>
  <c r="EW32" i="20"/>
  <c r="EY32" i="20" s="1"/>
  <c r="EZ32" i="20" s="1"/>
  <c r="EW30" i="20"/>
  <c r="EY30" i="20" s="1"/>
  <c r="EZ30" i="20" s="1"/>
  <c r="EW28" i="20"/>
  <c r="EY28" i="20" s="1"/>
  <c r="EZ28" i="20" s="1"/>
  <c r="ET24" i="20"/>
  <c r="EW24" i="20"/>
  <c r="EY24" i="20" s="1"/>
  <c r="EZ24" i="20" s="1"/>
  <c r="EW13" i="20"/>
  <c r="EY13" i="20" s="1"/>
  <c r="EZ13" i="20" s="1"/>
  <c r="ER5" i="20" l="1"/>
  <c r="ER32" i="20"/>
  <c r="ER57" i="20"/>
  <c r="ER23" i="20"/>
  <c r="ER24" i="20" s="1"/>
  <c r="ER28" i="20"/>
  <c r="ER11" i="20"/>
  <c r="ER42" i="20"/>
  <c r="ER43" i="20"/>
  <c r="ER19" i="20"/>
  <c r="ER4" i="20"/>
  <c r="ER49" i="20"/>
  <c r="ER13" i="20"/>
  <c r="ER18" i="20"/>
  <c r="ER27" i="20"/>
  <c r="ER20" i="20"/>
  <c r="ER48" i="20"/>
  <c r="ER54" i="20"/>
  <c r="ER56" i="20"/>
  <c r="ER16" i="20"/>
  <c r="ER51" i="20"/>
  <c r="ER37" i="20"/>
  <c r="ER36" i="20"/>
  <c r="ER30" i="20"/>
  <c r="ER50" i="20"/>
  <c r="ER26" i="20"/>
  <c r="ER6" i="20"/>
  <c r="ER34" i="20"/>
  <c r="ER35" i="20"/>
  <c r="ER9" i="20"/>
  <c r="ER33" i="20"/>
  <c r="ER15" i="20"/>
  <c r="ER46" i="20"/>
  <c r="ER45" i="20"/>
  <c r="ER39" i="20"/>
  <c r="ER40" i="20"/>
  <c r="ER17" i="20"/>
  <c r="ER41" i="20"/>
  <c r="ER10" i="20"/>
  <c r="ER12" i="20"/>
  <c r="ER52" i="20"/>
  <c r="ER25" i="20"/>
  <c r="ER21" i="20"/>
  <c r="ER44" i="20"/>
  <c r="ER29" i="20"/>
  <c r="ER14" i="20"/>
  <c r="ER7" i="20"/>
  <c r="ER31" i="20"/>
  <c r="ER53" i="20"/>
  <c r="ER38" i="20"/>
  <c r="ER8" i="20"/>
  <c r="ER55" i="20"/>
  <c r="ER47" i="20"/>
  <c r="AC5" i="3"/>
  <c r="AD5" i="3"/>
  <c r="AC6" i="3"/>
  <c r="AD6" i="3"/>
  <c r="AC7" i="3"/>
  <c r="AD7" i="3"/>
  <c r="AC8" i="3"/>
  <c r="AD8" i="3"/>
  <c r="AC9" i="3"/>
  <c r="AD9" i="3"/>
  <c r="AC10" i="3"/>
  <c r="AD10" i="3"/>
  <c r="AC11" i="3"/>
  <c r="AD11" i="3"/>
  <c r="AC12" i="3"/>
  <c r="AD12" i="3"/>
  <c r="AC13" i="3"/>
  <c r="AD13" i="3"/>
  <c r="AC14" i="3"/>
  <c r="AD14" i="3"/>
  <c r="AC4" i="3"/>
  <c r="AD4" i="3"/>
  <c r="AV7" i="17" l="1"/>
  <c r="F33" i="17"/>
  <c r="F31" i="17"/>
  <c r="F29" i="17"/>
  <c r="AX29" i="17" s="1"/>
  <c r="E29" i="17"/>
  <c r="AW29" i="17" s="1"/>
  <c r="E31" i="17"/>
  <c r="AW31" i="17" s="1"/>
  <c r="E33" i="17"/>
  <c r="AW33" i="17" s="1"/>
  <c r="AJ4" i="17" l="1"/>
  <c r="AJ12" i="17"/>
  <c r="AJ20" i="17"/>
  <c r="AJ29" i="17"/>
  <c r="AJ37" i="17"/>
  <c r="AJ45" i="17"/>
  <c r="AJ53" i="17"/>
  <c r="AJ5" i="17"/>
  <c r="AJ13" i="17"/>
  <c r="AJ22" i="17"/>
  <c r="AJ30" i="17"/>
  <c r="AJ38" i="17"/>
  <c r="AJ46" i="17"/>
  <c r="AJ54" i="17"/>
  <c r="AJ6" i="17"/>
  <c r="AJ14" i="17"/>
  <c r="AJ23" i="17"/>
  <c r="AJ31" i="17"/>
  <c r="AJ39" i="17"/>
  <c r="AJ47" i="17"/>
  <c r="AJ55" i="17"/>
  <c r="AJ7" i="17"/>
  <c r="AJ15" i="17"/>
  <c r="AJ24" i="17"/>
  <c r="AJ32" i="17"/>
  <c r="AJ40" i="17"/>
  <c r="AJ48" i="17"/>
  <c r="AJ56" i="17"/>
  <c r="AJ8" i="17"/>
  <c r="AJ16" i="17"/>
  <c r="AJ25" i="17"/>
  <c r="AJ33" i="17"/>
  <c r="AJ41" i="17"/>
  <c r="AJ49" i="17"/>
  <c r="AJ57" i="17"/>
  <c r="AJ9" i="17"/>
  <c r="AJ17" i="17"/>
  <c r="AJ26" i="17"/>
  <c r="AJ34" i="17"/>
  <c r="AJ42" i="17"/>
  <c r="AJ50" i="17"/>
  <c r="AJ58" i="17"/>
  <c r="AJ10" i="17"/>
  <c r="AJ18" i="17"/>
  <c r="AJ27" i="17"/>
  <c r="AJ35" i="17"/>
  <c r="AJ43" i="17"/>
  <c r="AJ51" i="17"/>
  <c r="AJ3" i="17"/>
  <c r="AJ11" i="17"/>
  <c r="AJ19" i="17"/>
  <c r="AJ28" i="17"/>
  <c r="AJ36" i="17"/>
  <c r="AJ44" i="17"/>
  <c r="AJ52" i="17"/>
  <c r="AR10" i="17"/>
  <c r="AR18" i="17"/>
  <c r="AR27" i="17"/>
  <c r="AR35" i="17"/>
  <c r="AR43" i="17"/>
  <c r="AR51" i="17"/>
  <c r="AR3" i="17"/>
  <c r="AR11" i="17"/>
  <c r="AR19" i="17"/>
  <c r="AR28" i="17"/>
  <c r="AR36" i="17"/>
  <c r="AR44" i="17"/>
  <c r="AR52" i="17"/>
  <c r="AR4" i="17"/>
  <c r="AR12" i="17"/>
  <c r="AR20" i="17"/>
  <c r="AR29" i="17"/>
  <c r="AR37" i="17"/>
  <c r="AR45" i="17"/>
  <c r="AR53" i="17"/>
  <c r="AR5" i="17"/>
  <c r="AR13" i="17"/>
  <c r="AR22" i="17"/>
  <c r="AR30" i="17"/>
  <c r="AR38" i="17"/>
  <c r="AR46" i="17"/>
  <c r="AR54" i="17"/>
  <c r="AR6" i="17"/>
  <c r="AR14" i="17"/>
  <c r="AR23" i="17"/>
  <c r="AR31" i="17"/>
  <c r="AR39" i="17"/>
  <c r="AR47" i="17"/>
  <c r="AR55" i="17"/>
  <c r="AR7" i="17"/>
  <c r="AR15" i="17"/>
  <c r="AR24" i="17"/>
  <c r="AR32" i="17"/>
  <c r="AR40" i="17"/>
  <c r="AR48" i="17"/>
  <c r="AR56" i="17"/>
  <c r="AR8" i="17"/>
  <c r="AR16" i="17"/>
  <c r="AR25" i="17"/>
  <c r="AR33" i="17"/>
  <c r="AR41" i="17"/>
  <c r="AR49" i="17"/>
  <c r="AR57" i="17"/>
  <c r="AR9" i="17"/>
  <c r="AR17" i="17"/>
  <c r="AR26" i="17"/>
  <c r="AR34" i="17"/>
  <c r="AR42" i="17"/>
  <c r="AR50" i="17"/>
  <c r="AR58" i="17"/>
  <c r="AN11" i="17"/>
  <c r="AN19" i="17"/>
  <c r="AN28" i="17"/>
  <c r="AN36" i="17"/>
  <c r="AN44" i="17"/>
  <c r="AN52" i="17"/>
  <c r="AN4" i="17"/>
  <c r="AN12" i="17"/>
  <c r="AN20" i="17"/>
  <c r="AN29" i="17"/>
  <c r="AN37" i="17"/>
  <c r="AN45" i="17"/>
  <c r="AN53" i="17"/>
  <c r="AN5" i="17"/>
  <c r="AN13" i="17"/>
  <c r="AN22" i="17"/>
  <c r="AN30" i="17"/>
  <c r="AN38" i="17"/>
  <c r="AN46" i="17"/>
  <c r="AN54" i="17"/>
  <c r="AN6" i="17"/>
  <c r="AN14" i="17"/>
  <c r="AN23" i="17"/>
  <c r="AN31" i="17"/>
  <c r="AN39" i="17"/>
  <c r="AN47" i="17"/>
  <c r="AN55" i="17"/>
  <c r="AN7" i="17"/>
  <c r="AN15" i="17"/>
  <c r="AN24" i="17"/>
  <c r="AN32" i="17"/>
  <c r="AN40" i="17"/>
  <c r="AN48" i="17"/>
  <c r="AN56" i="17"/>
  <c r="AN8" i="17"/>
  <c r="AN16" i="17"/>
  <c r="AN25" i="17"/>
  <c r="AN33" i="17"/>
  <c r="AN41" i="17"/>
  <c r="AN49" i="17"/>
  <c r="AN57" i="17"/>
  <c r="AN9" i="17"/>
  <c r="AN17" i="17"/>
  <c r="AN26" i="17"/>
  <c r="AN34" i="17"/>
  <c r="AN42" i="17"/>
  <c r="AN50" i="17"/>
  <c r="AN58" i="17"/>
  <c r="AN10" i="17"/>
  <c r="AN18" i="17"/>
  <c r="AN27" i="17"/>
  <c r="AN35" i="17"/>
  <c r="AN43" i="17"/>
  <c r="AN51" i="17"/>
  <c r="AN3" i="17"/>
  <c r="AF5" i="17"/>
  <c r="AF13" i="17"/>
  <c r="AF22" i="17"/>
  <c r="AF30" i="17"/>
  <c r="AF38" i="17"/>
  <c r="AF46" i="17"/>
  <c r="AF54" i="17"/>
  <c r="AF6" i="17"/>
  <c r="AF14" i="17"/>
  <c r="AF23" i="17"/>
  <c r="AF31" i="17"/>
  <c r="AF39" i="17"/>
  <c r="AF47" i="17"/>
  <c r="AF55" i="17"/>
  <c r="AF7" i="17"/>
  <c r="AF15" i="17"/>
  <c r="AF24" i="17"/>
  <c r="AF32" i="17"/>
  <c r="AF40" i="17"/>
  <c r="AF48" i="17"/>
  <c r="AF56" i="17"/>
  <c r="AF8" i="17"/>
  <c r="AF16" i="17"/>
  <c r="AF25" i="17"/>
  <c r="AF33" i="17"/>
  <c r="AF41" i="17"/>
  <c r="AF49" i="17"/>
  <c r="AF57" i="17"/>
  <c r="AF9" i="17"/>
  <c r="AF17" i="17"/>
  <c r="AF26" i="17"/>
  <c r="AF34" i="17"/>
  <c r="AF42" i="17"/>
  <c r="AF50" i="17"/>
  <c r="AF58" i="17"/>
  <c r="AF10" i="17"/>
  <c r="AF18" i="17"/>
  <c r="AF27" i="17"/>
  <c r="AF35" i="17"/>
  <c r="AF43" i="17"/>
  <c r="AF51" i="17"/>
  <c r="AF3" i="17"/>
  <c r="AF11" i="17"/>
  <c r="AF19" i="17"/>
  <c r="AF28" i="17"/>
  <c r="AF36" i="17"/>
  <c r="AF44" i="17"/>
  <c r="AF52" i="17"/>
  <c r="AF4" i="17"/>
  <c r="AF12" i="17"/>
  <c r="AF20" i="17"/>
  <c r="AF29" i="17"/>
  <c r="AF37" i="17"/>
  <c r="AF45" i="17"/>
  <c r="AF53" i="17"/>
  <c r="AV9" i="17"/>
  <c r="AV17" i="17"/>
  <c r="AV26" i="17"/>
  <c r="AV34" i="17"/>
  <c r="AV42" i="17"/>
  <c r="AV50" i="17"/>
  <c r="AV58" i="17"/>
  <c r="AV10" i="17"/>
  <c r="AV18" i="17"/>
  <c r="AV27" i="17"/>
  <c r="AV35" i="17"/>
  <c r="AV43" i="17"/>
  <c r="AV51" i="17"/>
  <c r="AV3" i="17"/>
  <c r="AV11" i="17"/>
  <c r="AV19" i="17"/>
  <c r="AV28" i="17"/>
  <c r="AV36" i="17"/>
  <c r="AV44" i="17"/>
  <c r="AV52" i="17"/>
  <c r="AV4" i="17"/>
  <c r="AV12" i="17"/>
  <c r="AV20" i="17"/>
  <c r="AV29" i="17"/>
  <c r="AV37" i="17"/>
  <c r="AV45" i="17"/>
  <c r="AV53" i="17"/>
  <c r="AV5" i="17"/>
  <c r="AV13" i="17"/>
  <c r="AV22" i="17"/>
  <c r="AV30" i="17"/>
  <c r="AV38" i="17"/>
  <c r="AV46" i="17"/>
  <c r="AV54" i="17"/>
  <c r="AV6" i="17"/>
  <c r="AV14" i="17"/>
  <c r="AV23" i="17"/>
  <c r="AV31" i="17"/>
  <c r="AV39" i="17"/>
  <c r="AV47" i="17"/>
  <c r="AV55" i="17"/>
  <c r="AV15" i="17"/>
  <c r="AV24" i="17"/>
  <c r="AV32" i="17"/>
  <c r="AV40" i="17"/>
  <c r="AV48" i="17"/>
  <c r="AV56" i="17"/>
  <c r="AV8" i="17"/>
  <c r="AV16" i="17"/>
  <c r="AV25" i="17"/>
  <c r="AV33" i="17"/>
  <c r="AV41" i="17"/>
  <c r="AV49" i="17"/>
  <c r="AV57" i="17"/>
  <c r="P9" i="17"/>
  <c r="P17" i="17"/>
  <c r="P26" i="17"/>
  <c r="P34" i="17"/>
  <c r="P42" i="17"/>
  <c r="P50" i="17"/>
  <c r="P58" i="17"/>
  <c r="P16" i="17"/>
  <c r="P10" i="17"/>
  <c r="P18" i="17"/>
  <c r="P27" i="17"/>
  <c r="P35" i="17"/>
  <c r="P43" i="17"/>
  <c r="P51" i="17"/>
  <c r="P3" i="17"/>
  <c r="P49" i="17"/>
  <c r="P11" i="17"/>
  <c r="P19" i="17"/>
  <c r="P28" i="17"/>
  <c r="P36" i="17"/>
  <c r="P44" i="17"/>
  <c r="P52" i="17"/>
  <c r="P41" i="17"/>
  <c r="P4" i="17"/>
  <c r="P12" i="17"/>
  <c r="P20" i="17"/>
  <c r="P29" i="17"/>
  <c r="P37" i="17"/>
  <c r="P45" i="17"/>
  <c r="P53" i="17"/>
  <c r="P5" i="17"/>
  <c r="P13" i="17"/>
  <c r="P22" i="17"/>
  <c r="P30" i="17"/>
  <c r="P38" i="17"/>
  <c r="P46" i="17"/>
  <c r="P54" i="17"/>
  <c r="P8" i="17"/>
  <c r="P57" i="17"/>
  <c r="P6" i="17"/>
  <c r="P14" i="17"/>
  <c r="P23" i="17"/>
  <c r="P31" i="17"/>
  <c r="P39" i="17"/>
  <c r="P47" i="17"/>
  <c r="P55" i="17"/>
  <c r="P33" i="17"/>
  <c r="P7" i="17"/>
  <c r="P15" i="17"/>
  <c r="P24" i="17"/>
  <c r="P32" i="17"/>
  <c r="P40" i="17"/>
  <c r="P48" i="17"/>
  <c r="P56" i="17"/>
  <c r="P25" i="17"/>
  <c r="X7" i="17"/>
  <c r="X15" i="17"/>
  <c r="X24" i="17"/>
  <c r="X32" i="17"/>
  <c r="X40" i="17"/>
  <c r="X48" i="17"/>
  <c r="X56" i="17"/>
  <c r="X39" i="17"/>
  <c r="X8" i="17"/>
  <c r="X16" i="17"/>
  <c r="X25" i="17"/>
  <c r="X33" i="17"/>
  <c r="X41" i="17"/>
  <c r="X49" i="17"/>
  <c r="X57" i="17"/>
  <c r="X6" i="17"/>
  <c r="X55" i="17"/>
  <c r="X9" i="17"/>
  <c r="X17" i="17"/>
  <c r="X26" i="17"/>
  <c r="X34" i="17"/>
  <c r="X42" i="17"/>
  <c r="X50" i="17"/>
  <c r="X58" i="17"/>
  <c r="X31" i="17"/>
  <c r="X10" i="17"/>
  <c r="X18" i="17"/>
  <c r="X27" i="17"/>
  <c r="X35" i="17"/>
  <c r="X43" i="17"/>
  <c r="X51" i="17"/>
  <c r="X3" i="17"/>
  <c r="X11" i="17"/>
  <c r="X19" i="17"/>
  <c r="X28" i="17"/>
  <c r="X36" i="17"/>
  <c r="X44" i="17"/>
  <c r="X52" i="17"/>
  <c r="X14" i="17"/>
  <c r="X4" i="17"/>
  <c r="X12" i="17"/>
  <c r="X20" i="17"/>
  <c r="X29" i="17"/>
  <c r="X37" i="17"/>
  <c r="X45" i="17"/>
  <c r="X53" i="17"/>
  <c r="X47" i="17"/>
  <c r="X5" i="17"/>
  <c r="X13" i="17"/>
  <c r="X22" i="17"/>
  <c r="X30" i="17"/>
  <c r="X38" i="17"/>
  <c r="X46" i="17"/>
  <c r="X54" i="17"/>
  <c r="X23" i="17"/>
  <c r="AB6" i="17"/>
  <c r="AB14" i="17"/>
  <c r="AB23" i="17"/>
  <c r="AB31" i="17"/>
  <c r="AB39" i="17"/>
  <c r="AB47" i="17"/>
  <c r="AB55" i="17"/>
  <c r="AB38" i="17"/>
  <c r="AB7" i="17"/>
  <c r="AB15" i="17"/>
  <c r="AB24" i="17"/>
  <c r="AB32" i="17"/>
  <c r="AB40" i="17"/>
  <c r="AB48" i="17"/>
  <c r="AB56" i="17"/>
  <c r="AB5" i="17"/>
  <c r="AB8" i="17"/>
  <c r="AB16" i="17"/>
  <c r="AB25" i="17"/>
  <c r="AB33" i="17"/>
  <c r="AB41" i="17"/>
  <c r="AB49" i="17"/>
  <c r="AB57" i="17"/>
  <c r="AB30" i="17"/>
  <c r="AB9" i="17"/>
  <c r="AB17" i="17"/>
  <c r="AB26" i="17"/>
  <c r="AB34" i="17"/>
  <c r="AB42" i="17"/>
  <c r="AB50" i="17"/>
  <c r="AB58" i="17"/>
  <c r="AB54" i="17"/>
  <c r="AB10" i="17"/>
  <c r="AB18" i="17"/>
  <c r="AB27" i="17"/>
  <c r="AB35" i="17"/>
  <c r="AB43" i="17"/>
  <c r="AB51" i="17"/>
  <c r="AB3" i="17"/>
  <c r="AB22" i="17"/>
  <c r="AB11" i="17"/>
  <c r="AB19" i="17"/>
  <c r="AB28" i="17"/>
  <c r="AB36" i="17"/>
  <c r="AB44" i="17"/>
  <c r="AB52" i="17"/>
  <c r="AB46" i="17"/>
  <c r="AB4" i="17"/>
  <c r="AB12" i="17"/>
  <c r="AB20" i="17"/>
  <c r="AB29" i="17"/>
  <c r="AB37" i="17"/>
  <c r="AB45" i="17"/>
  <c r="AB53" i="17"/>
  <c r="AB13" i="17"/>
  <c r="T8" i="17"/>
  <c r="T16" i="17"/>
  <c r="T25" i="17"/>
  <c r="T33" i="17"/>
  <c r="T41" i="17"/>
  <c r="T49" i="17"/>
  <c r="T57" i="17"/>
  <c r="T24" i="17"/>
  <c r="T9" i="17"/>
  <c r="T17" i="17"/>
  <c r="T26" i="17"/>
  <c r="T34" i="17"/>
  <c r="T42" i="17"/>
  <c r="T50" i="17"/>
  <c r="T58" i="17"/>
  <c r="T56" i="17"/>
  <c r="T10" i="17"/>
  <c r="T18" i="17"/>
  <c r="T27" i="17"/>
  <c r="T35" i="17"/>
  <c r="T43" i="17"/>
  <c r="T51" i="17"/>
  <c r="T3" i="17"/>
  <c r="T32" i="17"/>
  <c r="T11" i="17"/>
  <c r="T19" i="17"/>
  <c r="T28" i="17"/>
  <c r="T36" i="17"/>
  <c r="T44" i="17"/>
  <c r="T52" i="17"/>
  <c r="T48" i="17"/>
  <c r="T4" i="17"/>
  <c r="T12" i="17"/>
  <c r="T20" i="17"/>
  <c r="T29" i="17"/>
  <c r="T37" i="17"/>
  <c r="T45" i="17"/>
  <c r="T53" i="17"/>
  <c r="T7" i="17"/>
  <c r="T5" i="17"/>
  <c r="T13" i="17"/>
  <c r="T22" i="17"/>
  <c r="T30" i="17"/>
  <c r="T38" i="17"/>
  <c r="T46" i="17"/>
  <c r="T54" i="17"/>
  <c r="T40" i="17"/>
  <c r="T6" i="17"/>
  <c r="T14" i="17"/>
  <c r="T23" i="17"/>
  <c r="T31" i="17"/>
  <c r="T39" i="17"/>
  <c r="T47" i="17"/>
  <c r="T55" i="17"/>
  <c r="T15" i="17"/>
  <c r="L9" i="17"/>
  <c r="L17" i="17"/>
  <c r="L26" i="17"/>
  <c r="L34" i="17"/>
  <c r="L42" i="17"/>
  <c r="L50" i="17"/>
  <c r="L3" i="17"/>
  <c r="L24" i="17"/>
  <c r="L8" i="17"/>
  <c r="L49" i="17"/>
  <c r="L10" i="17"/>
  <c r="L18" i="17"/>
  <c r="L27" i="17"/>
  <c r="L35" i="17"/>
  <c r="L43" i="17"/>
  <c r="L51" i="17"/>
  <c r="L40" i="17"/>
  <c r="L25" i="17"/>
  <c r="L58" i="17"/>
  <c r="L11" i="17"/>
  <c r="L19" i="17"/>
  <c r="L28" i="17"/>
  <c r="L36" i="17"/>
  <c r="L44" i="17"/>
  <c r="L52" i="17"/>
  <c r="L15" i="17"/>
  <c r="L16" i="17"/>
  <c r="L57" i="17"/>
  <c r="L4" i="17"/>
  <c r="L12" i="17"/>
  <c r="L20" i="17"/>
  <c r="L29" i="17"/>
  <c r="L37" i="17"/>
  <c r="L45" i="17"/>
  <c r="L53" i="17"/>
  <c r="L32" i="17"/>
  <c r="L5" i="17"/>
  <c r="L13" i="17"/>
  <c r="L22" i="17"/>
  <c r="L30" i="17"/>
  <c r="L38" i="17"/>
  <c r="L46" i="17"/>
  <c r="L54" i="17"/>
  <c r="L7" i="17"/>
  <c r="L56" i="17"/>
  <c r="L33" i="17"/>
  <c r="L6" i="17"/>
  <c r="L14" i="17"/>
  <c r="L23" i="17"/>
  <c r="L31" i="17"/>
  <c r="L39" i="17"/>
  <c r="L47" i="17"/>
  <c r="L55" i="17"/>
  <c r="L48" i="17"/>
  <c r="L41" i="17"/>
  <c r="AX31" i="17"/>
  <c r="G33" i="17"/>
  <c r="AX33" i="17"/>
  <c r="G31" i="17"/>
  <c r="CH34" i="20" l="1"/>
  <c r="CH32" i="20"/>
  <c r="CH30" i="20"/>
  <c r="CH28" i="20"/>
  <c r="CG28" i="20"/>
  <c r="CG30" i="20"/>
  <c r="CG32" i="20"/>
  <c r="CG34" i="20"/>
  <c r="DH34" i="20"/>
  <c r="DG34" i="20"/>
  <c r="DH32" i="20"/>
  <c r="DH30" i="20"/>
  <c r="DH28" i="20"/>
  <c r="DG28" i="20"/>
  <c r="DG30" i="20"/>
  <c r="DG32" i="20"/>
  <c r="DI4" i="20"/>
  <c r="DM4" i="20" s="1"/>
  <c r="BU45" i="22"/>
  <c r="BX47" i="22" l="1"/>
  <c r="BY47" i="22"/>
  <c r="BZ47" i="22"/>
  <c r="BX48" i="22"/>
  <c r="BY48" i="22"/>
  <c r="BZ48" i="22"/>
  <c r="BU4" i="22"/>
  <c r="BX4" i="22" s="1"/>
  <c r="AI5" i="22" l="1"/>
  <c r="AJ5" i="22"/>
  <c r="AI6" i="22"/>
  <c r="AJ6" i="22"/>
  <c r="AI7" i="22"/>
  <c r="AJ7" i="22"/>
  <c r="AI8" i="22"/>
  <c r="AJ8" i="22"/>
  <c r="AI9" i="22"/>
  <c r="AJ9" i="22"/>
  <c r="AI10" i="22"/>
  <c r="AJ10" i="22"/>
  <c r="AI11" i="22"/>
  <c r="AJ11" i="22"/>
  <c r="AI12" i="22"/>
  <c r="AJ12" i="22"/>
  <c r="AI13" i="22"/>
  <c r="AJ13" i="22"/>
  <c r="AI14" i="22"/>
  <c r="AJ14" i="22"/>
  <c r="AI15" i="22"/>
  <c r="AJ15" i="22"/>
  <c r="AI16" i="22"/>
  <c r="AJ16" i="22"/>
  <c r="AI17" i="22"/>
  <c r="AJ17" i="22"/>
  <c r="AI18" i="22"/>
  <c r="AJ18" i="22"/>
  <c r="AI19" i="22"/>
  <c r="AJ19" i="22"/>
  <c r="AI20" i="22"/>
  <c r="AJ20" i="22"/>
  <c r="AI21" i="22"/>
  <c r="AJ21" i="22"/>
  <c r="AI22" i="22"/>
  <c r="AJ22" i="22"/>
  <c r="AI23" i="22"/>
  <c r="AJ23" i="22"/>
  <c r="AI24" i="22"/>
  <c r="AJ24" i="22"/>
  <c r="AI25" i="22"/>
  <c r="AJ25" i="22"/>
  <c r="AI26" i="22"/>
  <c r="AJ26" i="22"/>
  <c r="AI27" i="22"/>
  <c r="AJ27" i="22"/>
  <c r="AI28" i="22"/>
  <c r="AJ28" i="22"/>
  <c r="AI29" i="22"/>
  <c r="AJ29" i="22"/>
  <c r="AI30" i="22"/>
  <c r="AJ30" i="22"/>
  <c r="AI31" i="22"/>
  <c r="AJ31" i="22"/>
  <c r="AI32" i="22"/>
  <c r="AJ32" i="22"/>
  <c r="AI33" i="22"/>
  <c r="AJ33" i="22"/>
  <c r="AI34" i="22"/>
  <c r="AJ34" i="22"/>
  <c r="AI35" i="22"/>
  <c r="AJ35" i="22"/>
  <c r="AI36" i="22"/>
  <c r="AJ36" i="22"/>
  <c r="AI37" i="22"/>
  <c r="AJ37" i="22"/>
  <c r="AI38" i="22"/>
  <c r="AJ38" i="22"/>
  <c r="AI39" i="22"/>
  <c r="AJ39" i="22"/>
  <c r="AI40" i="22"/>
  <c r="AJ40" i="22"/>
  <c r="AI41" i="22"/>
  <c r="AJ41" i="22"/>
  <c r="AI42" i="22"/>
  <c r="AJ42" i="22"/>
  <c r="AI43" i="22"/>
  <c r="AJ43" i="22"/>
  <c r="AI44" i="22"/>
  <c r="AJ44" i="22"/>
  <c r="AI45" i="22"/>
  <c r="AJ45" i="22"/>
  <c r="AI46" i="22"/>
  <c r="AJ46" i="22"/>
  <c r="AI47" i="22"/>
  <c r="CA47" i="22" s="1"/>
  <c r="AJ47" i="22"/>
  <c r="AI48" i="22"/>
  <c r="CA48" i="22" s="1"/>
  <c r="AJ48" i="22"/>
  <c r="AI49" i="22"/>
  <c r="AJ49" i="22"/>
  <c r="AI50" i="22"/>
  <c r="AJ50" i="22"/>
  <c r="AI51" i="22"/>
  <c r="AJ51" i="22"/>
  <c r="AI52" i="22"/>
  <c r="AJ52" i="22"/>
  <c r="AJ4" i="22"/>
  <c r="AI4" i="22"/>
  <c r="CA4" i="22" s="1"/>
  <c r="E45" i="17" l="1"/>
  <c r="AW45" i="17" s="1"/>
  <c r="E39" i="17"/>
  <c r="AW39" i="17" s="1"/>
  <c r="E48" i="17"/>
  <c r="AW48" i="17" s="1"/>
  <c r="F45" i="17"/>
  <c r="AX45" i="17" l="1"/>
  <c r="BW50" i="22"/>
  <c r="BZ50" i="22" s="1"/>
  <c r="BV50" i="22"/>
  <c r="BY50" i="22" s="1"/>
  <c r="BU50" i="22"/>
  <c r="BX50" i="22" s="1"/>
  <c r="CA50" i="22" s="1"/>
  <c r="BW49" i="22"/>
  <c r="BZ49" i="22" s="1"/>
  <c r="BV49" i="22"/>
  <c r="BY49" i="22" s="1"/>
  <c r="BU49" i="22"/>
  <c r="AD52" i="22"/>
  <c r="AC52" i="22"/>
  <c r="AD51" i="22"/>
  <c r="AC51" i="22"/>
  <c r="AD50" i="22"/>
  <c r="AC50" i="22"/>
  <c r="AD49" i="22"/>
  <c r="AC49" i="22"/>
  <c r="AD48" i="22"/>
  <c r="AC48" i="22"/>
  <c r="AD47" i="22"/>
  <c r="AC47" i="22"/>
  <c r="AD46" i="22"/>
  <c r="AC46" i="22"/>
  <c r="AD45" i="22"/>
  <c r="AC45" i="22"/>
  <c r="AD44" i="22"/>
  <c r="AC44" i="22"/>
  <c r="AD43" i="22"/>
  <c r="AC43" i="22"/>
  <c r="AD42" i="22"/>
  <c r="AC42" i="22"/>
  <c r="AD41" i="22"/>
  <c r="AC41" i="22"/>
  <c r="AD40" i="22"/>
  <c r="AC40" i="22"/>
  <c r="AD39" i="22"/>
  <c r="AC39" i="22"/>
  <c r="AD38" i="22"/>
  <c r="AC38" i="22"/>
  <c r="AD37" i="22"/>
  <c r="AC37" i="22"/>
  <c r="AD36" i="22"/>
  <c r="AC36" i="22"/>
  <c r="AD35" i="22"/>
  <c r="AC35" i="22"/>
  <c r="AD34" i="22"/>
  <c r="AC34" i="22"/>
  <c r="AD33" i="22"/>
  <c r="AC33" i="22"/>
  <c r="AD32" i="22"/>
  <c r="AC32" i="22"/>
  <c r="AD31" i="22"/>
  <c r="AC31" i="22"/>
  <c r="AD30" i="22"/>
  <c r="AC30" i="22"/>
  <c r="AD29" i="22"/>
  <c r="AC29" i="22"/>
  <c r="AD28" i="22"/>
  <c r="AC28" i="22"/>
  <c r="AD27" i="22"/>
  <c r="AC27" i="22"/>
  <c r="AD26" i="22"/>
  <c r="AC26" i="22"/>
  <c r="AD25" i="22"/>
  <c r="AC25" i="22"/>
  <c r="AD24" i="22"/>
  <c r="AC24" i="22"/>
  <c r="AD23" i="22"/>
  <c r="AC23" i="22"/>
  <c r="AD22" i="22"/>
  <c r="AC22" i="22"/>
  <c r="AD21" i="22"/>
  <c r="AC21" i="22"/>
  <c r="AD20" i="22"/>
  <c r="AC20" i="22"/>
  <c r="AD19" i="22"/>
  <c r="AC19" i="22"/>
  <c r="AD18" i="22"/>
  <c r="AC18" i="22"/>
  <c r="AD17" i="22"/>
  <c r="AC17" i="22"/>
  <c r="AD16" i="22"/>
  <c r="AC16" i="22"/>
  <c r="AD15" i="22"/>
  <c r="AC15" i="22"/>
  <c r="AD14" i="22"/>
  <c r="AC14" i="22"/>
  <c r="AD13" i="22"/>
  <c r="AC13" i="22"/>
  <c r="AD12" i="22"/>
  <c r="AC12" i="22"/>
  <c r="AD11" i="22"/>
  <c r="AC11" i="22"/>
  <c r="AD10" i="22"/>
  <c r="AC10" i="22"/>
  <c r="AD9" i="22"/>
  <c r="AC9" i="22"/>
  <c r="AD8" i="22"/>
  <c r="AC8" i="22"/>
  <c r="AD7" i="22"/>
  <c r="AC7" i="22"/>
  <c r="AD6" i="22"/>
  <c r="AC6" i="22"/>
  <c r="AD5" i="22"/>
  <c r="AC5" i="22"/>
  <c r="AD4" i="22"/>
  <c r="AC4" i="22"/>
  <c r="BU51" i="22" l="1"/>
  <c r="BX49" i="22"/>
  <c r="CA49" i="22" s="1"/>
  <c r="F51" i="17"/>
  <c r="BD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A14" i="3"/>
  <c r="AB14" i="3"/>
  <c r="AB4" i="3"/>
  <c r="AA4" i="3"/>
  <c r="EZ58" i="20"/>
  <c r="EZ59" i="20"/>
  <c r="EZ60" i="20"/>
  <c r="EZ61" i="20"/>
  <c r="EZ62" i="20"/>
  <c r="EZ63" i="20"/>
  <c r="EZ64" i="20"/>
  <c r="EZ65" i="20"/>
  <c r="EZ66" i="20"/>
  <c r="EZ67" i="20"/>
  <c r="EZ68" i="20"/>
  <c r="EZ69" i="20"/>
  <c r="EZ70" i="20"/>
  <c r="EZ71" i="20"/>
  <c r="EZ72" i="20"/>
  <c r="EZ73" i="20"/>
  <c r="CE6" i="20"/>
  <c r="CF6" i="20"/>
  <c r="CE7" i="20"/>
  <c r="CF7" i="20"/>
  <c r="CE9" i="20"/>
  <c r="CF9" i="20"/>
  <c r="CE10" i="20"/>
  <c r="CF10" i="20"/>
  <c r="CE11" i="20"/>
  <c r="CF11" i="20"/>
  <c r="CE13" i="20"/>
  <c r="CF13" i="20"/>
  <c r="CE14" i="20"/>
  <c r="CF14" i="20"/>
  <c r="CE16" i="20"/>
  <c r="CF16" i="20"/>
  <c r="CE17" i="20"/>
  <c r="CF17" i="20"/>
  <c r="CE18" i="20"/>
  <c r="CF18" i="20"/>
  <c r="CE19" i="20"/>
  <c r="CF19" i="20"/>
  <c r="CE20" i="20"/>
  <c r="CF20" i="20"/>
  <c r="CE23" i="20"/>
  <c r="CE24" i="20" s="1"/>
  <c r="CF23" i="20"/>
  <c r="CF24" i="20" s="1"/>
  <c r="CE25" i="20"/>
  <c r="CE26" i="20" s="1"/>
  <c r="CF25" i="20"/>
  <c r="CF26" i="20" s="1"/>
  <c r="CE27" i="20"/>
  <c r="CF27" i="20"/>
  <c r="CE29" i="20"/>
  <c r="CF29" i="20"/>
  <c r="CE31" i="20"/>
  <c r="CF31" i="20"/>
  <c r="CE33" i="20"/>
  <c r="CF33" i="20"/>
  <c r="CE35" i="20"/>
  <c r="CF35" i="20"/>
  <c r="CE36" i="20"/>
  <c r="CF36" i="20"/>
  <c r="CE37" i="20"/>
  <c r="CF37" i="20"/>
  <c r="CE38" i="20"/>
  <c r="CF38" i="20"/>
  <c r="CE40" i="20"/>
  <c r="CF40" i="20"/>
  <c r="CE41" i="20"/>
  <c r="CF41" i="20"/>
  <c r="CE42" i="20"/>
  <c r="CF42" i="20"/>
  <c r="CE43" i="20"/>
  <c r="CF43" i="20"/>
  <c r="CE44" i="20"/>
  <c r="CF44" i="20"/>
  <c r="CE45" i="20"/>
  <c r="CF45" i="20"/>
  <c r="CE46" i="20"/>
  <c r="CF46" i="20"/>
  <c r="CE47" i="20"/>
  <c r="CF47" i="20"/>
  <c r="CE48" i="20"/>
  <c r="CF48" i="20"/>
  <c r="CE49" i="20"/>
  <c r="CF49" i="20"/>
  <c r="CE50" i="20"/>
  <c r="CF50" i="20"/>
  <c r="CE51" i="20"/>
  <c r="CF51" i="20"/>
  <c r="CE52" i="20"/>
  <c r="CF52" i="20"/>
  <c r="CE53" i="20"/>
  <c r="CF53" i="20"/>
  <c r="CE55" i="20"/>
  <c r="CF55" i="20"/>
  <c r="CE56" i="20"/>
  <c r="CF56" i="20"/>
  <c r="CE57" i="20"/>
  <c r="CF57" i="20"/>
  <c r="CE58" i="20"/>
  <c r="CF58" i="20"/>
  <c r="CE59" i="20"/>
  <c r="CF59" i="20"/>
  <c r="CE60" i="20"/>
  <c r="CF60" i="20"/>
  <c r="CE61" i="20"/>
  <c r="CF61" i="20"/>
  <c r="CE62" i="20"/>
  <c r="CF62" i="20"/>
  <c r="CE63" i="20"/>
  <c r="CF63" i="20"/>
  <c r="CE64" i="20"/>
  <c r="CF64" i="20"/>
  <c r="CE65" i="20"/>
  <c r="CF65" i="20"/>
  <c r="CE66" i="20"/>
  <c r="CF66" i="20"/>
  <c r="CE67" i="20"/>
  <c r="CF67" i="20"/>
  <c r="CE68" i="20"/>
  <c r="CF68" i="20"/>
  <c r="CE69" i="20"/>
  <c r="CF69" i="20"/>
  <c r="CE70" i="20"/>
  <c r="CF70" i="20"/>
  <c r="CE71" i="20"/>
  <c r="CF71" i="20"/>
  <c r="CE72" i="20"/>
  <c r="CF72" i="20"/>
  <c r="CE73" i="20"/>
  <c r="CF73" i="20"/>
  <c r="CF4" i="20"/>
  <c r="CF5" i="20" s="1"/>
  <c r="CE4" i="20"/>
  <c r="CE5" i="20" s="1"/>
  <c r="BH4" i="3" l="1"/>
  <c r="CF8" i="20"/>
  <c r="AX51" i="17"/>
  <c r="CE8" i="20"/>
  <c r="BX51" i="22"/>
  <c r="CA51" i="22" s="1"/>
  <c r="CF21" i="20"/>
  <c r="CE21" i="20"/>
  <c r="CF39" i="20"/>
  <c r="CF34" i="20"/>
  <c r="CF12" i="20"/>
  <c r="CE39" i="20"/>
  <c r="CE34" i="20"/>
  <c r="CE12" i="20"/>
  <c r="CF15" i="20"/>
  <c r="CE15" i="20"/>
  <c r="BP51" i="22"/>
  <c r="BQ51" i="22"/>
  <c r="BV51" i="22"/>
  <c r="BY51" i="22" s="1"/>
  <c r="BW51" i="22"/>
  <c r="BZ51" i="22" s="1"/>
  <c r="BO51" i="22"/>
  <c r="BQ46" i="22"/>
  <c r="BP46" i="22"/>
  <c r="BO46" i="22"/>
  <c r="BU31" i="22"/>
  <c r="BX31" i="22" s="1"/>
  <c r="CA31" i="22" s="1"/>
  <c r="BV31" i="22"/>
  <c r="BY31" i="22" s="1"/>
  <c r="BW31" i="22"/>
  <c r="BZ31" i="22" s="1"/>
  <c r="BU32" i="22"/>
  <c r="BX32" i="22" s="1"/>
  <c r="CA32" i="22" s="1"/>
  <c r="BV32" i="22"/>
  <c r="BY32" i="22" s="1"/>
  <c r="BW32" i="22"/>
  <c r="BZ32" i="22" s="1"/>
  <c r="BU33" i="22"/>
  <c r="BX33" i="22" s="1"/>
  <c r="CA33" i="22" s="1"/>
  <c r="BV33" i="22"/>
  <c r="BY33" i="22" s="1"/>
  <c r="BW33" i="22"/>
  <c r="BZ33" i="22" s="1"/>
  <c r="BU34" i="22"/>
  <c r="BX34" i="22" s="1"/>
  <c r="CA34" i="22" s="1"/>
  <c r="BV34" i="22"/>
  <c r="BY34" i="22" s="1"/>
  <c r="BW34" i="22"/>
  <c r="BZ34" i="22" s="1"/>
  <c r="BU35" i="22"/>
  <c r="BX35" i="22" s="1"/>
  <c r="CA35" i="22" s="1"/>
  <c r="BV35" i="22"/>
  <c r="BY35" i="22" s="1"/>
  <c r="BW35" i="22"/>
  <c r="BZ35" i="22" s="1"/>
  <c r="BU36" i="22"/>
  <c r="BX36" i="22" s="1"/>
  <c r="CA36" i="22" s="1"/>
  <c r="BV36" i="22"/>
  <c r="BY36" i="22" s="1"/>
  <c r="BW36" i="22"/>
  <c r="BZ36" i="22" s="1"/>
  <c r="BU37" i="22"/>
  <c r="BX37" i="22" s="1"/>
  <c r="CA37" i="22" s="1"/>
  <c r="BV37" i="22"/>
  <c r="BY37" i="22" s="1"/>
  <c r="BW37" i="22"/>
  <c r="BZ37" i="22" s="1"/>
  <c r="BU38" i="22"/>
  <c r="BX38" i="22" s="1"/>
  <c r="CA38" i="22" s="1"/>
  <c r="BV38" i="22"/>
  <c r="BY38" i="22" s="1"/>
  <c r="BW38" i="22"/>
  <c r="BZ38" i="22" s="1"/>
  <c r="BU39" i="22"/>
  <c r="BX39" i="22" s="1"/>
  <c r="CA39" i="22" s="1"/>
  <c r="BV39" i="22"/>
  <c r="BY39" i="22" s="1"/>
  <c r="BW39" i="22"/>
  <c r="BZ39" i="22" s="1"/>
  <c r="BU40" i="22"/>
  <c r="BX40" i="22" s="1"/>
  <c r="CA40" i="22" s="1"/>
  <c r="BV40" i="22"/>
  <c r="BY40" i="22" s="1"/>
  <c r="BW40" i="22"/>
  <c r="BZ40" i="22" s="1"/>
  <c r="BU41" i="22"/>
  <c r="BX41" i="22" s="1"/>
  <c r="CA41" i="22" s="1"/>
  <c r="BV41" i="22"/>
  <c r="BY41" i="22" s="1"/>
  <c r="BW41" i="22"/>
  <c r="BZ41" i="22" s="1"/>
  <c r="BU42" i="22"/>
  <c r="BX42" i="22" s="1"/>
  <c r="CA42" i="22" s="1"/>
  <c r="BV42" i="22"/>
  <c r="BY42" i="22" s="1"/>
  <c r="BW42" i="22"/>
  <c r="BZ42" i="22" s="1"/>
  <c r="BU43" i="22"/>
  <c r="BX43" i="22" s="1"/>
  <c r="CA43" i="22" s="1"/>
  <c r="BV43" i="22"/>
  <c r="BY43" i="22" s="1"/>
  <c r="BW43" i="22"/>
  <c r="BZ43" i="22" s="1"/>
  <c r="BU44" i="22"/>
  <c r="BX44" i="22" s="1"/>
  <c r="CA44" i="22" s="1"/>
  <c r="BV44" i="22"/>
  <c r="BY44" i="22" s="1"/>
  <c r="BW44" i="22"/>
  <c r="BZ44" i="22" s="1"/>
  <c r="BX45" i="22"/>
  <c r="CA45" i="22" s="1"/>
  <c r="BV45" i="22"/>
  <c r="BY45" i="22" s="1"/>
  <c r="BW45" i="22"/>
  <c r="BZ45" i="22" s="1"/>
  <c r="BW30" i="22"/>
  <c r="BZ30" i="22" s="1"/>
  <c r="BV30" i="22"/>
  <c r="BY30" i="22" s="1"/>
  <c r="BU30" i="22"/>
  <c r="BU5" i="22"/>
  <c r="BX5" i="22" s="1"/>
  <c r="CA5" i="22" s="1"/>
  <c r="BV5" i="22"/>
  <c r="BY5" i="22" s="1"/>
  <c r="BW5" i="22"/>
  <c r="BZ5" i="22" s="1"/>
  <c r="BU6" i="22"/>
  <c r="BX6" i="22" s="1"/>
  <c r="CA6" i="22" s="1"/>
  <c r="BV6" i="22"/>
  <c r="BY6" i="22" s="1"/>
  <c r="BW6" i="22"/>
  <c r="BZ6" i="22" s="1"/>
  <c r="BU7" i="22"/>
  <c r="BX7" i="22" s="1"/>
  <c r="CA7" i="22" s="1"/>
  <c r="BV7" i="22"/>
  <c r="BY7" i="22" s="1"/>
  <c r="BW7" i="22"/>
  <c r="BZ7" i="22" s="1"/>
  <c r="BU8" i="22"/>
  <c r="BX8" i="22" s="1"/>
  <c r="CA8" i="22" s="1"/>
  <c r="BV8" i="22"/>
  <c r="BY8" i="22" s="1"/>
  <c r="BW8" i="22"/>
  <c r="BZ8" i="22" s="1"/>
  <c r="BU9" i="22"/>
  <c r="BX9" i="22" s="1"/>
  <c r="CA9" i="22" s="1"/>
  <c r="BV9" i="22"/>
  <c r="BY9" i="22" s="1"/>
  <c r="BW9" i="22"/>
  <c r="BZ9" i="22" s="1"/>
  <c r="BU10" i="22"/>
  <c r="BX10" i="22" s="1"/>
  <c r="CA10" i="22" s="1"/>
  <c r="BV10" i="22"/>
  <c r="BY10" i="22" s="1"/>
  <c r="BW10" i="22"/>
  <c r="BZ10" i="22" s="1"/>
  <c r="BU11" i="22"/>
  <c r="BX11" i="22" s="1"/>
  <c r="CA11" i="22" s="1"/>
  <c r="BV11" i="22"/>
  <c r="BY11" i="22" s="1"/>
  <c r="BW11" i="22"/>
  <c r="BZ11" i="22" s="1"/>
  <c r="BU12" i="22"/>
  <c r="BX12" i="22" s="1"/>
  <c r="CA12" i="22" s="1"/>
  <c r="BV12" i="22"/>
  <c r="BY12" i="22" s="1"/>
  <c r="BW12" i="22"/>
  <c r="BZ12" i="22" s="1"/>
  <c r="BU13" i="22"/>
  <c r="BX13" i="22" s="1"/>
  <c r="CA13" i="22" s="1"/>
  <c r="BV13" i="22"/>
  <c r="BY13" i="22" s="1"/>
  <c r="BW13" i="22"/>
  <c r="BZ13" i="22" s="1"/>
  <c r="BU14" i="22"/>
  <c r="BX14" i="22" s="1"/>
  <c r="CA14" i="22" s="1"/>
  <c r="BV14" i="22"/>
  <c r="BY14" i="22" s="1"/>
  <c r="BW14" i="22"/>
  <c r="BZ14" i="22" s="1"/>
  <c r="BU15" i="22"/>
  <c r="BX15" i="22" s="1"/>
  <c r="CA15" i="22" s="1"/>
  <c r="BV15" i="22"/>
  <c r="BY15" i="22" s="1"/>
  <c r="BW15" i="22"/>
  <c r="BZ15" i="22" s="1"/>
  <c r="BU16" i="22"/>
  <c r="BX16" i="22" s="1"/>
  <c r="CA16" i="22" s="1"/>
  <c r="BV16" i="22"/>
  <c r="BY16" i="22" s="1"/>
  <c r="BW16" i="22"/>
  <c r="BZ16" i="22" s="1"/>
  <c r="BU17" i="22"/>
  <c r="BX17" i="22" s="1"/>
  <c r="CA17" i="22" s="1"/>
  <c r="BV17" i="22"/>
  <c r="BY17" i="22" s="1"/>
  <c r="BW17" i="22"/>
  <c r="BZ17" i="22" s="1"/>
  <c r="BU18" i="22"/>
  <c r="BX18" i="22" s="1"/>
  <c r="CA18" i="22" s="1"/>
  <c r="BV18" i="22"/>
  <c r="BY18" i="22" s="1"/>
  <c r="BW18" i="22"/>
  <c r="BZ18" i="22" s="1"/>
  <c r="BU19" i="22"/>
  <c r="BX19" i="22" s="1"/>
  <c r="CA19" i="22" s="1"/>
  <c r="BV19" i="22"/>
  <c r="BY19" i="22" s="1"/>
  <c r="BW19" i="22"/>
  <c r="BZ19" i="22" s="1"/>
  <c r="BU20" i="22"/>
  <c r="BX20" i="22" s="1"/>
  <c r="CA20" i="22" s="1"/>
  <c r="BV20" i="22"/>
  <c r="BY20" i="22" s="1"/>
  <c r="BW20" i="22"/>
  <c r="BZ20" i="22" s="1"/>
  <c r="BU21" i="22"/>
  <c r="BX21" i="22" s="1"/>
  <c r="CA21" i="22" s="1"/>
  <c r="BV21" i="22"/>
  <c r="BY21" i="22" s="1"/>
  <c r="BW21" i="22"/>
  <c r="BZ21" i="22" s="1"/>
  <c r="BU22" i="22"/>
  <c r="BX22" i="22" s="1"/>
  <c r="CA22" i="22" s="1"/>
  <c r="BV22" i="22"/>
  <c r="BY22" i="22" s="1"/>
  <c r="BW22" i="22"/>
  <c r="BZ22" i="22" s="1"/>
  <c r="BU23" i="22"/>
  <c r="BX23" i="22" s="1"/>
  <c r="CA23" i="22" s="1"/>
  <c r="BV23" i="22"/>
  <c r="BY23" i="22" s="1"/>
  <c r="BW23" i="22"/>
  <c r="BZ23" i="22" s="1"/>
  <c r="BU24" i="22"/>
  <c r="BX24" i="22" s="1"/>
  <c r="CA24" i="22" s="1"/>
  <c r="BV24" i="22"/>
  <c r="BY24" i="22" s="1"/>
  <c r="BW24" i="22"/>
  <c r="BZ24" i="22" s="1"/>
  <c r="BU25" i="22"/>
  <c r="BX25" i="22" s="1"/>
  <c r="CA25" i="22" s="1"/>
  <c r="BV25" i="22"/>
  <c r="BY25" i="22" s="1"/>
  <c r="BW25" i="22"/>
  <c r="BZ25" i="22" s="1"/>
  <c r="BU26" i="22"/>
  <c r="BX26" i="22" s="1"/>
  <c r="CA26" i="22" s="1"/>
  <c r="BV26" i="22"/>
  <c r="BY26" i="22" s="1"/>
  <c r="BW26" i="22"/>
  <c r="BZ26" i="22" s="1"/>
  <c r="BU27" i="22"/>
  <c r="BX27" i="22" s="1"/>
  <c r="CA27" i="22" s="1"/>
  <c r="BV27" i="22"/>
  <c r="BY27" i="22" s="1"/>
  <c r="BW27" i="22"/>
  <c r="BZ27" i="22" s="1"/>
  <c r="BU28" i="22"/>
  <c r="BX28" i="22" s="1"/>
  <c r="CA28" i="22" s="1"/>
  <c r="BV28" i="22"/>
  <c r="BY28" i="22" s="1"/>
  <c r="BW28" i="22"/>
  <c r="BZ28" i="22" s="1"/>
  <c r="BP29" i="22"/>
  <c r="BQ29" i="22"/>
  <c r="BO29" i="22"/>
  <c r="BV4" i="22"/>
  <c r="BY4" i="22" s="1"/>
  <c r="BW4" i="22"/>
  <c r="BZ4" i="22" s="1"/>
  <c r="BX30" i="22" l="1"/>
  <c r="CA30" i="22" s="1"/>
  <c r="BU46" i="22"/>
  <c r="BQ52" i="22"/>
  <c r="BO52" i="22"/>
  <c r="BP52" i="22"/>
  <c r="BU29" i="22"/>
  <c r="BX29" i="22" s="1"/>
  <c r="CA29" i="22" s="1"/>
  <c r="BV29" i="22"/>
  <c r="BY29" i="22" s="1"/>
  <c r="BW29" i="22"/>
  <c r="BZ29" i="22" s="1"/>
  <c r="BW46" i="22"/>
  <c r="BZ46" i="22" s="1"/>
  <c r="BV46" i="22"/>
  <c r="BY46" i="22" s="1"/>
  <c r="BX46" i="22" l="1"/>
  <c r="CA46" i="22" s="1"/>
  <c r="BU52" i="22"/>
  <c r="BX52" i="22" s="1"/>
  <c r="CA52" i="22" s="1"/>
  <c r="BW52" i="22"/>
  <c r="BZ52" i="22" s="1"/>
  <c r="BV52" i="22"/>
  <c r="BY52" i="22" s="1"/>
  <c r="O5" i="21" l="1"/>
  <c r="P5" i="21" s="1"/>
  <c r="O6" i="21"/>
  <c r="P6" i="21" s="1"/>
  <c r="O7" i="21"/>
  <c r="P7" i="21" s="1"/>
  <c r="O8" i="21"/>
  <c r="P8" i="21" s="1"/>
  <c r="O9" i="21"/>
  <c r="P9" i="21" s="1"/>
  <c r="O10" i="21"/>
  <c r="P10" i="21" s="1"/>
  <c r="O11" i="21"/>
  <c r="P11" i="21" s="1"/>
  <c r="O4" i="21"/>
  <c r="P4" i="21" s="1"/>
  <c r="Q9" i="21" l="1"/>
  <c r="Q7" i="21"/>
  <c r="Q6" i="21"/>
  <c r="Q10" i="21" l="1"/>
  <c r="DC57" i="20"/>
  <c r="DI6" i="20"/>
  <c r="DM6" i="20" s="1"/>
  <c r="DJ6" i="20"/>
  <c r="DN6" i="20" s="1"/>
  <c r="DI7" i="20"/>
  <c r="DM7" i="20" s="1"/>
  <c r="DJ7" i="20"/>
  <c r="DN7" i="20" s="1"/>
  <c r="DI9" i="20"/>
  <c r="DM9" i="20" s="1"/>
  <c r="DJ9" i="20"/>
  <c r="DN9" i="20" s="1"/>
  <c r="DI10" i="20"/>
  <c r="DM10" i="20" s="1"/>
  <c r="DJ10" i="20"/>
  <c r="DN10" i="20" s="1"/>
  <c r="DI11" i="20"/>
  <c r="DM11" i="20" s="1"/>
  <c r="DJ11" i="20"/>
  <c r="DN11" i="20" s="1"/>
  <c r="DI13" i="20"/>
  <c r="DM13" i="20" s="1"/>
  <c r="DJ13" i="20"/>
  <c r="DN13" i="20" s="1"/>
  <c r="DI14" i="20"/>
  <c r="DM14" i="20" s="1"/>
  <c r="DJ14" i="20"/>
  <c r="DN14" i="20" s="1"/>
  <c r="DI16" i="20"/>
  <c r="DM16" i="20" s="1"/>
  <c r="DJ16" i="20"/>
  <c r="DN16" i="20" s="1"/>
  <c r="DI17" i="20"/>
  <c r="DM17" i="20" s="1"/>
  <c r="DJ17" i="20"/>
  <c r="DN17" i="20" s="1"/>
  <c r="DI18" i="20"/>
  <c r="DM18" i="20" s="1"/>
  <c r="DJ18" i="20"/>
  <c r="DN18" i="20" s="1"/>
  <c r="DI19" i="20"/>
  <c r="DM19" i="20" s="1"/>
  <c r="DJ19" i="20"/>
  <c r="DN19" i="20" s="1"/>
  <c r="DI20" i="20"/>
  <c r="DM20" i="20" s="1"/>
  <c r="DJ20" i="20"/>
  <c r="DN20" i="20" s="1"/>
  <c r="DI23" i="20"/>
  <c r="DM23" i="20" s="1"/>
  <c r="DM24" i="20" s="1"/>
  <c r="DJ23" i="20"/>
  <c r="DN23" i="20" s="1"/>
  <c r="DN24" i="20" s="1"/>
  <c r="DI25" i="20"/>
  <c r="DM25" i="20" s="1"/>
  <c r="DJ25" i="20"/>
  <c r="DN25" i="20" s="1"/>
  <c r="DI27" i="20"/>
  <c r="DJ27" i="20"/>
  <c r="DI29" i="20"/>
  <c r="DJ29" i="20"/>
  <c r="DI31" i="20"/>
  <c r="DJ31" i="20"/>
  <c r="DI33" i="20"/>
  <c r="DJ33" i="20"/>
  <c r="DI35" i="20"/>
  <c r="DM35" i="20" s="1"/>
  <c r="DJ35" i="20"/>
  <c r="DN35" i="20" s="1"/>
  <c r="DI36" i="20"/>
  <c r="DM36" i="20" s="1"/>
  <c r="DJ36" i="20"/>
  <c r="DN36" i="20" s="1"/>
  <c r="DI37" i="20"/>
  <c r="DM37" i="20" s="1"/>
  <c r="DJ37" i="20"/>
  <c r="DN37" i="20" s="1"/>
  <c r="DI38" i="20"/>
  <c r="DM38" i="20" s="1"/>
  <c r="DJ38" i="20"/>
  <c r="DN38" i="20" s="1"/>
  <c r="DI40" i="20"/>
  <c r="DM40" i="20" s="1"/>
  <c r="DJ40" i="20"/>
  <c r="DN40" i="20" s="1"/>
  <c r="DI41" i="20"/>
  <c r="DM41" i="20" s="1"/>
  <c r="DJ41" i="20"/>
  <c r="DN41" i="20" s="1"/>
  <c r="DI42" i="20"/>
  <c r="DM42" i="20" s="1"/>
  <c r="DJ42" i="20"/>
  <c r="DN42" i="20" s="1"/>
  <c r="DI43" i="20"/>
  <c r="DM43" i="20" s="1"/>
  <c r="DJ43" i="20"/>
  <c r="DN43" i="20" s="1"/>
  <c r="DI45" i="20"/>
  <c r="DM45" i="20" s="1"/>
  <c r="DJ45" i="20"/>
  <c r="DN45" i="20" s="1"/>
  <c r="DI46" i="20"/>
  <c r="DM46" i="20" s="1"/>
  <c r="DJ46" i="20"/>
  <c r="DN46" i="20" s="1"/>
  <c r="DI48" i="20"/>
  <c r="DM48" i="20" s="1"/>
  <c r="DJ48" i="20"/>
  <c r="DN48" i="20" s="1"/>
  <c r="DI49" i="20"/>
  <c r="DM49" i="20" s="1"/>
  <c r="DJ49" i="20"/>
  <c r="DN49" i="20" s="1"/>
  <c r="DI51" i="20"/>
  <c r="DM51" i="20" s="1"/>
  <c r="DJ51" i="20"/>
  <c r="DN51" i="20" s="1"/>
  <c r="DI53" i="20"/>
  <c r="DM53" i="20" s="1"/>
  <c r="DJ53" i="20"/>
  <c r="DN53" i="20" s="1"/>
  <c r="DI55" i="20"/>
  <c r="DM55" i="20" s="1"/>
  <c r="DJ55" i="20"/>
  <c r="DN55" i="20" s="1"/>
  <c r="DI58" i="20"/>
  <c r="DM58" i="20" s="1"/>
  <c r="DJ58" i="20"/>
  <c r="DN58" i="20" s="1"/>
  <c r="DI59" i="20"/>
  <c r="DM59" i="20" s="1"/>
  <c r="DJ59" i="20"/>
  <c r="DN59" i="20" s="1"/>
  <c r="DI60" i="20"/>
  <c r="DM60" i="20" s="1"/>
  <c r="DJ60" i="20"/>
  <c r="DN60" i="20" s="1"/>
  <c r="DI61" i="20"/>
  <c r="DM61" i="20" s="1"/>
  <c r="DJ61" i="20"/>
  <c r="DN61" i="20" s="1"/>
  <c r="DI62" i="20"/>
  <c r="DM62" i="20" s="1"/>
  <c r="DJ62" i="20"/>
  <c r="DN62" i="20" s="1"/>
  <c r="DI63" i="20"/>
  <c r="DM63" i="20" s="1"/>
  <c r="DJ63" i="20"/>
  <c r="DN63" i="20" s="1"/>
  <c r="DI64" i="20"/>
  <c r="DM64" i="20" s="1"/>
  <c r="DJ64" i="20"/>
  <c r="DN64" i="20" s="1"/>
  <c r="DI65" i="20"/>
  <c r="DM65" i="20" s="1"/>
  <c r="DJ65" i="20"/>
  <c r="DN65" i="20" s="1"/>
  <c r="DI66" i="20"/>
  <c r="DM66" i="20" s="1"/>
  <c r="DJ66" i="20"/>
  <c r="DN66" i="20" s="1"/>
  <c r="DI67" i="20"/>
  <c r="DM67" i="20" s="1"/>
  <c r="DJ67" i="20"/>
  <c r="DN67" i="20" s="1"/>
  <c r="DI68" i="20"/>
  <c r="DM68" i="20" s="1"/>
  <c r="DJ68" i="20"/>
  <c r="DN68" i="20" s="1"/>
  <c r="DI69" i="20"/>
  <c r="DM69" i="20" s="1"/>
  <c r="DJ69" i="20"/>
  <c r="DN69" i="20" s="1"/>
  <c r="DI70" i="20"/>
  <c r="DM70" i="20" s="1"/>
  <c r="DJ70" i="20"/>
  <c r="DN70" i="20" s="1"/>
  <c r="DI71" i="20"/>
  <c r="DM71" i="20" s="1"/>
  <c r="DJ71" i="20"/>
  <c r="DN71" i="20" s="1"/>
  <c r="DI72" i="20"/>
  <c r="DM72" i="20" s="1"/>
  <c r="DJ72" i="20"/>
  <c r="DN72" i="20" s="1"/>
  <c r="DI73" i="20"/>
  <c r="DM73" i="20" s="1"/>
  <c r="DJ73" i="20"/>
  <c r="DN73" i="20" s="1"/>
  <c r="DD57" i="20"/>
  <c r="DE57" i="20"/>
  <c r="DF57" i="20"/>
  <c r="DG57" i="20"/>
  <c r="DH57" i="20"/>
  <c r="DD50" i="20"/>
  <c r="DE50" i="20"/>
  <c r="DF50" i="20"/>
  <c r="DG50" i="20"/>
  <c r="DH50" i="20"/>
  <c r="DC50" i="20"/>
  <c r="AU42" i="17"/>
  <c r="AU35" i="17"/>
  <c r="AU26" i="17"/>
  <c r="AU19" i="17"/>
  <c r="AU18" i="17"/>
  <c r="AU6" i="17"/>
  <c r="AQ48" i="17"/>
  <c r="AQ46" i="17"/>
  <c r="AQ42" i="17"/>
  <c r="AQ37" i="17"/>
  <c r="AQ35" i="17"/>
  <c r="AQ34" i="17"/>
  <c r="AQ26" i="17"/>
  <c r="AQ19" i="17"/>
  <c r="AQ17" i="17"/>
  <c r="AQ13" i="17"/>
  <c r="AQ10" i="17"/>
  <c r="AQ8" i="17"/>
  <c r="AQ6" i="17"/>
  <c r="AM42" i="17"/>
  <c r="AM30" i="17"/>
  <c r="AM10" i="17"/>
  <c r="AM6" i="17"/>
  <c r="AM3" i="17"/>
  <c r="AI42" i="17"/>
  <c r="AI38" i="17"/>
  <c r="AI37" i="17"/>
  <c r="AI19" i="17"/>
  <c r="AI18" i="17"/>
  <c r="AI13" i="17"/>
  <c r="AI10" i="17"/>
  <c r="AI8" i="17"/>
  <c r="AI6" i="17"/>
  <c r="AE52" i="17"/>
  <c r="AE42" i="17"/>
  <c r="AE38" i="17"/>
  <c r="AE37" i="17"/>
  <c r="AE34" i="17"/>
  <c r="AE28" i="17"/>
  <c r="AE22" i="17"/>
  <c r="AE19" i="17"/>
  <c r="AE17" i="17"/>
  <c r="AE16" i="17"/>
  <c r="AE13" i="17"/>
  <c r="AE10" i="17"/>
  <c r="AE8" i="17"/>
  <c r="AE6" i="17"/>
  <c r="AE3" i="17"/>
  <c r="AA42" i="17"/>
  <c r="AA38" i="17"/>
  <c r="AA34" i="17"/>
  <c r="AA30" i="17"/>
  <c r="AA28" i="17"/>
  <c r="AA24" i="17"/>
  <c r="AA22" i="17"/>
  <c r="AA16" i="17"/>
  <c r="AA13" i="17"/>
  <c r="AA10" i="17"/>
  <c r="AA8" i="17"/>
  <c r="AA6" i="17"/>
  <c r="AA3" i="17"/>
  <c r="W56" i="17"/>
  <c r="W54" i="17"/>
  <c r="W52" i="17"/>
  <c r="W37" i="17"/>
  <c r="W32" i="17"/>
  <c r="W24" i="17"/>
  <c r="W22" i="17"/>
  <c r="W18" i="17"/>
  <c r="W16" i="17"/>
  <c r="W13" i="17"/>
  <c r="W10" i="17"/>
  <c r="W8" i="17"/>
  <c r="W6" i="17"/>
  <c r="W3" i="17"/>
  <c r="S56" i="17"/>
  <c r="S52" i="17"/>
  <c r="S47" i="17"/>
  <c r="S46" i="17"/>
  <c r="S42" i="17"/>
  <c r="S38" i="17"/>
  <c r="S37" i="17"/>
  <c r="S34" i="17"/>
  <c r="S32" i="17"/>
  <c r="S30" i="17"/>
  <c r="S28" i="17"/>
  <c r="S26" i="17"/>
  <c r="S24" i="17"/>
  <c r="S22" i="17"/>
  <c r="S19" i="17"/>
  <c r="S13" i="17"/>
  <c r="S10" i="17"/>
  <c r="S9" i="17"/>
  <c r="S8" i="17"/>
  <c r="S6" i="17"/>
  <c r="S3" i="17"/>
  <c r="O52" i="17"/>
  <c r="O42" i="17"/>
  <c r="O38" i="17"/>
  <c r="O37" i="17"/>
  <c r="O35" i="17"/>
  <c r="O34" i="17"/>
  <c r="O28" i="17"/>
  <c r="O24" i="17"/>
  <c r="O22" i="17"/>
  <c r="O18" i="17"/>
  <c r="O16" i="17"/>
  <c r="O13" i="17"/>
  <c r="O10" i="17"/>
  <c r="O8" i="17"/>
  <c r="O6" i="17"/>
  <c r="K52" i="17"/>
  <c r="K42" i="17"/>
  <c r="K37" i="17"/>
  <c r="K34" i="17"/>
  <c r="K32" i="17"/>
  <c r="K24" i="17"/>
  <c r="K22" i="17"/>
  <c r="K18" i="17"/>
  <c r="K16" i="17"/>
  <c r="K13" i="17"/>
  <c r="K10" i="17"/>
  <c r="K8" i="17"/>
  <c r="K6" i="17"/>
  <c r="E51" i="17"/>
  <c r="AW51" i="17" s="1"/>
  <c r="EV45" i="20" l="1"/>
  <c r="EX45" i="20" s="1"/>
  <c r="EU45" i="20"/>
  <c r="EU9" i="20"/>
  <c r="EV9" i="20"/>
  <c r="EX9" i="20" s="1"/>
  <c r="EU49" i="20"/>
  <c r="EV49" i="20"/>
  <c r="EX49" i="20" s="1"/>
  <c r="EU43" i="20"/>
  <c r="EV43" i="20"/>
  <c r="EX43" i="20" s="1"/>
  <c r="EV38" i="20"/>
  <c r="EX38" i="20" s="1"/>
  <c r="EU38" i="20"/>
  <c r="EV25" i="20"/>
  <c r="EX25" i="20" s="1"/>
  <c r="EU25" i="20"/>
  <c r="EV18" i="20"/>
  <c r="EX18" i="20" s="1"/>
  <c r="EU18" i="20"/>
  <c r="EU13" i="20"/>
  <c r="EV13" i="20"/>
  <c r="EX13" i="20" s="1"/>
  <c r="EU7" i="20"/>
  <c r="EV7" i="20"/>
  <c r="EX7" i="20" s="1"/>
  <c r="EU40" i="20"/>
  <c r="EV40" i="20"/>
  <c r="EX40" i="20" s="1"/>
  <c r="EU19" i="20"/>
  <c r="EV19" i="20"/>
  <c r="EX19" i="20" s="1"/>
  <c r="EU55" i="20"/>
  <c r="EV55" i="20"/>
  <c r="EX55" i="20" s="1"/>
  <c r="EU42" i="20"/>
  <c r="EV42" i="20"/>
  <c r="EX42" i="20" s="1"/>
  <c r="EU23" i="20"/>
  <c r="EV23" i="20"/>
  <c r="EX23" i="20" s="1"/>
  <c r="EU11" i="20"/>
  <c r="EV11" i="20"/>
  <c r="EX11" i="20" s="1"/>
  <c r="EU53" i="20"/>
  <c r="EV53" i="20"/>
  <c r="EX53" i="20" s="1"/>
  <c r="EV46" i="20"/>
  <c r="EX46" i="20" s="1"/>
  <c r="EU46" i="20"/>
  <c r="EU41" i="20"/>
  <c r="EV41" i="20"/>
  <c r="EX41" i="20" s="1"/>
  <c r="EU36" i="20"/>
  <c r="EV36" i="20"/>
  <c r="EX36" i="20" s="1"/>
  <c r="EV20" i="20"/>
  <c r="EX20" i="20" s="1"/>
  <c r="EU20" i="20"/>
  <c r="EV16" i="20"/>
  <c r="EX16" i="20" s="1"/>
  <c r="EU16" i="20"/>
  <c r="EV10" i="20"/>
  <c r="EX10" i="20" s="1"/>
  <c r="EU10" i="20"/>
  <c r="EU51" i="20"/>
  <c r="EV51" i="20"/>
  <c r="EX51" i="20" s="1"/>
  <c r="EV35" i="20"/>
  <c r="EX35" i="20" s="1"/>
  <c r="EU35" i="20"/>
  <c r="EV14" i="20"/>
  <c r="EX14" i="20" s="1"/>
  <c r="EU14" i="20"/>
  <c r="EU48" i="20"/>
  <c r="EV48" i="20"/>
  <c r="EX48" i="20" s="1"/>
  <c r="EU37" i="20"/>
  <c r="EV37" i="20"/>
  <c r="EX37" i="20" s="1"/>
  <c r="EU17" i="20"/>
  <c r="EV17" i="20"/>
  <c r="EX17" i="20" s="1"/>
  <c r="EV6" i="20"/>
  <c r="EX6" i="20" s="1"/>
  <c r="EU6" i="20"/>
  <c r="DN33" i="20"/>
  <c r="DJ34" i="20"/>
  <c r="DM33" i="20"/>
  <c r="DM34" i="20" s="1"/>
  <c r="DI34" i="20"/>
  <c r="DN31" i="20"/>
  <c r="DJ32" i="20"/>
  <c r="DM31" i="20"/>
  <c r="DM32" i="20" s="1"/>
  <c r="DI32" i="20"/>
  <c r="DM29" i="20"/>
  <c r="DM30" i="20" s="1"/>
  <c r="DI30" i="20"/>
  <c r="DN29" i="20"/>
  <c r="DJ30" i="20"/>
  <c r="DN27" i="20"/>
  <c r="DJ28" i="20"/>
  <c r="DM27" i="20"/>
  <c r="DM28" i="20" s="1"/>
  <c r="DI28" i="20"/>
  <c r="DJ24" i="20"/>
  <c r="DI21" i="20"/>
  <c r="DM21" i="20" s="1"/>
  <c r="DJ12" i="20"/>
  <c r="DN12" i="20" s="1"/>
  <c r="DJ15" i="20"/>
  <c r="DN15" i="20" s="1"/>
  <c r="DI12" i="20"/>
  <c r="DM12" i="20" s="1"/>
  <c r="DJ21" i="20"/>
  <c r="DN21" i="20" s="1"/>
  <c r="DI26" i="20"/>
  <c r="DM26" i="20" s="1"/>
  <c r="DJ26" i="20"/>
  <c r="DN26" i="20" s="1"/>
  <c r="DJ47" i="20"/>
  <c r="DN47" i="20" s="1"/>
  <c r="DI24" i="20"/>
  <c r="DJ52" i="20"/>
  <c r="DN52" i="20" s="1"/>
  <c r="DJ56" i="20"/>
  <c r="DN56" i="20" s="1"/>
  <c r="DI8" i="20"/>
  <c r="DM8" i="20" s="1"/>
  <c r="DJ8" i="20"/>
  <c r="DN8" i="20" s="1"/>
  <c r="DI5" i="20"/>
  <c r="DM5" i="20" s="1"/>
  <c r="DJ44" i="20"/>
  <c r="DN44" i="20" s="1"/>
  <c r="DJ50" i="20"/>
  <c r="DN50" i="20" s="1"/>
  <c r="DJ54" i="20"/>
  <c r="DN54" i="20" s="1"/>
  <c r="DI15" i="20"/>
  <c r="DM15" i="20" s="1"/>
  <c r="DI44" i="20"/>
  <c r="DM44" i="20" s="1"/>
  <c r="DI50" i="20"/>
  <c r="DM50" i="20" s="1"/>
  <c r="DI54" i="20"/>
  <c r="DM54" i="20" s="1"/>
  <c r="DJ39" i="20"/>
  <c r="DN39" i="20" s="1"/>
  <c r="DI39" i="20"/>
  <c r="DM39" i="20" s="1"/>
  <c r="DI47" i="20"/>
  <c r="DM47" i="20" s="1"/>
  <c r="DI52" i="20"/>
  <c r="DM52" i="20" s="1"/>
  <c r="DI56" i="20"/>
  <c r="DM56" i="20" s="1"/>
  <c r="AA7" i="17"/>
  <c r="S57" i="17"/>
  <c r="W23" i="17"/>
  <c r="W11" i="17"/>
  <c r="W14" i="17"/>
  <c r="K25" i="17"/>
  <c r="O23" i="17"/>
  <c r="S48" i="17"/>
  <c r="W53" i="17"/>
  <c r="S25" i="17"/>
  <c r="AE4" i="17"/>
  <c r="AA4" i="17"/>
  <c r="AQ27" i="17"/>
  <c r="O53" i="17"/>
  <c r="AE11" i="17"/>
  <c r="O14" i="17"/>
  <c r="W55" i="17"/>
  <c r="AM7" i="17"/>
  <c r="S27" i="17"/>
  <c r="W4" i="17"/>
  <c r="AE14" i="17"/>
  <c r="AM4" i="17"/>
  <c r="O7" i="17"/>
  <c r="S23" i="17"/>
  <c r="AA14" i="17"/>
  <c r="O25" i="17"/>
  <c r="W25" i="17"/>
  <c r="AA11" i="17"/>
  <c r="S53" i="17"/>
  <c r="AQ11" i="17"/>
  <c r="AU27" i="17"/>
  <c r="K14" i="17"/>
  <c r="S4" i="17"/>
  <c r="AE53" i="17"/>
  <c r="AI14" i="17"/>
  <c r="AQ14" i="17"/>
  <c r="AI20" i="17"/>
  <c r="AA23" i="17"/>
  <c r="S33" i="17"/>
  <c r="K53" i="17"/>
  <c r="S11" i="17"/>
  <c r="K23" i="17"/>
  <c r="W57" i="17"/>
  <c r="K11" i="17"/>
  <c r="O11" i="17"/>
  <c r="K7" i="17"/>
  <c r="AE23" i="17"/>
  <c r="AI7" i="17"/>
  <c r="AM11" i="17"/>
  <c r="AU11" i="17"/>
  <c r="AU39" i="17"/>
  <c r="AU20" i="17"/>
  <c r="AU7" i="17"/>
  <c r="AQ39" i="17"/>
  <c r="AQ45" i="17"/>
  <c r="AQ20" i="17"/>
  <c r="AQ7" i="17"/>
  <c r="AM45" i="17"/>
  <c r="AI11" i="17"/>
  <c r="AI39" i="17"/>
  <c r="AE20" i="17"/>
  <c r="AE39" i="17"/>
  <c r="AE7" i="17"/>
  <c r="AA20" i="17"/>
  <c r="AA39" i="17"/>
  <c r="AA25" i="17"/>
  <c r="W20" i="17"/>
  <c r="W33" i="17"/>
  <c r="W7" i="17"/>
  <c r="S7" i="17"/>
  <c r="S20" i="17"/>
  <c r="S39" i="17"/>
  <c r="S14" i="17"/>
  <c r="O20" i="17"/>
  <c r="O45" i="17"/>
  <c r="K20" i="17"/>
  <c r="K33" i="17"/>
  <c r="K39" i="17"/>
  <c r="K45" i="17"/>
  <c r="W39" i="17"/>
  <c r="AI45" i="17"/>
  <c r="AU45" i="17"/>
  <c r="O39" i="17"/>
  <c r="AA45" i="17"/>
  <c r="S45" i="17"/>
  <c r="AE45" i="17"/>
  <c r="EU44" i="20" l="1"/>
  <c r="EV44" i="20"/>
  <c r="EX44" i="20" s="1"/>
  <c r="EU39" i="20"/>
  <c r="EV39" i="20"/>
  <c r="EX39" i="20" s="1"/>
  <c r="EU8" i="20"/>
  <c r="EV8" i="20"/>
  <c r="EX8" i="20" s="1"/>
  <c r="EU21" i="20"/>
  <c r="EV21" i="20"/>
  <c r="EX21" i="20" s="1"/>
  <c r="DN28" i="20"/>
  <c r="EU27" i="20"/>
  <c r="EV27" i="20"/>
  <c r="EX27" i="20" s="1"/>
  <c r="DN32" i="20"/>
  <c r="EV31" i="20"/>
  <c r="EX31" i="20" s="1"/>
  <c r="EU31" i="20"/>
  <c r="EU26" i="20"/>
  <c r="EV26" i="20"/>
  <c r="EX26" i="20" s="1"/>
  <c r="EV56" i="20"/>
  <c r="EX56" i="20" s="1"/>
  <c r="EU56" i="20"/>
  <c r="DM57" i="20"/>
  <c r="EU52" i="20"/>
  <c r="EV52" i="20"/>
  <c r="EX52" i="20" s="1"/>
  <c r="DN30" i="20"/>
  <c r="EU29" i="20"/>
  <c r="EV29" i="20"/>
  <c r="EX29" i="20" s="1"/>
  <c r="EU54" i="20"/>
  <c r="EV54" i="20"/>
  <c r="EX54" i="20" s="1"/>
  <c r="EV15" i="20"/>
  <c r="EX15" i="20" s="1"/>
  <c r="EU15" i="20"/>
  <c r="EU12" i="20"/>
  <c r="EV12" i="20"/>
  <c r="EX12" i="20" s="1"/>
  <c r="EU50" i="20"/>
  <c r="EV50" i="20"/>
  <c r="EX50" i="20" s="1"/>
  <c r="EV47" i="20"/>
  <c r="EX47" i="20" s="1"/>
  <c r="EU47" i="20"/>
  <c r="EU24" i="20"/>
  <c r="EV24" i="20"/>
  <c r="EX24" i="20" s="1"/>
  <c r="DN34" i="20"/>
  <c r="EU33" i="20"/>
  <c r="EV33" i="20"/>
  <c r="EX33" i="20" s="1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F54" i="20" l="1"/>
  <c r="EU28" i="20"/>
  <c r="EV28" i="20"/>
  <c r="EX28" i="20" s="1"/>
  <c r="EV30" i="20"/>
  <c r="EX30" i="20" s="1"/>
  <c r="EU30" i="20"/>
  <c r="EU34" i="20"/>
  <c r="EV34" i="20"/>
  <c r="EX34" i="20" s="1"/>
  <c r="EU32" i="20"/>
  <c r="EV32" i="20"/>
  <c r="EX32" i="20" s="1"/>
  <c r="CE54" i="20"/>
  <c r="CZ57" i="20"/>
  <c r="DA57" i="20"/>
  <c r="DB57" i="20"/>
  <c r="F39" i="17" l="1"/>
  <c r="F57" i="17"/>
  <c r="F55" i="17"/>
  <c r="F53" i="17"/>
  <c r="F48" i="17"/>
  <c r="F27" i="17"/>
  <c r="F25" i="17"/>
  <c r="F20" i="17"/>
  <c r="F14" i="17"/>
  <c r="F11" i="17"/>
  <c r="F7" i="17"/>
  <c r="F4" i="17"/>
  <c r="E4" i="17"/>
  <c r="AW4" i="17" s="1"/>
  <c r="E7" i="17"/>
  <c r="E11" i="17"/>
  <c r="AW11" i="17" s="1"/>
  <c r="E14" i="17"/>
  <c r="AW14" i="17" s="1"/>
  <c r="E20" i="17"/>
  <c r="AW20" i="17" s="1"/>
  <c r="AW23" i="17"/>
  <c r="AW25" i="17"/>
  <c r="E27" i="17"/>
  <c r="AW27" i="17" s="1"/>
  <c r="E53" i="17"/>
  <c r="AW53" i="17" s="1"/>
  <c r="E55" i="17"/>
  <c r="AW55" i="17" s="1"/>
  <c r="E57" i="17"/>
  <c r="AW57" i="17" s="1"/>
  <c r="AU58" i="17"/>
  <c r="W58" i="17"/>
  <c r="G6" i="17"/>
  <c r="G8" i="17"/>
  <c r="G9" i="17"/>
  <c r="G10" i="17"/>
  <c r="G13" i="17"/>
  <c r="G16" i="17"/>
  <c r="G17" i="17"/>
  <c r="G18" i="17"/>
  <c r="G22" i="17"/>
  <c r="G24" i="17"/>
  <c r="G30" i="17"/>
  <c r="G32" i="17"/>
  <c r="G34" i="17"/>
  <c r="G42" i="17"/>
  <c r="G46" i="17"/>
  <c r="G47" i="17"/>
  <c r="G52" i="17"/>
  <c r="G54" i="17"/>
  <c r="G56" i="17"/>
  <c r="F58" i="17" l="1"/>
  <c r="H45" i="17" s="1"/>
  <c r="AW7" i="17"/>
  <c r="AW58" i="17" s="1"/>
  <c r="E58" i="17"/>
  <c r="AX4" i="17"/>
  <c r="AX23" i="17"/>
  <c r="AX27" i="17"/>
  <c r="AX7" i="17"/>
  <c r="AX53" i="17"/>
  <c r="AX25" i="17"/>
  <c r="AX11" i="17"/>
  <c r="AX14" i="17"/>
  <c r="AX57" i="17"/>
  <c r="G48" i="17"/>
  <c r="AX48" i="17"/>
  <c r="AX55" i="17"/>
  <c r="AX20" i="17"/>
  <c r="AX39" i="17"/>
  <c r="G25" i="17"/>
  <c r="G14" i="17"/>
  <c r="G23" i="17"/>
  <c r="G20" i="17"/>
  <c r="G55" i="17"/>
  <c r="G7" i="17"/>
  <c r="G11" i="17"/>
  <c r="G57" i="17"/>
  <c r="G53" i="17"/>
  <c r="G45" i="17"/>
  <c r="G39" i="17"/>
  <c r="CY57" i="20"/>
  <c r="H53" i="17" l="1"/>
  <c r="H20" i="17"/>
  <c r="H7" i="17"/>
  <c r="H57" i="17"/>
  <c r="H35" i="17"/>
  <c r="H33" i="17"/>
  <c r="H14" i="17"/>
  <c r="H50" i="17"/>
  <c r="H16" i="17"/>
  <c r="H52" i="17"/>
  <c r="AX58" i="17"/>
  <c r="AX60" i="17" s="1"/>
  <c r="H9" i="17"/>
  <c r="H6" i="17"/>
  <c r="H24" i="17"/>
  <c r="H11" i="17"/>
  <c r="H27" i="17"/>
  <c r="H54" i="17"/>
  <c r="H58" i="17"/>
  <c r="H55" i="17"/>
  <c r="H29" i="17"/>
  <c r="H41" i="17"/>
  <c r="H25" i="17"/>
  <c r="H34" i="17"/>
  <c r="H46" i="17"/>
  <c r="H38" i="17"/>
  <c r="H36" i="17"/>
  <c r="H47" i="17"/>
  <c r="H32" i="17"/>
  <c r="H51" i="17"/>
  <c r="H5" i="17"/>
  <c r="H56" i="17"/>
  <c r="H30" i="17"/>
  <c r="H10" i="17"/>
  <c r="H19" i="17"/>
  <c r="H48" i="17"/>
  <c r="H31" i="17"/>
  <c r="H43" i="17"/>
  <c r="H44" i="17"/>
  <c r="H49" i="17"/>
  <c r="H21" i="17"/>
  <c r="H42" i="17"/>
  <c r="H26" i="17"/>
  <c r="H3" i="17"/>
  <c r="H15" i="17"/>
  <c r="H39" i="17"/>
  <c r="H4" i="17"/>
  <c r="H8" i="17"/>
  <c r="H40" i="17"/>
  <c r="H18" i="17"/>
  <c r="H13" i="17"/>
  <c r="H28" i="17"/>
  <c r="H23" i="17"/>
  <c r="H37" i="17"/>
  <c r="H12" i="17"/>
  <c r="H17" i="17"/>
  <c r="H22" i="17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F4" i="18"/>
  <c r="G4" i="18"/>
  <c r="H4" i="18"/>
  <c r="I4" i="18"/>
  <c r="J4" i="18"/>
  <c r="K4" i="18"/>
  <c r="L4" i="18"/>
  <c r="M4" i="18"/>
  <c r="N4" i="18"/>
  <c r="O4" i="18"/>
  <c r="P4" i="18"/>
  <c r="E4" i="18"/>
  <c r="E7" i="18"/>
  <c r="E11" i="18"/>
  <c r="E14" i="18"/>
  <c r="E20" i="18"/>
  <c r="E22" i="18"/>
  <c r="E24" i="18"/>
  <c r="E26" i="18"/>
  <c r="E30" i="18"/>
  <c r="E36" i="18"/>
  <c r="E42" i="18"/>
  <c r="E45" i="18"/>
  <c r="E47" i="18"/>
  <c r="E49" i="18"/>
  <c r="E51" i="18"/>
  <c r="CW44" i="20" l="1"/>
  <c r="CY56" i="20" l="1"/>
  <c r="CZ56" i="20"/>
  <c r="DA56" i="20"/>
  <c r="DB56" i="20"/>
  <c r="DC56" i="20"/>
  <c r="DD56" i="20"/>
  <c r="DE56" i="20"/>
  <c r="DF56" i="20"/>
  <c r="DG56" i="20"/>
  <c r="DH56" i="20"/>
  <c r="CY54" i="20"/>
  <c r="CZ54" i="20"/>
  <c r="DA54" i="20"/>
  <c r="DB54" i="20"/>
  <c r="DC54" i="20"/>
  <c r="DD54" i="20"/>
  <c r="DE54" i="20"/>
  <c r="DF54" i="20"/>
  <c r="DG54" i="20"/>
  <c r="DH54" i="20"/>
  <c r="CY52" i="20"/>
  <c r="CZ52" i="20"/>
  <c r="DA52" i="20"/>
  <c r="DB52" i="20"/>
  <c r="DC52" i="20"/>
  <c r="DD52" i="20"/>
  <c r="DE52" i="20"/>
  <c r="DF52" i="20"/>
  <c r="DG52" i="20"/>
  <c r="DH52" i="20"/>
  <c r="CY47" i="20"/>
  <c r="CZ47" i="20"/>
  <c r="DA47" i="20"/>
  <c r="DB47" i="20"/>
  <c r="DC47" i="20"/>
  <c r="DD47" i="20"/>
  <c r="DE47" i="20"/>
  <c r="DF47" i="20"/>
  <c r="DG47" i="20"/>
  <c r="DH47" i="20"/>
  <c r="CY44" i="20"/>
  <c r="CZ44" i="20"/>
  <c r="DA44" i="20"/>
  <c r="DB44" i="20"/>
  <c r="DC44" i="20"/>
  <c r="DD44" i="20"/>
  <c r="DE44" i="20"/>
  <c r="DF44" i="20"/>
  <c r="DG44" i="20"/>
  <c r="DH44" i="20"/>
  <c r="CY39" i="20"/>
  <c r="CZ39" i="20"/>
  <c r="DA39" i="20"/>
  <c r="DB39" i="20"/>
  <c r="DC39" i="20"/>
  <c r="DD39" i="20"/>
  <c r="DE39" i="20"/>
  <c r="DF39" i="20"/>
  <c r="DG39" i="20"/>
  <c r="DH39" i="20"/>
  <c r="CY34" i="20"/>
  <c r="CZ34" i="20"/>
  <c r="DA34" i="20"/>
  <c r="DB34" i="20"/>
  <c r="DC34" i="20"/>
  <c r="DD34" i="20"/>
  <c r="DE34" i="20"/>
  <c r="DF34" i="20"/>
  <c r="CX39" i="20"/>
  <c r="CX44" i="20"/>
  <c r="CX47" i="20"/>
  <c r="CX52" i="20"/>
  <c r="CX54" i="20"/>
  <c r="CX56" i="20"/>
  <c r="CY26" i="20"/>
  <c r="CZ26" i="20"/>
  <c r="DA26" i="20"/>
  <c r="DB26" i="20"/>
  <c r="DC26" i="20"/>
  <c r="DD26" i="20"/>
  <c r="DE26" i="20"/>
  <c r="DF26" i="20"/>
  <c r="DG26" i="20"/>
  <c r="DH26" i="20"/>
  <c r="CY24" i="20"/>
  <c r="CZ24" i="20"/>
  <c r="DA24" i="20"/>
  <c r="DB24" i="20"/>
  <c r="DC24" i="20"/>
  <c r="DD24" i="20"/>
  <c r="DE24" i="20"/>
  <c r="DF24" i="20"/>
  <c r="DG24" i="20"/>
  <c r="DH24" i="20"/>
  <c r="CY21" i="20"/>
  <c r="CZ21" i="20"/>
  <c r="DA21" i="20"/>
  <c r="DB21" i="20"/>
  <c r="DC21" i="20"/>
  <c r="DD21" i="20"/>
  <c r="DE21" i="20"/>
  <c r="DF21" i="20"/>
  <c r="DG21" i="20"/>
  <c r="DH21" i="20"/>
  <c r="CY15" i="20"/>
  <c r="CZ15" i="20"/>
  <c r="DA15" i="20"/>
  <c r="DB15" i="20"/>
  <c r="DC15" i="20"/>
  <c r="DD15" i="20"/>
  <c r="DE15" i="20"/>
  <c r="DF15" i="20"/>
  <c r="DG15" i="20"/>
  <c r="DH15" i="20"/>
  <c r="CY12" i="20"/>
  <c r="CZ12" i="20"/>
  <c r="DA12" i="20"/>
  <c r="DB12" i="20"/>
  <c r="DC12" i="20"/>
  <c r="DD12" i="20"/>
  <c r="DE12" i="20"/>
  <c r="DF12" i="20"/>
  <c r="DG12" i="20"/>
  <c r="DH12" i="20"/>
  <c r="CX12" i="20"/>
  <c r="CG8" i="20"/>
  <c r="CH8" i="20"/>
  <c r="CI8" i="20"/>
  <c r="CJ8" i="20"/>
  <c r="CK8" i="20"/>
  <c r="CL8" i="20"/>
  <c r="DL8" i="20" s="1"/>
  <c r="CM8" i="20"/>
  <c r="CN8" i="20"/>
  <c r="CO8" i="20"/>
  <c r="CP8" i="20"/>
  <c r="CQ8" i="20"/>
  <c r="CR8" i="20"/>
  <c r="CS8" i="20"/>
  <c r="CT8" i="20"/>
  <c r="CU8" i="20"/>
  <c r="CV8" i="20"/>
  <c r="CW8" i="20"/>
  <c r="CX8" i="20"/>
  <c r="CY8" i="20"/>
  <c r="CZ8" i="20"/>
  <c r="DA8" i="20"/>
  <c r="DB8" i="20"/>
  <c r="DC8" i="20"/>
  <c r="DD8" i="20"/>
  <c r="DE8" i="20"/>
  <c r="DF8" i="20"/>
  <c r="DG8" i="20"/>
  <c r="DH8" i="20"/>
  <c r="CG5" i="20"/>
  <c r="CH5" i="20"/>
  <c r="CI5" i="20"/>
  <c r="CJ5" i="20"/>
  <c r="CK5" i="20"/>
  <c r="CL5" i="20"/>
  <c r="DL5" i="20" s="1"/>
  <c r="CM5" i="20"/>
  <c r="CN5" i="20"/>
  <c r="CO5" i="20"/>
  <c r="CP5" i="20"/>
  <c r="CQ5" i="20"/>
  <c r="CR5" i="20"/>
  <c r="CS5" i="20"/>
  <c r="CT5" i="20"/>
  <c r="CU5" i="20"/>
  <c r="CV5" i="20"/>
  <c r="CW5" i="20"/>
  <c r="CX5" i="20"/>
  <c r="CY5" i="20"/>
  <c r="CZ5" i="20"/>
  <c r="DA5" i="20"/>
  <c r="DB5" i="20"/>
  <c r="DC5" i="20"/>
  <c r="DD5" i="20"/>
  <c r="DE5" i="20"/>
  <c r="DF5" i="20"/>
  <c r="DG5" i="20"/>
  <c r="DH5" i="20"/>
  <c r="DJ4" i="20"/>
  <c r="DN4" i="20" s="1"/>
  <c r="AX3" i="17"/>
  <c r="AW3" i="17"/>
  <c r="G58" i="17"/>
  <c r="DK8" i="20" l="1"/>
  <c r="ET8" i="20"/>
  <c r="EW8" i="20"/>
  <c r="EY8" i="20" s="1"/>
  <c r="EZ8" i="20" s="1"/>
  <c r="EW5" i="20"/>
  <c r="EY5" i="20" s="1"/>
  <c r="EZ5" i="20" s="1"/>
  <c r="ET5" i="20"/>
  <c r="DK5" i="20"/>
  <c r="EU4" i="20"/>
  <c r="EV4" i="20"/>
  <c r="EX4" i="20" s="1"/>
  <c r="DJ5" i="20"/>
  <c r="DN5" i="20" s="1"/>
  <c r="AZ21" i="17"/>
  <c r="AY52" i="17"/>
  <c r="AY37" i="17"/>
  <c r="AY34" i="17"/>
  <c r="AY26" i="17"/>
  <c r="AY18" i="17"/>
  <c r="AY13" i="17"/>
  <c r="AY8" i="17"/>
  <c r="AY47" i="17"/>
  <c r="AY38" i="17"/>
  <c r="AY32" i="17"/>
  <c r="AY24" i="17"/>
  <c r="AY17" i="17"/>
  <c r="AY6" i="17"/>
  <c r="AY3" i="17"/>
  <c r="AY42" i="17"/>
  <c r="AY56" i="17"/>
  <c r="AY46" i="17"/>
  <c r="AY28" i="17"/>
  <c r="AY23" i="17"/>
  <c r="AY22" i="17"/>
  <c r="AY16" i="17"/>
  <c r="AY10" i="17"/>
  <c r="AY54" i="17"/>
  <c r="AY35" i="17"/>
  <c r="AY30" i="17"/>
  <c r="AY19" i="17"/>
  <c r="AY9" i="17"/>
  <c r="AM58" i="17"/>
  <c r="AI58" i="17"/>
  <c r="AA58" i="17"/>
  <c r="AE58" i="17"/>
  <c r="O58" i="17"/>
  <c r="S58" i="17"/>
  <c r="AQ58" i="17"/>
  <c r="K58" i="17"/>
  <c r="Y15" i="3"/>
  <c r="X15" i="3"/>
  <c r="V15" i="3"/>
  <c r="U15" i="3"/>
  <c r="T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EV5" i="20" l="1"/>
  <c r="EX5" i="20" s="1"/>
  <c r="EU5" i="20"/>
  <c r="DN57" i="20"/>
  <c r="AZ52" i="17"/>
  <c r="AZ10" i="17"/>
  <c r="AZ30" i="17"/>
  <c r="AZ49" i="17"/>
  <c r="AZ13" i="17"/>
  <c r="AZ15" i="17"/>
  <c r="AZ37" i="17"/>
  <c r="AZ41" i="17"/>
  <c r="AZ24" i="17"/>
  <c r="AZ5" i="17"/>
  <c r="AZ56" i="17"/>
  <c r="AZ43" i="17"/>
  <c r="AZ8" i="17"/>
  <c r="AZ42" i="17"/>
  <c r="AZ28" i="17"/>
  <c r="AZ38" i="17"/>
  <c r="AZ12" i="17"/>
  <c r="AZ50" i="17"/>
  <c r="AZ19" i="17"/>
  <c r="AZ34" i="17"/>
  <c r="AZ44" i="17"/>
  <c r="AZ46" i="17"/>
  <c r="AZ35" i="17"/>
  <c r="AZ16" i="17"/>
  <c r="AZ17" i="17"/>
  <c r="AZ6" i="17"/>
  <c r="AZ22" i="17"/>
  <c r="AZ32" i="17"/>
  <c r="AZ18" i="17"/>
  <c r="AZ36" i="17"/>
  <c r="AZ40" i="17"/>
  <c r="AZ9" i="17"/>
  <c r="AZ54" i="17"/>
  <c r="AZ26" i="17"/>
  <c r="AZ47" i="17"/>
  <c r="AZ29" i="17"/>
  <c r="AZ33" i="17"/>
  <c r="AZ31" i="17"/>
  <c r="AZ45" i="17"/>
  <c r="AZ51" i="17"/>
  <c r="AZ14" i="17"/>
  <c r="AZ11" i="17"/>
  <c r="AZ53" i="17"/>
  <c r="AZ55" i="17"/>
  <c r="AZ48" i="17"/>
  <c r="AZ23" i="17"/>
  <c r="AZ57" i="17"/>
  <c r="AZ20" i="17"/>
  <c r="AZ27" i="17"/>
  <c r="AZ4" i="17"/>
  <c r="AZ25" i="17"/>
  <c r="AZ39" i="17"/>
  <c r="AZ7" i="17"/>
  <c r="AZ3" i="17"/>
  <c r="AY11" i="17"/>
  <c r="AY45" i="17"/>
  <c r="AY25" i="17"/>
  <c r="AY39" i="17"/>
  <c r="AY55" i="17"/>
  <c r="AY20" i="17"/>
  <c r="AY4" i="17"/>
  <c r="AY7" i="17"/>
  <c r="AY48" i="17"/>
  <c r="AY14" i="17"/>
  <c r="AY27" i="17"/>
  <c r="AY57" i="17"/>
  <c r="AY33" i="17"/>
  <c r="AY53" i="17"/>
  <c r="D15" i="3"/>
  <c r="C15" i="3"/>
  <c r="Z15" i="3"/>
  <c r="S15" i="3"/>
  <c r="W15" i="3"/>
  <c r="AB15" i="3" l="1"/>
  <c r="AD15" i="3"/>
  <c r="AC15" i="3"/>
  <c r="DO57" i="20"/>
  <c r="EU57" i="20"/>
  <c r="EV57" i="20"/>
  <c r="EX57" i="20" s="1"/>
  <c r="AA15" i="3"/>
  <c r="CG56" i="20"/>
  <c r="CH56" i="20"/>
  <c r="CI56" i="20"/>
  <c r="CJ56" i="20"/>
  <c r="CK56" i="20"/>
  <c r="DK56" i="20" s="1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G52" i="20"/>
  <c r="CH52" i="20"/>
  <c r="CI52" i="20"/>
  <c r="CJ52" i="20"/>
  <c r="CK52" i="20"/>
  <c r="CL52" i="20"/>
  <c r="DL52" i="20" s="1"/>
  <c r="CM52" i="20"/>
  <c r="CN52" i="20"/>
  <c r="CO52" i="20"/>
  <c r="CP52" i="20"/>
  <c r="CQ52" i="20"/>
  <c r="CR52" i="20"/>
  <c r="CS52" i="20"/>
  <c r="CT52" i="20"/>
  <c r="CU52" i="20"/>
  <c r="CV52" i="20"/>
  <c r="CW52" i="20"/>
  <c r="CG47" i="20"/>
  <c r="CH47" i="20"/>
  <c r="CI47" i="20"/>
  <c r="CJ47" i="20"/>
  <c r="CK47" i="20"/>
  <c r="DK47" i="20" s="1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G39" i="20"/>
  <c r="CH39" i="20"/>
  <c r="CI39" i="20"/>
  <c r="CJ39" i="20"/>
  <c r="CK39" i="20"/>
  <c r="DK39" i="20" s="1"/>
  <c r="CL39" i="20"/>
  <c r="CM39" i="20"/>
  <c r="CN39" i="20"/>
  <c r="CO39" i="20"/>
  <c r="CP39" i="20"/>
  <c r="CQ39" i="20"/>
  <c r="CR39" i="20"/>
  <c r="CS39" i="20"/>
  <c r="CT39" i="20"/>
  <c r="CU39" i="20"/>
  <c r="CV39" i="20"/>
  <c r="CW39" i="20"/>
  <c r="CI34" i="20"/>
  <c r="CJ34" i="20"/>
  <c r="CK34" i="20"/>
  <c r="DK34" i="20" s="1"/>
  <c r="CL34" i="20"/>
  <c r="CM34" i="20"/>
  <c r="CN34" i="20"/>
  <c r="CO34" i="20"/>
  <c r="CP34" i="20"/>
  <c r="CQ34" i="20"/>
  <c r="CR34" i="20"/>
  <c r="CS34" i="20"/>
  <c r="CT34" i="20"/>
  <c r="CU34" i="20"/>
  <c r="CV34" i="20"/>
  <c r="CW34" i="20"/>
  <c r="CX34" i="20"/>
  <c r="CG26" i="20"/>
  <c r="CH26" i="20"/>
  <c r="CI26" i="20"/>
  <c r="CJ26" i="20"/>
  <c r="CK26" i="20"/>
  <c r="CL26" i="20"/>
  <c r="CM26" i="20"/>
  <c r="CN26" i="20"/>
  <c r="CO26" i="20"/>
  <c r="CP26" i="20"/>
  <c r="CQ26" i="20"/>
  <c r="CR26" i="20"/>
  <c r="CS26" i="20"/>
  <c r="CT26" i="20"/>
  <c r="CU26" i="20"/>
  <c r="CV26" i="20"/>
  <c r="CW26" i="20"/>
  <c r="CX26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G21" i="20"/>
  <c r="CH21" i="20"/>
  <c r="CI21" i="20"/>
  <c r="CJ21" i="20"/>
  <c r="CK21" i="20"/>
  <c r="CL21" i="20"/>
  <c r="CM21" i="20"/>
  <c r="CN21" i="20"/>
  <c r="CO21" i="20"/>
  <c r="CP21" i="20"/>
  <c r="CQ21" i="20"/>
  <c r="CR21" i="20"/>
  <c r="CS21" i="20"/>
  <c r="CT21" i="20"/>
  <c r="CU21" i="20"/>
  <c r="CV21" i="20"/>
  <c r="CW21" i="20"/>
  <c r="CX21" i="20"/>
  <c r="CG15" i="20"/>
  <c r="CH15" i="20"/>
  <c r="CI15" i="20"/>
  <c r="CJ15" i="20"/>
  <c r="CK15" i="20"/>
  <c r="DK15" i="20" s="1"/>
  <c r="CL15" i="20"/>
  <c r="CM15" i="20"/>
  <c r="CN15" i="20"/>
  <c r="CO15" i="20"/>
  <c r="CP15" i="20"/>
  <c r="CQ15" i="20"/>
  <c r="CR15" i="20"/>
  <c r="CS15" i="20"/>
  <c r="CT15" i="20"/>
  <c r="CU15" i="20"/>
  <c r="CV15" i="20"/>
  <c r="CW15" i="20"/>
  <c r="CX15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CW12" i="20"/>
  <c r="DP37" i="1"/>
  <c r="DR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R50" i="1"/>
  <c r="DP51" i="1"/>
  <c r="DP52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F26" i="1"/>
  <c r="CE27" i="1"/>
  <c r="CF27" i="1"/>
  <c r="CE28" i="1"/>
  <c r="CF28" i="1"/>
  <c r="CE29" i="1"/>
  <c r="CF29" i="1"/>
  <c r="CE30" i="1"/>
  <c r="CE31" i="1"/>
  <c r="CE32" i="1"/>
  <c r="CE33" i="1"/>
  <c r="CE34" i="1"/>
  <c r="CE35" i="1"/>
  <c r="CE4" i="1"/>
  <c r="DL26" i="20" l="1"/>
  <c r="DK26" i="20"/>
  <c r="DK44" i="20"/>
  <c r="DK54" i="20"/>
  <c r="DL21" i="20"/>
  <c r="DK12" i="20"/>
  <c r="DL15" i="20"/>
  <c r="DL34" i="20"/>
  <c r="DL47" i="20"/>
  <c r="DK57" i="20"/>
  <c r="ET52" i="20"/>
  <c r="EW52" i="20"/>
  <c r="EY52" i="20" s="1"/>
  <c r="EZ52" i="20" s="1"/>
  <c r="DK52" i="20"/>
  <c r="DL12" i="20"/>
  <c r="DK21" i="20"/>
  <c r="DL44" i="20"/>
  <c r="DL54" i="20"/>
  <c r="DL39" i="20"/>
  <c r="DL56" i="20"/>
  <c r="CW57" i="20"/>
  <c r="DI57" i="20" s="1"/>
  <c r="CX57" i="20"/>
  <c r="DJ57" i="20" s="1"/>
  <c r="ET47" i="20" l="1"/>
  <c r="EW47" i="20"/>
  <c r="EY47" i="20" s="1"/>
  <c r="EZ47" i="20" s="1"/>
  <c r="DL57" i="20"/>
  <c r="ET56" i="20"/>
  <c r="EW56" i="20"/>
  <c r="EY56" i="20" s="1"/>
  <c r="EZ56" i="20" s="1"/>
  <c r="EW12" i="20"/>
  <c r="EY12" i="20" s="1"/>
  <c r="EZ12" i="20" s="1"/>
  <c r="ET12" i="20"/>
  <c r="ET34" i="20"/>
  <c r="EW34" i="20"/>
  <c r="EY34" i="20" s="1"/>
  <c r="EZ34" i="20" s="1"/>
  <c r="ET15" i="20"/>
  <c r="EW15" i="20"/>
  <c r="EY15" i="20" s="1"/>
  <c r="EZ15" i="20" s="1"/>
  <c r="ET39" i="20"/>
  <c r="EW39" i="20"/>
  <c r="EY39" i="20" s="1"/>
  <c r="EZ39" i="20" s="1"/>
  <c r="EW54" i="20"/>
  <c r="EY54" i="20" s="1"/>
  <c r="EZ54" i="20" s="1"/>
  <c r="ET54" i="20"/>
  <c r="EW21" i="20"/>
  <c r="EY21" i="20" s="1"/>
  <c r="EZ21" i="20" s="1"/>
  <c r="ET21" i="20"/>
  <c r="ET44" i="20"/>
  <c r="EW44" i="20"/>
  <c r="EY44" i="20" s="1"/>
  <c r="EZ44" i="20" s="1"/>
  <c r="ET26" i="20"/>
  <c r="EW26" i="20"/>
  <c r="EY26" i="20" s="1"/>
  <c r="EZ26" i="20" s="1"/>
  <c r="DO65" i="20"/>
  <c r="DO73" i="20"/>
  <c r="DO58" i="20"/>
  <c r="DO66" i="20"/>
  <c r="DO59" i="20"/>
  <c r="DO67" i="20"/>
  <c r="DO60" i="20"/>
  <c r="DO68" i="20"/>
  <c r="DO61" i="20"/>
  <c r="DO69" i="20"/>
  <c r="DO62" i="20"/>
  <c r="DO70" i="20"/>
  <c r="DO64" i="20"/>
  <c r="DO63" i="20"/>
  <c r="DO71" i="20"/>
  <c r="DO72" i="20"/>
  <c r="DO48" i="20"/>
  <c r="ES48" i="20" s="1"/>
  <c r="DO49" i="20"/>
  <c r="ES49" i="20" s="1"/>
  <c r="AY58" i="17"/>
  <c r="ET57" i="20" l="1"/>
  <c r="EW57" i="20"/>
  <c r="EY57" i="20" s="1"/>
  <c r="EZ57" i="20" s="1"/>
  <c r="DO50" i="20"/>
  <c r="ES50" i="20" s="1"/>
  <c r="AZ58" i="17"/>
  <c r="DK26" i="1"/>
  <c r="DM26" i="1" s="1"/>
  <c r="DK27" i="1"/>
  <c r="DM27" i="1" s="1"/>
  <c r="CX26" i="1"/>
  <c r="CZ26" i="1"/>
  <c r="DB26" i="1"/>
  <c r="DD26" i="1"/>
  <c r="DL26" i="1" s="1"/>
  <c r="DN26" i="1" s="1"/>
  <c r="DF26" i="1"/>
  <c r="DH26" i="1"/>
  <c r="DJ26" i="1"/>
  <c r="CX27" i="1"/>
  <c r="DL27" i="1" s="1"/>
  <c r="DN27" i="1" s="1"/>
  <c r="CZ27" i="1"/>
  <c r="DB27" i="1"/>
  <c r="DD27" i="1"/>
  <c r="DF27" i="1"/>
  <c r="DH27" i="1"/>
  <c r="DJ27" i="1"/>
  <c r="CG26" i="1"/>
  <c r="CH26" i="1" s="1"/>
  <c r="CG27" i="1"/>
  <c r="CH27" i="1" s="1"/>
  <c r="DQ26" i="1" l="1"/>
  <c r="DT26" i="1"/>
  <c r="DV26" i="1" s="1"/>
  <c r="DW26" i="1" s="1"/>
  <c r="DS26" i="1"/>
  <c r="DU26" i="1" s="1"/>
  <c r="DR26" i="1"/>
  <c r="DS27" i="1"/>
  <c r="DU27" i="1" s="1"/>
  <c r="DR27" i="1"/>
  <c r="DT27" i="1"/>
  <c r="DV27" i="1" s="1"/>
  <c r="DW27" i="1" s="1"/>
  <c r="DQ27" i="1"/>
  <c r="J61" i="17"/>
  <c r="N61" i="17"/>
  <c r="R61" i="17"/>
  <c r="V61" i="17"/>
  <c r="Z61" i="17"/>
  <c r="AD61" i="17"/>
  <c r="AH61" i="17"/>
  <c r="AL61" i="17"/>
  <c r="AP61" i="17"/>
  <c r="AT61" i="17"/>
  <c r="F61" i="17"/>
  <c r="J60" i="17"/>
  <c r="N60" i="17"/>
  <c r="R60" i="17"/>
  <c r="V60" i="17"/>
  <c r="Z60" i="17"/>
  <c r="AD60" i="17"/>
  <c r="AH60" i="17"/>
  <c r="AL60" i="17"/>
  <c r="AP60" i="17"/>
  <c r="AT60" i="17"/>
  <c r="F60" i="17"/>
  <c r="S5" i="6" l="1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AO5" i="13"/>
  <c r="AP5" i="13"/>
  <c r="AO6" i="13"/>
  <c r="AP6" i="13"/>
  <c r="AO7" i="13"/>
  <c r="AP7" i="13"/>
  <c r="AO8" i="13"/>
  <c r="AP8" i="13"/>
  <c r="AO9" i="13"/>
  <c r="AP9" i="13"/>
  <c r="AO10" i="13"/>
  <c r="AP10" i="13"/>
  <c r="AO11" i="13"/>
  <c r="AP11" i="13"/>
  <c r="AO12" i="13"/>
  <c r="AP12" i="13"/>
  <c r="AO13" i="13"/>
  <c r="AP13" i="13"/>
  <c r="AO14" i="13"/>
  <c r="AP14" i="13"/>
  <c r="AO15" i="13"/>
  <c r="AP15" i="13"/>
  <c r="AO16" i="13"/>
  <c r="AP16" i="13"/>
  <c r="AO17" i="13"/>
  <c r="AP17" i="13"/>
  <c r="AO18" i="13"/>
  <c r="AP18" i="13"/>
  <c r="AO19" i="13"/>
  <c r="AP19" i="13"/>
  <c r="AO20" i="13"/>
  <c r="AP20" i="13"/>
  <c r="AQ20" i="13"/>
  <c r="AR20" i="13" s="1"/>
  <c r="AO6" i="12"/>
  <c r="AP6" i="12"/>
  <c r="AO7" i="12"/>
  <c r="AP7" i="12"/>
  <c r="AO8" i="12"/>
  <c r="AP8" i="12"/>
  <c r="AO9" i="12"/>
  <c r="AP9" i="12"/>
  <c r="AO10" i="12"/>
  <c r="AP10" i="12"/>
  <c r="AO11" i="12"/>
  <c r="AP11" i="12"/>
  <c r="AO5" i="11"/>
  <c r="AP5" i="11"/>
  <c r="AO6" i="11"/>
  <c r="AP6" i="11"/>
  <c r="AO7" i="11"/>
  <c r="AP7" i="11"/>
  <c r="AO8" i="11"/>
  <c r="AP8" i="11"/>
  <c r="AO9" i="11"/>
  <c r="AP9" i="11"/>
  <c r="AO10" i="11"/>
  <c r="AP10" i="11"/>
  <c r="AO11" i="11"/>
  <c r="AP11" i="11"/>
  <c r="AO12" i="11"/>
  <c r="AP12" i="11"/>
  <c r="AO13" i="11"/>
  <c r="AP13" i="11"/>
  <c r="AO14" i="11"/>
  <c r="AP14" i="11"/>
  <c r="AO5" i="14"/>
  <c r="AP5" i="14"/>
  <c r="AO6" i="14"/>
  <c r="AP6" i="14"/>
  <c r="AO7" i="14"/>
  <c r="AP7" i="14"/>
  <c r="AO8" i="14"/>
  <c r="AP8" i="14"/>
  <c r="AO9" i="14"/>
  <c r="AP9" i="14"/>
  <c r="AO10" i="14"/>
  <c r="AP10" i="14"/>
  <c r="AO11" i="14"/>
  <c r="AP11" i="14"/>
  <c r="AO12" i="14"/>
  <c r="AP12" i="14"/>
  <c r="AO13" i="14"/>
  <c r="AP13" i="14"/>
  <c r="AQ13" i="14"/>
  <c r="AR13" i="14" s="1"/>
  <c r="DJ12" i="16"/>
  <c r="DJ8" i="16"/>
  <c r="BS48" i="16"/>
  <c r="BT48" i="16"/>
  <c r="BU48" i="16"/>
  <c r="BV48" i="16"/>
  <c r="BW48" i="16"/>
  <c r="BX48" i="16"/>
  <c r="BY48" i="16"/>
  <c r="BZ48" i="16"/>
  <c r="CA48" i="16"/>
  <c r="CB48" i="16"/>
  <c r="CC48" i="16"/>
  <c r="CD48" i="16"/>
  <c r="CE48" i="16"/>
  <c r="CF48" i="16"/>
  <c r="CG48" i="16"/>
  <c r="CH48" i="16"/>
  <c r="CI48" i="16"/>
  <c r="CJ48" i="16"/>
  <c r="CK48" i="16"/>
  <c r="CL48" i="16"/>
  <c r="CM48" i="16"/>
  <c r="CN48" i="16"/>
  <c r="CO48" i="16"/>
  <c r="CP48" i="16"/>
  <c r="CQ48" i="16"/>
  <c r="CR48" i="16"/>
  <c r="CS48" i="16"/>
  <c r="CT48" i="16"/>
  <c r="CU48" i="16"/>
  <c r="CV48" i="16"/>
  <c r="CW48" i="16"/>
  <c r="CX48" i="16"/>
  <c r="CY48" i="16"/>
  <c r="CZ48" i="16"/>
  <c r="DA48" i="16"/>
  <c r="DB48" i="16"/>
  <c r="DC48" i="16"/>
  <c r="DD48" i="16"/>
  <c r="DE48" i="16"/>
  <c r="DF48" i="16"/>
  <c r="DG48" i="16"/>
  <c r="DH48" i="16"/>
  <c r="DI48" i="16"/>
  <c r="DJ48" i="16"/>
  <c r="DK48" i="16"/>
  <c r="DL48" i="16"/>
  <c r="DM48" i="16"/>
  <c r="DN48" i="16"/>
  <c r="DO48" i="16"/>
  <c r="DP48" i="16"/>
  <c r="DQ48" i="16"/>
  <c r="DR48" i="16"/>
  <c r="DS48" i="16"/>
  <c r="DT48" i="16"/>
  <c r="DU48" i="16"/>
  <c r="DV48" i="16"/>
  <c r="DW48" i="16"/>
  <c r="DX48" i="16"/>
  <c r="BS46" i="16"/>
  <c r="BT46" i="16"/>
  <c r="BU46" i="16"/>
  <c r="BV46" i="16"/>
  <c r="BW46" i="16"/>
  <c r="BX46" i="16"/>
  <c r="BY46" i="16"/>
  <c r="BZ46" i="16"/>
  <c r="CA46" i="16"/>
  <c r="CB46" i="16"/>
  <c r="CC46" i="16"/>
  <c r="CD46" i="16"/>
  <c r="CE46" i="16"/>
  <c r="CF46" i="16"/>
  <c r="CG46" i="16"/>
  <c r="CH46" i="16"/>
  <c r="CI46" i="16"/>
  <c r="CJ46" i="16"/>
  <c r="CK46" i="16"/>
  <c r="CL46" i="16"/>
  <c r="CM46" i="16"/>
  <c r="CN46" i="16"/>
  <c r="CO46" i="16"/>
  <c r="CP46" i="16"/>
  <c r="CQ46" i="16"/>
  <c r="CR46" i="16"/>
  <c r="CS46" i="16"/>
  <c r="CT46" i="16"/>
  <c r="CU46" i="16"/>
  <c r="CV46" i="16"/>
  <c r="CW46" i="16"/>
  <c r="CX46" i="16"/>
  <c r="CY46" i="16"/>
  <c r="CZ46" i="16"/>
  <c r="DA46" i="16"/>
  <c r="DB46" i="16"/>
  <c r="DC46" i="16"/>
  <c r="DD46" i="16"/>
  <c r="DE46" i="16"/>
  <c r="DF46" i="16"/>
  <c r="DG46" i="16"/>
  <c r="DH46" i="16"/>
  <c r="DI46" i="16"/>
  <c r="DJ46" i="16"/>
  <c r="DK46" i="16"/>
  <c r="DL46" i="16"/>
  <c r="DM46" i="16"/>
  <c r="DN46" i="16"/>
  <c r="DO46" i="16"/>
  <c r="DP46" i="16"/>
  <c r="DQ46" i="16"/>
  <c r="DR46" i="16"/>
  <c r="DS46" i="16"/>
  <c r="DT46" i="16"/>
  <c r="DU46" i="16"/>
  <c r="DV46" i="16"/>
  <c r="DW46" i="16"/>
  <c r="DX46" i="16"/>
  <c r="BS44" i="16"/>
  <c r="BT44" i="16"/>
  <c r="BU44" i="16"/>
  <c r="BV44" i="16"/>
  <c r="BW44" i="16"/>
  <c r="BX44" i="16"/>
  <c r="BY44" i="16"/>
  <c r="BZ44" i="16"/>
  <c r="CA44" i="16"/>
  <c r="CB44" i="16"/>
  <c r="CC44" i="16"/>
  <c r="CD44" i="16"/>
  <c r="CE44" i="16"/>
  <c r="CF44" i="16"/>
  <c r="CG44" i="16"/>
  <c r="CH44" i="16"/>
  <c r="CI44" i="16"/>
  <c r="CJ44" i="16"/>
  <c r="CK44" i="16"/>
  <c r="CL44" i="16"/>
  <c r="CM44" i="16"/>
  <c r="CN44" i="16"/>
  <c r="CO44" i="16"/>
  <c r="CP44" i="16"/>
  <c r="CQ44" i="16"/>
  <c r="CR44" i="16"/>
  <c r="CS44" i="16"/>
  <c r="CT44" i="16"/>
  <c r="CU44" i="16"/>
  <c r="CV44" i="16"/>
  <c r="CW44" i="16"/>
  <c r="CX44" i="16"/>
  <c r="CY44" i="16"/>
  <c r="CZ44" i="16"/>
  <c r="DA44" i="16"/>
  <c r="DB44" i="16"/>
  <c r="DC44" i="16"/>
  <c r="DD44" i="16"/>
  <c r="DE44" i="16"/>
  <c r="DF44" i="16"/>
  <c r="DG44" i="16"/>
  <c r="DH44" i="16"/>
  <c r="DI44" i="16"/>
  <c r="DJ44" i="16"/>
  <c r="DK44" i="16"/>
  <c r="DL44" i="16"/>
  <c r="DM44" i="16"/>
  <c r="DN44" i="16"/>
  <c r="DO44" i="16"/>
  <c r="DP44" i="16"/>
  <c r="DQ44" i="16"/>
  <c r="DR44" i="16"/>
  <c r="DS44" i="16"/>
  <c r="DT44" i="16"/>
  <c r="DU44" i="16"/>
  <c r="DV44" i="16"/>
  <c r="DW44" i="16"/>
  <c r="DX44" i="16"/>
  <c r="BS42" i="16"/>
  <c r="BT42" i="16"/>
  <c r="BU42" i="16"/>
  <c r="BV42" i="16"/>
  <c r="BW42" i="16"/>
  <c r="BX42" i="16"/>
  <c r="BY42" i="16"/>
  <c r="BZ42" i="16"/>
  <c r="CA42" i="16"/>
  <c r="CB42" i="16"/>
  <c r="CC42" i="16"/>
  <c r="CD42" i="16"/>
  <c r="CE42" i="16"/>
  <c r="CF42" i="16"/>
  <c r="CG42" i="16"/>
  <c r="CH42" i="16"/>
  <c r="CI42" i="16"/>
  <c r="CJ42" i="16"/>
  <c r="CK42" i="16"/>
  <c r="CL42" i="16"/>
  <c r="CM42" i="16"/>
  <c r="CN42" i="16"/>
  <c r="CO42" i="16"/>
  <c r="CP42" i="16"/>
  <c r="CQ42" i="16"/>
  <c r="CR42" i="16"/>
  <c r="CS42" i="16"/>
  <c r="CT42" i="16"/>
  <c r="CU42" i="16"/>
  <c r="CV42" i="16"/>
  <c r="CW42" i="16"/>
  <c r="CX42" i="16"/>
  <c r="CY42" i="16"/>
  <c r="CZ42" i="16"/>
  <c r="DA42" i="16"/>
  <c r="DB42" i="16"/>
  <c r="DC42" i="16"/>
  <c r="DD42" i="16"/>
  <c r="DE42" i="16"/>
  <c r="DF42" i="16"/>
  <c r="DG42" i="16"/>
  <c r="DH42" i="16"/>
  <c r="DI42" i="16"/>
  <c r="DJ42" i="16"/>
  <c r="DK42" i="16"/>
  <c r="DL42" i="16"/>
  <c r="DM42" i="16"/>
  <c r="DN42" i="16"/>
  <c r="DO42" i="16"/>
  <c r="DP42" i="16"/>
  <c r="DQ42" i="16"/>
  <c r="DR42" i="16"/>
  <c r="DS42" i="16"/>
  <c r="DT42" i="16"/>
  <c r="DU42" i="16"/>
  <c r="DV42" i="16"/>
  <c r="DW42" i="16"/>
  <c r="DX42" i="16"/>
  <c r="BS39" i="16"/>
  <c r="BT39" i="16"/>
  <c r="BU39" i="16"/>
  <c r="BV39" i="16"/>
  <c r="BW39" i="16"/>
  <c r="BX39" i="16"/>
  <c r="BY39" i="16"/>
  <c r="BZ39" i="16"/>
  <c r="CA39" i="16"/>
  <c r="CB39" i="16"/>
  <c r="CC39" i="16"/>
  <c r="CD39" i="16"/>
  <c r="CE39" i="16"/>
  <c r="CF39" i="16"/>
  <c r="CG39" i="16"/>
  <c r="CH39" i="16"/>
  <c r="CI39" i="16"/>
  <c r="CJ39" i="16"/>
  <c r="CK39" i="16"/>
  <c r="CL39" i="16"/>
  <c r="CM39" i="16"/>
  <c r="CN39" i="16"/>
  <c r="CO39" i="16"/>
  <c r="CP39" i="16"/>
  <c r="CQ39" i="16"/>
  <c r="CR39" i="16"/>
  <c r="CS39" i="16"/>
  <c r="CT39" i="16"/>
  <c r="CU39" i="16"/>
  <c r="CV39" i="16"/>
  <c r="CW39" i="16"/>
  <c r="CX39" i="16"/>
  <c r="CY39" i="16"/>
  <c r="CZ39" i="16"/>
  <c r="DA39" i="16"/>
  <c r="DB39" i="16"/>
  <c r="DC39" i="16"/>
  <c r="DD39" i="16"/>
  <c r="DE39" i="16"/>
  <c r="DF39" i="16"/>
  <c r="DG39" i="16"/>
  <c r="DH39" i="16"/>
  <c r="DI39" i="16"/>
  <c r="DJ39" i="16"/>
  <c r="DK39" i="16"/>
  <c r="DL39" i="16"/>
  <c r="DM39" i="16"/>
  <c r="DN39" i="16"/>
  <c r="DO39" i="16"/>
  <c r="DP39" i="16"/>
  <c r="DQ39" i="16"/>
  <c r="DR39" i="16"/>
  <c r="DS39" i="16"/>
  <c r="DT39" i="16"/>
  <c r="DU39" i="16"/>
  <c r="DV39" i="16"/>
  <c r="DW39" i="16"/>
  <c r="DX39" i="16"/>
  <c r="BS36" i="16"/>
  <c r="BT36" i="16"/>
  <c r="BU36" i="16"/>
  <c r="BV36" i="16"/>
  <c r="BW36" i="16"/>
  <c r="BX36" i="16"/>
  <c r="BY36" i="16"/>
  <c r="BZ36" i="16"/>
  <c r="CA36" i="16"/>
  <c r="CB36" i="16"/>
  <c r="CC36" i="16"/>
  <c r="CD36" i="16"/>
  <c r="CE36" i="16"/>
  <c r="CF36" i="16"/>
  <c r="CG36" i="16"/>
  <c r="CH36" i="16"/>
  <c r="CI36" i="16"/>
  <c r="CJ36" i="16"/>
  <c r="CK36" i="16"/>
  <c r="CL36" i="16"/>
  <c r="CM36" i="16"/>
  <c r="CN36" i="16"/>
  <c r="CO36" i="16"/>
  <c r="CP36" i="16"/>
  <c r="CQ36" i="16"/>
  <c r="CR36" i="16"/>
  <c r="CS36" i="16"/>
  <c r="CT36" i="16"/>
  <c r="CU36" i="16"/>
  <c r="CV36" i="16"/>
  <c r="CW36" i="16"/>
  <c r="CX36" i="16"/>
  <c r="CY36" i="16"/>
  <c r="CZ36" i="16"/>
  <c r="DA36" i="16"/>
  <c r="DB36" i="16"/>
  <c r="DC36" i="16"/>
  <c r="DD36" i="16"/>
  <c r="DE36" i="16"/>
  <c r="DF36" i="16"/>
  <c r="DG36" i="16"/>
  <c r="DH36" i="16"/>
  <c r="DI36" i="16"/>
  <c r="DJ36" i="16"/>
  <c r="DK36" i="16"/>
  <c r="DL36" i="16"/>
  <c r="DM36" i="16"/>
  <c r="DN36" i="16"/>
  <c r="DO36" i="16"/>
  <c r="DP36" i="16"/>
  <c r="DQ36" i="16"/>
  <c r="DR36" i="16"/>
  <c r="DS36" i="16"/>
  <c r="DT36" i="16"/>
  <c r="DU36" i="16"/>
  <c r="DV36" i="16"/>
  <c r="DW36" i="16"/>
  <c r="DX36" i="16"/>
  <c r="BS31" i="16"/>
  <c r="BT31" i="16"/>
  <c r="BU31" i="16"/>
  <c r="BV31" i="16"/>
  <c r="BW31" i="16"/>
  <c r="BX31" i="16"/>
  <c r="BY31" i="16"/>
  <c r="BZ31" i="16"/>
  <c r="CA31" i="16"/>
  <c r="CB31" i="16"/>
  <c r="CC31" i="16"/>
  <c r="CD31" i="16"/>
  <c r="CE31" i="16"/>
  <c r="CF31" i="16"/>
  <c r="CG31" i="16"/>
  <c r="CH31" i="16"/>
  <c r="CI31" i="16"/>
  <c r="CJ31" i="16"/>
  <c r="CK31" i="16"/>
  <c r="CL31" i="16"/>
  <c r="CM31" i="16"/>
  <c r="CN31" i="16"/>
  <c r="CO31" i="16"/>
  <c r="CP31" i="16"/>
  <c r="CQ31" i="16"/>
  <c r="CR31" i="16"/>
  <c r="CS31" i="16"/>
  <c r="CT31" i="16"/>
  <c r="CU31" i="16"/>
  <c r="CV31" i="16"/>
  <c r="CW31" i="16"/>
  <c r="CX31" i="16"/>
  <c r="CY31" i="16"/>
  <c r="CZ31" i="16"/>
  <c r="DA31" i="16"/>
  <c r="DB31" i="16"/>
  <c r="DC31" i="16"/>
  <c r="DD31" i="16"/>
  <c r="DE31" i="16"/>
  <c r="DF31" i="16"/>
  <c r="DG31" i="16"/>
  <c r="DH31" i="16"/>
  <c r="DI31" i="16"/>
  <c r="DJ31" i="16"/>
  <c r="DK31" i="16"/>
  <c r="DL31" i="16"/>
  <c r="DM31" i="16"/>
  <c r="DN31" i="16"/>
  <c r="DO31" i="16"/>
  <c r="DP31" i="16"/>
  <c r="DQ31" i="16"/>
  <c r="DR31" i="16"/>
  <c r="DS31" i="16"/>
  <c r="DT31" i="16"/>
  <c r="DU31" i="16"/>
  <c r="DV31" i="16"/>
  <c r="DW31" i="16"/>
  <c r="DX31" i="16"/>
  <c r="BS29" i="16"/>
  <c r="BT29" i="16"/>
  <c r="BU29" i="16"/>
  <c r="BV29" i="16"/>
  <c r="BW29" i="16"/>
  <c r="BX29" i="16"/>
  <c r="BY29" i="16"/>
  <c r="BZ29" i="16"/>
  <c r="CA29" i="16"/>
  <c r="CB29" i="16"/>
  <c r="CC29" i="16"/>
  <c r="CD29" i="16"/>
  <c r="CE29" i="16"/>
  <c r="CF29" i="16"/>
  <c r="CG29" i="16"/>
  <c r="CH29" i="16"/>
  <c r="CI29" i="16"/>
  <c r="CJ29" i="16"/>
  <c r="CK29" i="16"/>
  <c r="CL29" i="16"/>
  <c r="CM29" i="16"/>
  <c r="CN29" i="16"/>
  <c r="CO29" i="16"/>
  <c r="CP29" i="16"/>
  <c r="CQ29" i="16"/>
  <c r="CR29" i="16"/>
  <c r="CS29" i="16"/>
  <c r="CT29" i="16"/>
  <c r="CU29" i="16"/>
  <c r="CV29" i="16"/>
  <c r="CW29" i="16"/>
  <c r="CX29" i="16"/>
  <c r="CY29" i="16"/>
  <c r="CZ29" i="16"/>
  <c r="DA29" i="16"/>
  <c r="DB29" i="16"/>
  <c r="DC29" i="16"/>
  <c r="DD29" i="16"/>
  <c r="DE29" i="16"/>
  <c r="DF29" i="16"/>
  <c r="DG29" i="16"/>
  <c r="DH29" i="16"/>
  <c r="DI29" i="16"/>
  <c r="DJ29" i="16"/>
  <c r="DK29" i="16"/>
  <c r="DL29" i="16"/>
  <c r="DM29" i="16"/>
  <c r="DN29" i="16"/>
  <c r="DO29" i="16"/>
  <c r="DP29" i="16"/>
  <c r="DQ29" i="16"/>
  <c r="DR29" i="16"/>
  <c r="DS29" i="16"/>
  <c r="DT29" i="16"/>
  <c r="DU29" i="16"/>
  <c r="DV29" i="16"/>
  <c r="DW29" i="16"/>
  <c r="DX29" i="16"/>
  <c r="BS27" i="16"/>
  <c r="BT27" i="16"/>
  <c r="BU27" i="16"/>
  <c r="BV27" i="16"/>
  <c r="BW27" i="16"/>
  <c r="BX27" i="16"/>
  <c r="BY27" i="16"/>
  <c r="BZ27" i="16"/>
  <c r="CA27" i="16"/>
  <c r="CB27" i="16"/>
  <c r="CC27" i="16"/>
  <c r="CD27" i="16"/>
  <c r="CE27" i="16"/>
  <c r="CF27" i="16"/>
  <c r="CG27" i="16"/>
  <c r="CH27" i="16"/>
  <c r="CI27" i="16"/>
  <c r="CJ27" i="16"/>
  <c r="CK27" i="16"/>
  <c r="CL27" i="16"/>
  <c r="CM27" i="16"/>
  <c r="CN27" i="16"/>
  <c r="CO27" i="16"/>
  <c r="CP27" i="16"/>
  <c r="CQ27" i="16"/>
  <c r="CR27" i="16"/>
  <c r="CS27" i="16"/>
  <c r="CT27" i="16"/>
  <c r="CU27" i="16"/>
  <c r="CV27" i="16"/>
  <c r="CW27" i="16"/>
  <c r="CX27" i="16"/>
  <c r="CY27" i="16"/>
  <c r="CZ27" i="16"/>
  <c r="DA27" i="16"/>
  <c r="DB27" i="16"/>
  <c r="DC27" i="16"/>
  <c r="DD27" i="16"/>
  <c r="DE27" i="16"/>
  <c r="DF27" i="16"/>
  <c r="DG27" i="16"/>
  <c r="DH27" i="16"/>
  <c r="DI27" i="16"/>
  <c r="DJ27" i="16"/>
  <c r="DK27" i="16"/>
  <c r="DL27" i="16"/>
  <c r="DM27" i="16"/>
  <c r="DN27" i="16"/>
  <c r="DO27" i="16"/>
  <c r="DP27" i="16"/>
  <c r="DQ27" i="16"/>
  <c r="DR27" i="16"/>
  <c r="DS27" i="16"/>
  <c r="DT27" i="16"/>
  <c r="DU27" i="16"/>
  <c r="DV27" i="16"/>
  <c r="DW27" i="16"/>
  <c r="DX27" i="16"/>
  <c r="BS25" i="16"/>
  <c r="BT25" i="16"/>
  <c r="BU25" i="16"/>
  <c r="BV25" i="16"/>
  <c r="BW25" i="16"/>
  <c r="BX25" i="16"/>
  <c r="BY25" i="16"/>
  <c r="BZ25" i="16"/>
  <c r="CA25" i="16"/>
  <c r="CB25" i="16"/>
  <c r="CC25" i="16"/>
  <c r="CD25" i="16"/>
  <c r="CE25" i="16"/>
  <c r="CF25" i="16"/>
  <c r="CG25" i="16"/>
  <c r="CH25" i="16"/>
  <c r="CI25" i="16"/>
  <c r="CJ25" i="16"/>
  <c r="CK25" i="16"/>
  <c r="CL25" i="16"/>
  <c r="CM25" i="16"/>
  <c r="CN25" i="16"/>
  <c r="CO25" i="16"/>
  <c r="CP25" i="16"/>
  <c r="CQ25" i="16"/>
  <c r="CR25" i="16"/>
  <c r="CS25" i="16"/>
  <c r="CT25" i="16"/>
  <c r="CU25" i="16"/>
  <c r="CV25" i="16"/>
  <c r="CW25" i="16"/>
  <c r="CX25" i="16"/>
  <c r="CY25" i="16"/>
  <c r="CZ25" i="16"/>
  <c r="DA25" i="16"/>
  <c r="DB25" i="16"/>
  <c r="DC25" i="16"/>
  <c r="DD25" i="16"/>
  <c r="DE25" i="16"/>
  <c r="DF25" i="16"/>
  <c r="DG25" i="16"/>
  <c r="DH25" i="16"/>
  <c r="DI25" i="16"/>
  <c r="DJ25" i="16"/>
  <c r="DK25" i="16"/>
  <c r="DL25" i="16"/>
  <c r="DM25" i="16"/>
  <c r="DN25" i="16"/>
  <c r="DO25" i="16"/>
  <c r="DP25" i="16"/>
  <c r="DQ25" i="16"/>
  <c r="DR25" i="16"/>
  <c r="DS25" i="16"/>
  <c r="DT25" i="16"/>
  <c r="DU25" i="16"/>
  <c r="DV25" i="16"/>
  <c r="DW25" i="16"/>
  <c r="DX25" i="16"/>
  <c r="BS23" i="16"/>
  <c r="BT23" i="16"/>
  <c r="BU23" i="16"/>
  <c r="BV23" i="16"/>
  <c r="BW23" i="16"/>
  <c r="BX23" i="16"/>
  <c r="BY23" i="16"/>
  <c r="BZ23" i="16"/>
  <c r="CA23" i="16"/>
  <c r="CB23" i="16"/>
  <c r="CC23" i="16"/>
  <c r="CD23" i="16"/>
  <c r="CE23" i="16"/>
  <c r="CF23" i="16"/>
  <c r="CG23" i="16"/>
  <c r="CH23" i="16"/>
  <c r="CI23" i="16"/>
  <c r="CJ23" i="16"/>
  <c r="CK23" i="16"/>
  <c r="CL23" i="16"/>
  <c r="CM23" i="16"/>
  <c r="CN23" i="16"/>
  <c r="CO23" i="16"/>
  <c r="CP23" i="16"/>
  <c r="CQ23" i="16"/>
  <c r="CR23" i="16"/>
  <c r="CS23" i="16"/>
  <c r="CT23" i="16"/>
  <c r="CU23" i="16"/>
  <c r="CV23" i="16"/>
  <c r="CW23" i="16"/>
  <c r="CX23" i="16"/>
  <c r="CY23" i="16"/>
  <c r="CZ23" i="16"/>
  <c r="DA23" i="16"/>
  <c r="DB23" i="16"/>
  <c r="DC23" i="16"/>
  <c r="DD23" i="16"/>
  <c r="DE23" i="16"/>
  <c r="DF23" i="16"/>
  <c r="DG23" i="16"/>
  <c r="DH23" i="16"/>
  <c r="DI23" i="16"/>
  <c r="DJ23" i="16"/>
  <c r="DK23" i="16"/>
  <c r="DL23" i="16"/>
  <c r="DM23" i="16"/>
  <c r="DN23" i="16"/>
  <c r="DO23" i="16"/>
  <c r="DP23" i="16"/>
  <c r="DQ23" i="16"/>
  <c r="DR23" i="16"/>
  <c r="DS23" i="16"/>
  <c r="DT23" i="16"/>
  <c r="DU23" i="16"/>
  <c r="DV23" i="16"/>
  <c r="DW23" i="16"/>
  <c r="DX23" i="16"/>
  <c r="BS21" i="16"/>
  <c r="BT21" i="16"/>
  <c r="BU21" i="16"/>
  <c r="BV21" i="16"/>
  <c r="BW21" i="16"/>
  <c r="BX21" i="16"/>
  <c r="BY21" i="16"/>
  <c r="BZ21" i="16"/>
  <c r="CA21" i="16"/>
  <c r="CB21" i="16"/>
  <c r="CC21" i="16"/>
  <c r="CD21" i="16"/>
  <c r="CE21" i="16"/>
  <c r="CF21" i="16"/>
  <c r="CG21" i="16"/>
  <c r="CH21" i="16"/>
  <c r="CI21" i="16"/>
  <c r="CJ21" i="16"/>
  <c r="CK21" i="16"/>
  <c r="CL21" i="16"/>
  <c r="CM21" i="16"/>
  <c r="CN21" i="16"/>
  <c r="CO21" i="16"/>
  <c r="CP21" i="16"/>
  <c r="CQ21" i="16"/>
  <c r="CR21" i="16"/>
  <c r="CS21" i="16"/>
  <c r="CT21" i="16"/>
  <c r="CU21" i="16"/>
  <c r="CV21" i="16"/>
  <c r="CW21" i="16"/>
  <c r="CX21" i="16"/>
  <c r="CY21" i="16"/>
  <c r="CZ21" i="16"/>
  <c r="DA21" i="16"/>
  <c r="DB21" i="16"/>
  <c r="DC21" i="16"/>
  <c r="DD21" i="16"/>
  <c r="DE21" i="16"/>
  <c r="DF21" i="16"/>
  <c r="DG21" i="16"/>
  <c r="DH21" i="16"/>
  <c r="DI21" i="16"/>
  <c r="DJ21" i="16"/>
  <c r="DK21" i="16"/>
  <c r="DL21" i="16"/>
  <c r="DM21" i="16"/>
  <c r="DN21" i="16"/>
  <c r="DO21" i="16"/>
  <c r="DP21" i="16"/>
  <c r="DQ21" i="16"/>
  <c r="DR21" i="16"/>
  <c r="DS21" i="16"/>
  <c r="DT21" i="16"/>
  <c r="DU21" i="16"/>
  <c r="DV21" i="16"/>
  <c r="DW21" i="16"/>
  <c r="DX21" i="16"/>
  <c r="BS15" i="16"/>
  <c r="BT15" i="16"/>
  <c r="BU15" i="16"/>
  <c r="BV15" i="16"/>
  <c r="BW15" i="16"/>
  <c r="BX15" i="16"/>
  <c r="BY15" i="16"/>
  <c r="BZ15" i="16"/>
  <c r="CA15" i="16"/>
  <c r="CB15" i="16"/>
  <c r="CC15" i="16"/>
  <c r="CD15" i="16"/>
  <c r="CE15" i="16"/>
  <c r="CF15" i="16"/>
  <c r="CG15" i="16"/>
  <c r="CH15" i="16"/>
  <c r="CI15" i="16"/>
  <c r="CJ15" i="16"/>
  <c r="CK15" i="16"/>
  <c r="CL15" i="16"/>
  <c r="CM15" i="16"/>
  <c r="CN15" i="16"/>
  <c r="CO15" i="16"/>
  <c r="CP15" i="16"/>
  <c r="CQ15" i="16"/>
  <c r="CR15" i="16"/>
  <c r="CS15" i="16"/>
  <c r="CT15" i="16"/>
  <c r="CU15" i="16"/>
  <c r="CV15" i="16"/>
  <c r="CW15" i="16"/>
  <c r="CX15" i="16"/>
  <c r="CY15" i="16"/>
  <c r="CZ15" i="16"/>
  <c r="DA15" i="16"/>
  <c r="DB15" i="16"/>
  <c r="DC15" i="16"/>
  <c r="DD15" i="16"/>
  <c r="DE15" i="16"/>
  <c r="DF15" i="16"/>
  <c r="DG15" i="16"/>
  <c r="DH15" i="16"/>
  <c r="DI15" i="16"/>
  <c r="DJ15" i="16"/>
  <c r="DK15" i="16"/>
  <c r="DL15" i="16"/>
  <c r="DM15" i="16"/>
  <c r="DN15" i="16"/>
  <c r="DO15" i="16"/>
  <c r="DP15" i="16"/>
  <c r="DQ15" i="16"/>
  <c r="DR15" i="16"/>
  <c r="DS15" i="16"/>
  <c r="DT15" i="16"/>
  <c r="DU15" i="16"/>
  <c r="DV15" i="16"/>
  <c r="DW15" i="16"/>
  <c r="DX15" i="16"/>
  <c r="BS12" i="16"/>
  <c r="BT12" i="16"/>
  <c r="BU12" i="16"/>
  <c r="BV12" i="16"/>
  <c r="BW12" i="16"/>
  <c r="BX12" i="16"/>
  <c r="BY12" i="16"/>
  <c r="BZ12" i="16"/>
  <c r="CA12" i="16"/>
  <c r="CB12" i="16"/>
  <c r="CC12" i="16"/>
  <c r="CD12" i="16"/>
  <c r="CE12" i="16"/>
  <c r="CF12" i="16"/>
  <c r="CG12" i="16"/>
  <c r="CH12" i="16"/>
  <c r="CI12" i="16"/>
  <c r="CJ12" i="16"/>
  <c r="CK12" i="16"/>
  <c r="CL12" i="16"/>
  <c r="CM12" i="16"/>
  <c r="CN12" i="16"/>
  <c r="CO12" i="16"/>
  <c r="CP12" i="16"/>
  <c r="CQ12" i="16"/>
  <c r="CR12" i="16"/>
  <c r="CS12" i="16"/>
  <c r="CT12" i="16"/>
  <c r="CU12" i="16"/>
  <c r="CV12" i="16"/>
  <c r="CW12" i="16"/>
  <c r="CX12" i="16"/>
  <c r="CY12" i="16"/>
  <c r="CZ12" i="16"/>
  <c r="DA12" i="16"/>
  <c r="DB12" i="16"/>
  <c r="DC12" i="16"/>
  <c r="DD12" i="16"/>
  <c r="DE12" i="16"/>
  <c r="DF12" i="16"/>
  <c r="DG12" i="16"/>
  <c r="DH12" i="16"/>
  <c r="DI12" i="16"/>
  <c r="DK12" i="16"/>
  <c r="DL12" i="16"/>
  <c r="DM12" i="16"/>
  <c r="DN12" i="16"/>
  <c r="DO12" i="16"/>
  <c r="DP12" i="16"/>
  <c r="DQ12" i="16"/>
  <c r="DR12" i="16"/>
  <c r="DS12" i="16"/>
  <c r="DT12" i="16"/>
  <c r="DU12" i="16"/>
  <c r="DV12" i="16"/>
  <c r="DW12" i="16"/>
  <c r="DX12" i="16"/>
  <c r="BS8" i="16"/>
  <c r="BT8" i="16"/>
  <c r="BU8" i="16"/>
  <c r="BV8" i="16"/>
  <c r="BW8" i="16"/>
  <c r="BX8" i="16"/>
  <c r="BY8" i="16"/>
  <c r="BZ8" i="16"/>
  <c r="CA8" i="16"/>
  <c r="CB8" i="16"/>
  <c r="CC8" i="16"/>
  <c r="CD8" i="16"/>
  <c r="CE8" i="16"/>
  <c r="CF8" i="16"/>
  <c r="CG8" i="16"/>
  <c r="CH8" i="16"/>
  <c r="CI8" i="16"/>
  <c r="CJ8" i="16"/>
  <c r="CK8" i="16"/>
  <c r="CL8" i="16"/>
  <c r="CM8" i="16"/>
  <c r="CN8" i="16"/>
  <c r="CO8" i="16"/>
  <c r="CP8" i="16"/>
  <c r="CQ8" i="16"/>
  <c r="CR8" i="16"/>
  <c r="CS8" i="16"/>
  <c r="CT8" i="16"/>
  <c r="CU8" i="16"/>
  <c r="CV8" i="16"/>
  <c r="CW8" i="16"/>
  <c r="CX8" i="16"/>
  <c r="CY8" i="16"/>
  <c r="CZ8" i="16"/>
  <c r="DA8" i="16"/>
  <c r="DB8" i="16"/>
  <c r="DC8" i="16"/>
  <c r="DD8" i="16"/>
  <c r="DE8" i="16"/>
  <c r="DF8" i="16"/>
  <c r="DG8" i="16"/>
  <c r="DH8" i="16"/>
  <c r="DI8" i="16"/>
  <c r="DK8" i="16"/>
  <c r="DL8" i="16"/>
  <c r="DM8" i="16"/>
  <c r="DN8" i="16"/>
  <c r="DO8" i="16"/>
  <c r="DP8" i="16"/>
  <c r="DQ8" i="16"/>
  <c r="DR8" i="16"/>
  <c r="DS8" i="16"/>
  <c r="DT8" i="16"/>
  <c r="DU8" i="16"/>
  <c r="DV8" i="16"/>
  <c r="DW8" i="16"/>
  <c r="DX8" i="16"/>
  <c r="BS5" i="16"/>
  <c r="BT5" i="16"/>
  <c r="BU5" i="16"/>
  <c r="BV5" i="16"/>
  <c r="BW5" i="16"/>
  <c r="BX5" i="16"/>
  <c r="BY5" i="16"/>
  <c r="BZ5" i="16"/>
  <c r="CA5" i="16"/>
  <c r="CB5" i="16"/>
  <c r="CC5" i="16"/>
  <c r="CD5" i="16"/>
  <c r="CE5" i="16"/>
  <c r="CF5" i="16"/>
  <c r="CG5" i="16"/>
  <c r="CH5" i="16"/>
  <c r="CI5" i="16"/>
  <c r="CJ5" i="16"/>
  <c r="CK5" i="16"/>
  <c r="CL5" i="16"/>
  <c r="CM5" i="16"/>
  <c r="CN5" i="16"/>
  <c r="CO5" i="16"/>
  <c r="CP5" i="16"/>
  <c r="CQ5" i="16"/>
  <c r="CR5" i="16"/>
  <c r="CS5" i="16"/>
  <c r="CT5" i="16"/>
  <c r="CU5" i="16"/>
  <c r="CV5" i="16"/>
  <c r="CW5" i="16"/>
  <c r="CX5" i="16"/>
  <c r="CY5" i="16"/>
  <c r="CZ5" i="16"/>
  <c r="DA5" i="16"/>
  <c r="DB5" i="16"/>
  <c r="DC5" i="16"/>
  <c r="DD5" i="16"/>
  <c r="DE5" i="16"/>
  <c r="DF5" i="16"/>
  <c r="DG5" i="16"/>
  <c r="DH5" i="16"/>
  <c r="DI5" i="16"/>
  <c r="DK5" i="16"/>
  <c r="DL5" i="16"/>
  <c r="DM5" i="16"/>
  <c r="DN5" i="16"/>
  <c r="DO5" i="16"/>
  <c r="DP5" i="16"/>
  <c r="DQ5" i="16"/>
  <c r="DR5" i="16"/>
  <c r="DS5" i="16"/>
  <c r="DT5" i="16"/>
  <c r="DU5" i="16"/>
  <c r="DV5" i="16"/>
  <c r="DW5" i="16"/>
  <c r="DX5" i="16"/>
  <c r="BR48" i="16"/>
  <c r="BR46" i="16"/>
  <c r="BR44" i="16"/>
  <c r="BR42" i="16"/>
  <c r="BR39" i="16"/>
  <c r="BR36" i="16"/>
  <c r="BR31" i="16"/>
  <c r="BR29" i="16"/>
  <c r="BR27" i="16"/>
  <c r="BR25" i="16"/>
  <c r="BR23" i="16"/>
  <c r="BR21" i="16"/>
  <c r="BR15" i="16"/>
  <c r="BR12" i="16"/>
  <c r="BR8" i="16"/>
  <c r="BR5" i="16"/>
  <c r="AO6" i="10"/>
  <c r="AP6" i="10"/>
  <c r="AO7" i="10"/>
  <c r="AP7" i="10"/>
  <c r="AO8" i="10"/>
  <c r="AP8" i="10"/>
  <c r="AO9" i="10"/>
  <c r="AP9" i="10"/>
  <c r="AO10" i="10"/>
  <c r="AP10" i="10"/>
  <c r="AO11" i="10"/>
  <c r="AP11" i="10"/>
  <c r="AO12" i="10"/>
  <c r="AP12" i="10"/>
  <c r="AO13" i="10"/>
  <c r="AP13" i="10"/>
  <c r="AO14" i="10"/>
  <c r="AP14" i="10"/>
  <c r="AO15" i="10"/>
  <c r="AP15" i="10"/>
  <c r="AO16" i="10"/>
  <c r="AP16" i="10"/>
  <c r="AO17" i="10"/>
  <c r="AP17" i="10"/>
  <c r="AO18" i="10"/>
  <c r="AP18" i="10"/>
  <c r="AO19" i="10"/>
  <c r="AP19" i="10"/>
  <c r="AO20" i="10"/>
  <c r="AP20" i="10"/>
  <c r="AO21" i="10"/>
  <c r="AP21" i="10"/>
  <c r="AO22" i="10"/>
  <c r="AP22" i="10"/>
  <c r="AO23" i="10"/>
  <c r="AP23" i="10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AO19" i="9"/>
  <c r="AP19" i="9"/>
  <c r="AO20" i="9"/>
  <c r="AP20" i="9"/>
  <c r="AO21" i="9"/>
  <c r="AP21" i="9"/>
  <c r="AO22" i="9"/>
  <c r="AP22" i="9"/>
  <c r="AO5" i="9"/>
  <c r="AO6" i="8"/>
  <c r="AP6" i="8"/>
  <c r="AO7" i="8"/>
  <c r="AP7" i="8"/>
  <c r="AO8" i="8"/>
  <c r="AP8" i="8"/>
  <c r="AO9" i="8"/>
  <c r="AP9" i="8"/>
  <c r="AO10" i="8"/>
  <c r="AP10" i="8"/>
  <c r="AO11" i="8"/>
  <c r="AP11" i="8"/>
  <c r="AO12" i="8"/>
  <c r="AP12" i="8"/>
  <c r="AO13" i="8"/>
  <c r="AP13" i="8"/>
  <c r="AO14" i="8"/>
  <c r="AP14" i="8"/>
  <c r="AO15" i="8"/>
  <c r="AP15" i="8"/>
  <c r="AO16" i="8"/>
  <c r="AP16" i="8"/>
  <c r="AO17" i="8"/>
  <c r="AP17" i="8"/>
  <c r="AO18" i="8"/>
  <c r="AP18" i="8"/>
  <c r="AO19" i="8"/>
  <c r="AP19" i="8"/>
  <c r="AO20" i="8"/>
  <c r="AP20" i="8"/>
  <c r="AO5" i="8"/>
  <c r="AP12" i="7"/>
  <c r="AO12" i="7"/>
  <c r="AO6" i="7"/>
  <c r="AP6" i="7"/>
  <c r="AO7" i="7"/>
  <c r="AP7" i="7"/>
  <c r="AO8" i="7"/>
  <c r="AP8" i="7"/>
  <c r="AO9" i="7"/>
  <c r="AP9" i="7"/>
  <c r="AO10" i="7"/>
  <c r="AP10" i="7"/>
  <c r="AO11" i="7"/>
  <c r="AP11" i="7"/>
  <c r="AO13" i="7"/>
  <c r="AP13" i="7"/>
  <c r="AO14" i="7"/>
  <c r="AP14" i="7"/>
  <c r="AO15" i="7"/>
  <c r="AP15" i="7"/>
  <c r="AO16" i="7"/>
  <c r="AP16" i="7"/>
  <c r="AO17" i="7"/>
  <c r="AP17" i="7"/>
  <c r="AO18" i="7"/>
  <c r="AP18" i="7"/>
  <c r="AO19" i="7"/>
  <c r="AP19" i="7"/>
  <c r="AO20" i="7"/>
  <c r="AP20" i="7"/>
  <c r="AO21" i="7"/>
  <c r="AP21" i="7"/>
  <c r="AO22" i="7"/>
  <c r="AP22" i="7"/>
  <c r="AO23" i="7"/>
  <c r="AP23" i="7"/>
  <c r="AO24" i="7"/>
  <c r="AP24" i="7"/>
  <c r="AO25" i="7"/>
  <c r="AP25" i="7"/>
  <c r="AO26" i="7"/>
  <c r="AP26" i="7"/>
  <c r="AO27" i="7"/>
  <c r="AP27" i="7"/>
  <c r="AO28" i="7"/>
  <c r="AP28" i="7"/>
  <c r="AO29" i="7"/>
  <c r="AP29" i="7"/>
  <c r="AP5" i="8"/>
  <c r="AO6" i="6"/>
  <c r="AP6" i="6"/>
  <c r="AO7" i="6"/>
  <c r="AP7" i="6"/>
  <c r="AO8" i="6"/>
  <c r="AP8" i="6"/>
  <c r="AO9" i="6"/>
  <c r="AP9" i="6"/>
  <c r="AO10" i="6"/>
  <c r="AP10" i="6"/>
  <c r="AO11" i="6"/>
  <c r="AP11" i="6"/>
  <c r="AO12" i="6"/>
  <c r="AP12" i="6"/>
  <c r="AO13" i="6"/>
  <c r="AP13" i="6"/>
  <c r="AO14" i="6"/>
  <c r="AP14" i="6"/>
  <c r="AO15" i="6"/>
  <c r="AP15" i="6"/>
  <c r="AO16" i="6"/>
  <c r="AP16" i="6"/>
  <c r="AO17" i="6"/>
  <c r="AP17" i="6"/>
  <c r="AO18" i="6"/>
  <c r="AP18" i="6"/>
  <c r="AO19" i="6"/>
  <c r="AP19" i="6"/>
  <c r="AO20" i="6"/>
  <c r="AP20" i="6"/>
  <c r="AO21" i="6"/>
  <c r="AP21" i="6"/>
  <c r="AO22" i="6"/>
  <c r="AP22" i="6"/>
  <c r="AO5" i="5"/>
  <c r="AP5" i="5"/>
  <c r="AO6" i="5"/>
  <c r="AP6" i="5"/>
  <c r="AO7" i="5"/>
  <c r="AP7" i="5"/>
  <c r="AO8" i="5"/>
  <c r="AP8" i="5"/>
  <c r="AO9" i="5"/>
  <c r="AP9" i="5"/>
  <c r="AO10" i="5"/>
  <c r="AP10" i="5"/>
  <c r="AO11" i="5"/>
  <c r="AP11" i="5"/>
  <c r="AO12" i="5"/>
  <c r="AP12" i="5"/>
  <c r="AO13" i="5"/>
  <c r="AP13" i="5"/>
  <c r="AO14" i="5"/>
  <c r="AP14" i="5"/>
  <c r="AO15" i="5"/>
  <c r="AP15" i="5"/>
  <c r="AO16" i="5"/>
  <c r="AP16" i="5"/>
  <c r="AO17" i="5"/>
  <c r="AP17" i="5"/>
  <c r="AO18" i="5"/>
  <c r="AP18" i="5"/>
  <c r="AO19" i="5"/>
  <c r="AP19" i="5"/>
  <c r="AO20" i="5"/>
  <c r="AP20" i="5"/>
  <c r="AP5" i="7"/>
  <c r="AP5" i="9"/>
  <c r="AP5" i="10"/>
  <c r="AP5" i="12"/>
  <c r="AP5" i="6"/>
  <c r="AO5" i="7"/>
  <c r="AO5" i="10"/>
  <c r="AO5" i="12"/>
  <c r="AO5" i="6"/>
  <c r="AO5" i="4"/>
  <c r="AP5" i="4"/>
  <c r="AO6" i="4"/>
  <c r="AP6" i="4"/>
  <c r="AO7" i="4"/>
  <c r="AP7" i="4"/>
  <c r="AO8" i="4"/>
  <c r="AP8" i="4"/>
  <c r="AO9" i="4"/>
  <c r="AP9" i="4"/>
  <c r="AO10" i="4"/>
  <c r="AP10" i="4"/>
  <c r="AO11" i="4"/>
  <c r="AP11" i="4"/>
  <c r="AO12" i="4"/>
  <c r="AP12" i="4"/>
  <c r="AO13" i="4"/>
  <c r="AP13" i="4"/>
  <c r="AO14" i="4"/>
  <c r="AP14" i="4"/>
  <c r="AO15" i="4"/>
  <c r="AP15" i="4"/>
  <c r="AO16" i="4"/>
  <c r="AP16" i="4"/>
  <c r="AO17" i="4"/>
  <c r="AP17" i="4"/>
  <c r="AO18" i="4"/>
  <c r="AP18" i="4"/>
  <c r="AO19" i="4"/>
  <c r="AP19" i="4"/>
  <c r="AO20" i="4"/>
  <c r="AP20" i="4"/>
  <c r="AO21" i="4"/>
  <c r="AP21" i="4"/>
  <c r="AO22" i="4"/>
  <c r="AP22" i="4"/>
  <c r="AO23" i="4"/>
  <c r="AP23" i="4"/>
  <c r="AO24" i="4"/>
  <c r="AP24" i="4"/>
  <c r="AO25" i="4"/>
  <c r="AP25" i="4"/>
  <c r="AO26" i="4"/>
  <c r="AP26" i="4"/>
  <c r="AO27" i="4"/>
  <c r="AP27" i="4"/>
  <c r="AO28" i="4"/>
  <c r="AP28" i="4"/>
  <c r="AN14" i="14"/>
  <c r="AN29" i="14" s="1"/>
  <c r="AM14" i="14"/>
  <c r="AM29" i="14" s="1"/>
  <c r="AL14" i="14"/>
  <c r="AL29" i="14" s="1"/>
  <c r="AK14" i="14"/>
  <c r="AK29" i="14" s="1"/>
  <c r="AJ14" i="14"/>
  <c r="AJ29" i="14" s="1"/>
  <c r="AI14" i="14"/>
  <c r="AI29" i="14" s="1"/>
  <c r="AH14" i="14"/>
  <c r="AH29" i="14" s="1"/>
  <c r="AG14" i="14"/>
  <c r="AG29" i="14" s="1"/>
  <c r="AF14" i="14"/>
  <c r="AF29" i="14" s="1"/>
  <c r="AE14" i="14"/>
  <c r="AE29" i="14" s="1"/>
  <c r="AD14" i="14"/>
  <c r="AD29" i="14" s="1"/>
  <c r="AC14" i="14"/>
  <c r="AC29" i="14" s="1"/>
  <c r="AB14" i="14"/>
  <c r="AB29" i="14" s="1"/>
  <c r="AA14" i="14"/>
  <c r="AA29" i="14" s="1"/>
  <c r="Z14" i="14"/>
  <c r="Z29" i="14" s="1"/>
  <c r="Y14" i="14"/>
  <c r="Y29" i="14" s="1"/>
  <c r="X14" i="14"/>
  <c r="X29" i="14" s="1"/>
  <c r="W14" i="14"/>
  <c r="W29" i="14" s="1"/>
  <c r="V14" i="14"/>
  <c r="V29" i="14" s="1"/>
  <c r="U14" i="14"/>
  <c r="U29" i="14" s="1"/>
  <c r="T14" i="14"/>
  <c r="T29" i="14" s="1"/>
  <c r="R14" i="14"/>
  <c r="R29" i="14" s="1"/>
  <c r="Q14" i="14"/>
  <c r="Q29" i="14" s="1"/>
  <c r="O14" i="14"/>
  <c r="O29" i="14" s="1"/>
  <c r="N14" i="14"/>
  <c r="N29" i="14" s="1"/>
  <c r="L14" i="14"/>
  <c r="L29" i="14" s="1"/>
  <c r="K14" i="14"/>
  <c r="K29" i="14" s="1"/>
  <c r="I14" i="14"/>
  <c r="I29" i="14" s="1"/>
  <c r="H14" i="14"/>
  <c r="H29" i="14" s="1"/>
  <c r="G14" i="14"/>
  <c r="G29" i="14" s="1"/>
  <c r="F14" i="14"/>
  <c r="F29" i="14" s="1"/>
  <c r="E14" i="14"/>
  <c r="E29" i="14" s="1"/>
  <c r="S12" i="14"/>
  <c r="P12" i="14"/>
  <c r="M12" i="14"/>
  <c r="S11" i="14"/>
  <c r="P11" i="14"/>
  <c r="M11" i="14"/>
  <c r="J11" i="14"/>
  <c r="S10" i="14"/>
  <c r="P10" i="14"/>
  <c r="M10" i="14"/>
  <c r="J10" i="14"/>
  <c r="S9" i="14"/>
  <c r="P9" i="14"/>
  <c r="M9" i="14"/>
  <c r="J9" i="14"/>
  <c r="S8" i="14"/>
  <c r="P8" i="14"/>
  <c r="M8" i="14"/>
  <c r="J8" i="14"/>
  <c r="S7" i="14"/>
  <c r="P7" i="14"/>
  <c r="M7" i="14"/>
  <c r="J7" i="14"/>
  <c r="S6" i="14"/>
  <c r="P6" i="14"/>
  <c r="M6" i="14"/>
  <c r="J6" i="14"/>
  <c r="S5" i="14"/>
  <c r="P5" i="14"/>
  <c r="M5" i="14"/>
  <c r="J5" i="14"/>
  <c r="O35" i="13"/>
  <c r="N35" i="13"/>
  <c r="P34" i="13"/>
  <c r="P33" i="13"/>
  <c r="P32" i="13"/>
  <c r="P31" i="13"/>
  <c r="P30" i="13"/>
  <c r="P29" i="13"/>
  <c r="P28" i="13"/>
  <c r="P27" i="13"/>
  <c r="P26" i="13"/>
  <c r="AN21" i="13"/>
  <c r="AN36" i="13" s="1"/>
  <c r="AM21" i="13"/>
  <c r="AM36" i="13" s="1"/>
  <c r="AL21" i="13"/>
  <c r="AL36" i="13" s="1"/>
  <c r="AK21" i="13"/>
  <c r="AK36" i="13" s="1"/>
  <c r="AJ21" i="13"/>
  <c r="AJ36" i="13" s="1"/>
  <c r="AI21" i="13"/>
  <c r="AI36" i="13" s="1"/>
  <c r="AH21" i="13"/>
  <c r="AH36" i="13" s="1"/>
  <c r="AG21" i="13"/>
  <c r="AG36" i="13" s="1"/>
  <c r="AF21" i="13"/>
  <c r="AF36" i="13" s="1"/>
  <c r="AE21" i="13"/>
  <c r="AE36" i="13" s="1"/>
  <c r="AD21" i="13"/>
  <c r="AD36" i="13" s="1"/>
  <c r="AC21" i="13"/>
  <c r="AC36" i="13" s="1"/>
  <c r="AB21" i="13"/>
  <c r="AB36" i="13" s="1"/>
  <c r="AA21" i="13"/>
  <c r="AA36" i="13" s="1"/>
  <c r="Z21" i="13"/>
  <c r="Z36" i="13" s="1"/>
  <c r="Y21" i="13"/>
  <c r="Y36" i="13" s="1"/>
  <c r="X21" i="13"/>
  <c r="X36" i="13" s="1"/>
  <c r="W21" i="13"/>
  <c r="W36" i="13" s="1"/>
  <c r="V21" i="13"/>
  <c r="V36" i="13" s="1"/>
  <c r="U21" i="13"/>
  <c r="U36" i="13" s="1"/>
  <c r="T21" i="13"/>
  <c r="T36" i="13" s="1"/>
  <c r="R21" i="13"/>
  <c r="R36" i="13" s="1"/>
  <c r="Q21" i="13"/>
  <c r="Q36" i="13" s="1"/>
  <c r="O21" i="13"/>
  <c r="N21" i="13"/>
  <c r="L21" i="13"/>
  <c r="L36" i="13" s="1"/>
  <c r="K21" i="13"/>
  <c r="K36" i="13" s="1"/>
  <c r="I21" i="13"/>
  <c r="I36" i="13" s="1"/>
  <c r="H21" i="13"/>
  <c r="H36" i="13" s="1"/>
  <c r="G21" i="13"/>
  <c r="G36" i="13" s="1"/>
  <c r="F21" i="13"/>
  <c r="F36" i="13" s="1"/>
  <c r="E21" i="13"/>
  <c r="E36" i="13" s="1"/>
  <c r="S19" i="13"/>
  <c r="P19" i="13"/>
  <c r="M19" i="13"/>
  <c r="S18" i="13"/>
  <c r="P18" i="13"/>
  <c r="S17" i="13"/>
  <c r="P17" i="13"/>
  <c r="M17" i="13"/>
  <c r="S16" i="13"/>
  <c r="P16" i="13"/>
  <c r="M16" i="13"/>
  <c r="J16" i="13"/>
  <c r="S15" i="13"/>
  <c r="P15" i="13"/>
  <c r="M15" i="13"/>
  <c r="S14" i="13"/>
  <c r="P14" i="13"/>
  <c r="M14" i="13"/>
  <c r="J14" i="13"/>
  <c r="S13" i="13"/>
  <c r="P13" i="13"/>
  <c r="M13" i="13"/>
  <c r="S12" i="13"/>
  <c r="P12" i="13"/>
  <c r="M12" i="13"/>
  <c r="S11" i="13"/>
  <c r="P11" i="13"/>
  <c r="M11" i="13"/>
  <c r="S10" i="13"/>
  <c r="P10" i="13"/>
  <c r="M10" i="13"/>
  <c r="J10" i="13"/>
  <c r="S9" i="13"/>
  <c r="P9" i="13"/>
  <c r="M9" i="13"/>
  <c r="S8" i="13"/>
  <c r="P8" i="13"/>
  <c r="M8" i="13"/>
  <c r="J8" i="13"/>
  <c r="S7" i="13"/>
  <c r="P7" i="13"/>
  <c r="M7" i="13"/>
  <c r="J7" i="13"/>
  <c r="S6" i="13"/>
  <c r="P6" i="13"/>
  <c r="M6" i="13"/>
  <c r="S5" i="13"/>
  <c r="P5" i="13"/>
  <c r="M5" i="13"/>
  <c r="AN12" i="12"/>
  <c r="AN27" i="12" s="1"/>
  <c r="AM12" i="12"/>
  <c r="AM27" i="12" s="1"/>
  <c r="AL12" i="12"/>
  <c r="AL27" i="12" s="1"/>
  <c r="AK12" i="12"/>
  <c r="AK27" i="12" s="1"/>
  <c r="AJ12" i="12"/>
  <c r="AJ27" i="12" s="1"/>
  <c r="AI12" i="12"/>
  <c r="AI27" i="12" s="1"/>
  <c r="AH12" i="12"/>
  <c r="AH27" i="12" s="1"/>
  <c r="AG12" i="12"/>
  <c r="AG27" i="12" s="1"/>
  <c r="AF12" i="12"/>
  <c r="AF27" i="12" s="1"/>
  <c r="AE12" i="12"/>
  <c r="AE27" i="12" s="1"/>
  <c r="AD12" i="12"/>
  <c r="AD27" i="12" s="1"/>
  <c r="AC12" i="12"/>
  <c r="AC27" i="12" s="1"/>
  <c r="AB12" i="12"/>
  <c r="AB27" i="12" s="1"/>
  <c r="AA12" i="12"/>
  <c r="AA27" i="12" s="1"/>
  <c r="Z12" i="12"/>
  <c r="Z27" i="12" s="1"/>
  <c r="Y12" i="12"/>
  <c r="Y27" i="12" s="1"/>
  <c r="X12" i="12"/>
  <c r="X27" i="12" s="1"/>
  <c r="W12" i="12"/>
  <c r="W27" i="12" s="1"/>
  <c r="V12" i="12"/>
  <c r="V27" i="12" s="1"/>
  <c r="U12" i="12"/>
  <c r="U27" i="12" s="1"/>
  <c r="T12" i="12"/>
  <c r="T27" i="12" s="1"/>
  <c r="R12" i="12"/>
  <c r="R27" i="12" s="1"/>
  <c r="Q12" i="12"/>
  <c r="Q27" i="12" s="1"/>
  <c r="O12" i="12"/>
  <c r="O27" i="12" s="1"/>
  <c r="N12" i="12"/>
  <c r="N27" i="12" s="1"/>
  <c r="L12" i="12"/>
  <c r="L27" i="12" s="1"/>
  <c r="K12" i="12"/>
  <c r="K27" i="12" s="1"/>
  <c r="I12" i="12"/>
  <c r="I27" i="12" s="1"/>
  <c r="H12" i="12"/>
  <c r="H27" i="12" s="1"/>
  <c r="G12" i="12"/>
  <c r="G27" i="12" s="1"/>
  <c r="F12" i="12"/>
  <c r="F27" i="12" s="1"/>
  <c r="E12" i="12"/>
  <c r="E27" i="12" s="1"/>
  <c r="S11" i="12"/>
  <c r="P11" i="12"/>
  <c r="M11" i="12"/>
  <c r="J11" i="12"/>
  <c r="S10" i="12"/>
  <c r="P10" i="12"/>
  <c r="M10" i="12"/>
  <c r="S9" i="12"/>
  <c r="P9" i="12"/>
  <c r="M9" i="12"/>
  <c r="S8" i="12"/>
  <c r="P8" i="12"/>
  <c r="M8" i="12"/>
  <c r="S7" i="12"/>
  <c r="P7" i="12"/>
  <c r="M7" i="12"/>
  <c r="J7" i="12"/>
  <c r="S6" i="12"/>
  <c r="P6" i="12"/>
  <c r="M6" i="12"/>
  <c r="S5" i="12"/>
  <c r="AQ5" i="12" s="1"/>
  <c r="AR5" i="12" s="1"/>
  <c r="AN15" i="11"/>
  <c r="AN30" i="11" s="1"/>
  <c r="AM15" i="11"/>
  <c r="AM30" i="11" s="1"/>
  <c r="AL15" i="11"/>
  <c r="AL30" i="11" s="1"/>
  <c r="AK15" i="11"/>
  <c r="AK30" i="11" s="1"/>
  <c r="AJ15" i="11"/>
  <c r="AJ30" i="11" s="1"/>
  <c r="AI15" i="11"/>
  <c r="AI30" i="11" s="1"/>
  <c r="AH15" i="11"/>
  <c r="AH30" i="11" s="1"/>
  <c r="AG15" i="11"/>
  <c r="AG30" i="11" s="1"/>
  <c r="AF15" i="11"/>
  <c r="AF30" i="11" s="1"/>
  <c r="AE15" i="11"/>
  <c r="AE30" i="11" s="1"/>
  <c r="AD15" i="11"/>
  <c r="AD30" i="11" s="1"/>
  <c r="AC15" i="11"/>
  <c r="AC30" i="11" s="1"/>
  <c r="AB15" i="11"/>
  <c r="AB30" i="11" s="1"/>
  <c r="AA15" i="11"/>
  <c r="AA30" i="11" s="1"/>
  <c r="Z15" i="11"/>
  <c r="Z30" i="11" s="1"/>
  <c r="Y15" i="11"/>
  <c r="Y30" i="11" s="1"/>
  <c r="X15" i="11"/>
  <c r="X30" i="11" s="1"/>
  <c r="W15" i="11"/>
  <c r="W30" i="11" s="1"/>
  <c r="V15" i="11"/>
  <c r="V30" i="11" s="1"/>
  <c r="U15" i="11"/>
  <c r="U30" i="11" s="1"/>
  <c r="T15" i="11"/>
  <c r="T30" i="11" s="1"/>
  <c r="R15" i="11"/>
  <c r="R30" i="11" s="1"/>
  <c r="Q15" i="11"/>
  <c r="Q30" i="11" s="1"/>
  <c r="O15" i="11"/>
  <c r="O30" i="11" s="1"/>
  <c r="N15" i="11"/>
  <c r="N30" i="11" s="1"/>
  <c r="L15" i="11"/>
  <c r="L30" i="11" s="1"/>
  <c r="K15" i="11"/>
  <c r="K30" i="11" s="1"/>
  <c r="I15" i="11"/>
  <c r="H15" i="11"/>
  <c r="G15" i="11"/>
  <c r="G30" i="11" s="1"/>
  <c r="F15" i="11"/>
  <c r="F30" i="11" s="1"/>
  <c r="E15" i="11"/>
  <c r="E30" i="11" s="1"/>
  <c r="S14" i="11"/>
  <c r="P14" i="11"/>
  <c r="M14" i="11"/>
  <c r="S13" i="11"/>
  <c r="P13" i="11"/>
  <c r="M13" i="11"/>
  <c r="J13" i="11"/>
  <c r="S12" i="11"/>
  <c r="P12" i="11"/>
  <c r="M12" i="11"/>
  <c r="J12" i="11"/>
  <c r="S11" i="11"/>
  <c r="P11" i="11"/>
  <c r="M11" i="11"/>
  <c r="J11" i="11"/>
  <c r="S10" i="11"/>
  <c r="P10" i="11"/>
  <c r="M10" i="11"/>
  <c r="J10" i="11"/>
  <c r="S9" i="11"/>
  <c r="P9" i="11"/>
  <c r="M9" i="11"/>
  <c r="J9" i="11"/>
  <c r="S8" i="11"/>
  <c r="P8" i="11"/>
  <c r="M8" i="11"/>
  <c r="J8" i="11"/>
  <c r="S7" i="11"/>
  <c r="P7" i="11"/>
  <c r="M7" i="11"/>
  <c r="J7" i="11"/>
  <c r="S6" i="11"/>
  <c r="P6" i="11"/>
  <c r="M6" i="11"/>
  <c r="J6" i="11"/>
  <c r="S5" i="11"/>
  <c r="P5" i="11"/>
  <c r="M5" i="11"/>
  <c r="J5" i="11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R24" i="10"/>
  <c r="Q24" i="10"/>
  <c r="O24" i="10"/>
  <c r="N24" i="10"/>
  <c r="L24" i="10"/>
  <c r="K24" i="10"/>
  <c r="I24" i="10"/>
  <c r="H24" i="10"/>
  <c r="G24" i="10"/>
  <c r="F24" i="10"/>
  <c r="E24" i="10"/>
  <c r="S23" i="10"/>
  <c r="P23" i="10"/>
  <c r="M23" i="10"/>
  <c r="S22" i="10"/>
  <c r="P22" i="10"/>
  <c r="M22" i="10"/>
  <c r="J22" i="10"/>
  <c r="S21" i="10"/>
  <c r="P21" i="10"/>
  <c r="M21" i="10"/>
  <c r="J21" i="10"/>
  <c r="S20" i="10"/>
  <c r="P20" i="10"/>
  <c r="S19" i="10"/>
  <c r="P19" i="10"/>
  <c r="M19" i="10"/>
  <c r="S18" i="10"/>
  <c r="P18" i="10"/>
  <c r="M18" i="10"/>
  <c r="S17" i="10"/>
  <c r="P17" i="10"/>
  <c r="M17" i="10"/>
  <c r="S16" i="10"/>
  <c r="P16" i="10"/>
  <c r="M16" i="10"/>
  <c r="S15" i="10"/>
  <c r="P15" i="10"/>
  <c r="M15" i="10"/>
  <c r="J15" i="10"/>
  <c r="S14" i="10"/>
  <c r="P14" i="10"/>
  <c r="M14" i="10"/>
  <c r="S13" i="10"/>
  <c r="P13" i="10"/>
  <c r="M13" i="10"/>
  <c r="S12" i="10"/>
  <c r="P12" i="10"/>
  <c r="M12" i="10"/>
  <c r="J12" i="10"/>
  <c r="S11" i="10"/>
  <c r="P11" i="10"/>
  <c r="M11" i="10"/>
  <c r="J11" i="10"/>
  <c r="S10" i="10"/>
  <c r="P10" i="10"/>
  <c r="M10" i="10"/>
  <c r="S9" i="10"/>
  <c r="P9" i="10"/>
  <c r="M9" i="10"/>
  <c r="J9" i="10"/>
  <c r="S8" i="10"/>
  <c r="P8" i="10"/>
  <c r="M8" i="10"/>
  <c r="S7" i="10"/>
  <c r="P7" i="10"/>
  <c r="M7" i="10"/>
  <c r="S6" i="10"/>
  <c r="P6" i="10"/>
  <c r="M6" i="10"/>
  <c r="J6" i="10"/>
  <c r="M5" i="10"/>
  <c r="J5" i="10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R23" i="9"/>
  <c r="Q23" i="9"/>
  <c r="O23" i="9"/>
  <c r="N23" i="9"/>
  <c r="L23" i="9"/>
  <c r="K23" i="9"/>
  <c r="I23" i="9"/>
  <c r="H23" i="9"/>
  <c r="G23" i="9"/>
  <c r="F23" i="9"/>
  <c r="E23" i="9"/>
  <c r="S22" i="9"/>
  <c r="P22" i="9"/>
  <c r="S21" i="9"/>
  <c r="P21" i="9"/>
  <c r="M21" i="9"/>
  <c r="S20" i="9"/>
  <c r="P20" i="9"/>
  <c r="M20" i="9"/>
  <c r="J20" i="9"/>
  <c r="S19" i="9"/>
  <c r="P19" i="9"/>
  <c r="M19" i="9"/>
  <c r="J19" i="9"/>
  <c r="S18" i="9"/>
  <c r="P18" i="9"/>
  <c r="M18" i="9"/>
  <c r="J18" i="9"/>
  <c r="S17" i="9"/>
  <c r="P17" i="9"/>
  <c r="M17" i="9"/>
  <c r="J17" i="9"/>
  <c r="S16" i="9"/>
  <c r="P16" i="9"/>
  <c r="M16" i="9"/>
  <c r="J16" i="9"/>
  <c r="S15" i="9"/>
  <c r="P15" i="9"/>
  <c r="M15" i="9"/>
  <c r="J15" i="9"/>
  <c r="S14" i="9"/>
  <c r="P14" i="9"/>
  <c r="M14" i="9"/>
  <c r="J14" i="9"/>
  <c r="S13" i="9"/>
  <c r="P13" i="9"/>
  <c r="M13" i="9"/>
  <c r="J13" i="9"/>
  <c r="S12" i="9"/>
  <c r="P12" i="9"/>
  <c r="M12" i="9"/>
  <c r="J12" i="9"/>
  <c r="S11" i="9"/>
  <c r="P11" i="9"/>
  <c r="M11" i="9"/>
  <c r="J11" i="9"/>
  <c r="S10" i="9"/>
  <c r="P10" i="9"/>
  <c r="M10" i="9"/>
  <c r="J10" i="9"/>
  <c r="S9" i="9"/>
  <c r="P9" i="9"/>
  <c r="M9" i="9"/>
  <c r="J9" i="9"/>
  <c r="S8" i="9"/>
  <c r="P8" i="9"/>
  <c r="M8" i="9"/>
  <c r="J8" i="9"/>
  <c r="S7" i="9"/>
  <c r="P7" i="9"/>
  <c r="M7" i="9"/>
  <c r="J7" i="9"/>
  <c r="S6" i="9"/>
  <c r="P6" i="9"/>
  <c r="M6" i="9"/>
  <c r="J6" i="9"/>
  <c r="J5" i="9"/>
  <c r="AQ5" i="9" s="1"/>
  <c r="AR5" i="9" s="1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R21" i="8"/>
  <c r="Q21" i="8"/>
  <c r="O21" i="8"/>
  <c r="N21" i="8"/>
  <c r="L21" i="8"/>
  <c r="K21" i="8"/>
  <c r="I21" i="8"/>
  <c r="H21" i="8"/>
  <c r="F21" i="8"/>
  <c r="E21" i="8"/>
  <c r="S20" i="8"/>
  <c r="P20" i="8"/>
  <c r="M20" i="8"/>
  <c r="J20" i="8"/>
  <c r="G20" i="8"/>
  <c r="S19" i="8"/>
  <c r="P19" i="8"/>
  <c r="M19" i="8"/>
  <c r="J19" i="8"/>
  <c r="G19" i="8"/>
  <c r="S18" i="8"/>
  <c r="P18" i="8"/>
  <c r="M18" i="8"/>
  <c r="J18" i="8"/>
  <c r="G18" i="8"/>
  <c r="S17" i="8"/>
  <c r="P17" i="8"/>
  <c r="M17" i="8"/>
  <c r="J17" i="8"/>
  <c r="G17" i="8"/>
  <c r="S16" i="8"/>
  <c r="P16" i="8"/>
  <c r="M16" i="8"/>
  <c r="G16" i="8"/>
  <c r="S15" i="8"/>
  <c r="P15" i="8"/>
  <c r="M15" i="8"/>
  <c r="J15" i="8"/>
  <c r="G15" i="8"/>
  <c r="S14" i="8"/>
  <c r="P14" i="8"/>
  <c r="M14" i="8"/>
  <c r="J14" i="8"/>
  <c r="G14" i="8"/>
  <c r="S13" i="8"/>
  <c r="P13" i="8"/>
  <c r="M13" i="8"/>
  <c r="J13" i="8"/>
  <c r="G13" i="8"/>
  <c r="S12" i="8"/>
  <c r="P12" i="8"/>
  <c r="M12" i="8"/>
  <c r="J12" i="8"/>
  <c r="G12" i="8"/>
  <c r="S11" i="8"/>
  <c r="P11" i="8"/>
  <c r="M11" i="8"/>
  <c r="J11" i="8"/>
  <c r="G11" i="8"/>
  <c r="S10" i="8"/>
  <c r="P10" i="8"/>
  <c r="M10" i="8"/>
  <c r="J10" i="8"/>
  <c r="G10" i="8"/>
  <c r="S9" i="8"/>
  <c r="P9" i="8"/>
  <c r="M9" i="8"/>
  <c r="J9" i="8"/>
  <c r="G9" i="8"/>
  <c r="S8" i="8"/>
  <c r="P8" i="8"/>
  <c r="M8" i="8"/>
  <c r="J8" i="8"/>
  <c r="G8" i="8"/>
  <c r="S7" i="8"/>
  <c r="P7" i="8"/>
  <c r="M7" i="8"/>
  <c r="J7" i="8"/>
  <c r="G7" i="8"/>
  <c r="S6" i="8"/>
  <c r="P6" i="8"/>
  <c r="M6" i="8"/>
  <c r="J6" i="8"/>
  <c r="G6" i="8"/>
  <c r="P5" i="8"/>
  <c r="M5" i="8"/>
  <c r="J5" i="8"/>
  <c r="G5" i="8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R30" i="7"/>
  <c r="Q30" i="7"/>
  <c r="O30" i="7"/>
  <c r="N30" i="7"/>
  <c r="L30" i="7"/>
  <c r="K30" i="7"/>
  <c r="I30" i="7"/>
  <c r="H30" i="7"/>
  <c r="G30" i="7"/>
  <c r="F30" i="7"/>
  <c r="E30" i="7"/>
  <c r="S29" i="7"/>
  <c r="P29" i="7"/>
  <c r="M29" i="7"/>
  <c r="S28" i="7"/>
  <c r="P28" i="7"/>
  <c r="M28" i="7"/>
  <c r="S27" i="7"/>
  <c r="P27" i="7"/>
  <c r="M27" i="7"/>
  <c r="J27" i="7"/>
  <c r="S26" i="7"/>
  <c r="P26" i="7"/>
  <c r="M26" i="7"/>
  <c r="J26" i="7"/>
  <c r="S25" i="7"/>
  <c r="P25" i="7"/>
  <c r="M25" i="7"/>
  <c r="J25" i="7"/>
  <c r="S24" i="7"/>
  <c r="P24" i="7"/>
  <c r="S23" i="7"/>
  <c r="P23" i="7"/>
  <c r="M23" i="7"/>
  <c r="S22" i="7"/>
  <c r="P22" i="7"/>
  <c r="M22" i="7"/>
  <c r="S21" i="7"/>
  <c r="P21" i="7"/>
  <c r="M21" i="7"/>
  <c r="S20" i="7"/>
  <c r="P20" i="7"/>
  <c r="M20" i="7"/>
  <c r="S19" i="7"/>
  <c r="P19" i="7"/>
  <c r="M19" i="7"/>
  <c r="S18" i="7"/>
  <c r="P18" i="7"/>
  <c r="M18" i="7"/>
  <c r="S17" i="7"/>
  <c r="P17" i="7"/>
  <c r="M17" i="7"/>
  <c r="S16" i="7"/>
  <c r="P16" i="7"/>
  <c r="M16" i="7"/>
  <c r="S15" i="7"/>
  <c r="P15" i="7"/>
  <c r="M15" i="7"/>
  <c r="J15" i="7"/>
  <c r="S14" i="7"/>
  <c r="P14" i="7"/>
  <c r="M14" i="7"/>
  <c r="J14" i="7"/>
  <c r="S13" i="7"/>
  <c r="P13" i="7"/>
  <c r="M13" i="7"/>
  <c r="J13" i="7"/>
  <c r="S12" i="7"/>
  <c r="P12" i="7"/>
  <c r="M12" i="7"/>
  <c r="J12" i="7"/>
  <c r="S11" i="7"/>
  <c r="P11" i="7"/>
  <c r="M11" i="7"/>
  <c r="S10" i="7"/>
  <c r="P10" i="7"/>
  <c r="M10" i="7"/>
  <c r="J10" i="7"/>
  <c r="S9" i="7"/>
  <c r="P9" i="7"/>
  <c r="M9" i="7"/>
  <c r="S8" i="7"/>
  <c r="P8" i="7"/>
  <c r="M8" i="7"/>
  <c r="S7" i="7"/>
  <c r="P7" i="7"/>
  <c r="M7" i="7"/>
  <c r="S6" i="7"/>
  <c r="P6" i="7"/>
  <c r="M6" i="7"/>
  <c r="J6" i="7"/>
  <c r="P5" i="7"/>
  <c r="M5" i="7"/>
  <c r="J5" i="7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R23" i="6"/>
  <c r="Q23" i="6"/>
  <c r="O23" i="6"/>
  <c r="N23" i="6"/>
  <c r="L23" i="6"/>
  <c r="K23" i="6"/>
  <c r="I23" i="6"/>
  <c r="H23" i="6"/>
  <c r="G23" i="6"/>
  <c r="F23" i="6"/>
  <c r="E23" i="6"/>
  <c r="S22" i="6"/>
  <c r="P22" i="6"/>
  <c r="M22" i="6"/>
  <c r="P21" i="6"/>
  <c r="P20" i="6"/>
  <c r="M20" i="6"/>
  <c r="P19" i="6"/>
  <c r="M19" i="6"/>
  <c r="P18" i="6"/>
  <c r="M18" i="6"/>
  <c r="P17" i="6"/>
  <c r="M17" i="6"/>
  <c r="J17" i="6"/>
  <c r="P16" i="6"/>
  <c r="M16" i="6"/>
  <c r="P15" i="6"/>
  <c r="M15" i="6"/>
  <c r="J15" i="6"/>
  <c r="P14" i="6"/>
  <c r="M14" i="6"/>
  <c r="P13" i="6"/>
  <c r="M13" i="6"/>
  <c r="P12" i="6"/>
  <c r="M12" i="6"/>
  <c r="P11" i="6"/>
  <c r="M11" i="6"/>
  <c r="P10" i="6"/>
  <c r="M10" i="6"/>
  <c r="P9" i="6"/>
  <c r="M9" i="6"/>
  <c r="J9" i="6"/>
  <c r="P8" i="6"/>
  <c r="M8" i="6"/>
  <c r="P7" i="6"/>
  <c r="M7" i="6"/>
  <c r="P6" i="6"/>
  <c r="J5" i="6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R21" i="5"/>
  <c r="Q21" i="5"/>
  <c r="O21" i="5"/>
  <c r="N21" i="5"/>
  <c r="L21" i="5"/>
  <c r="K21" i="5"/>
  <c r="I21" i="5"/>
  <c r="H21" i="5"/>
  <c r="G21" i="5"/>
  <c r="F21" i="5"/>
  <c r="E21" i="5"/>
  <c r="S20" i="5"/>
  <c r="P20" i="5"/>
  <c r="M20" i="5"/>
  <c r="P19" i="5"/>
  <c r="M19" i="5"/>
  <c r="P18" i="5"/>
  <c r="P17" i="5"/>
  <c r="M17" i="5"/>
  <c r="P16" i="5"/>
  <c r="M16" i="5"/>
  <c r="J16" i="5"/>
  <c r="P15" i="5"/>
  <c r="M15" i="5"/>
  <c r="P14" i="5"/>
  <c r="M14" i="5"/>
  <c r="P13" i="5"/>
  <c r="M13" i="5"/>
  <c r="P12" i="5"/>
  <c r="M12" i="5"/>
  <c r="P11" i="5"/>
  <c r="M11" i="5"/>
  <c r="P10" i="5"/>
  <c r="M10" i="5"/>
  <c r="P9" i="5"/>
  <c r="M9" i="5"/>
  <c r="P8" i="5"/>
  <c r="M8" i="5"/>
  <c r="J8" i="5"/>
  <c r="P7" i="5"/>
  <c r="M7" i="5"/>
  <c r="P6" i="5"/>
  <c r="M6" i="5"/>
  <c r="P5" i="5"/>
  <c r="M5" i="5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R29" i="4"/>
  <c r="Q29" i="4"/>
  <c r="O29" i="4"/>
  <c r="N29" i="4"/>
  <c r="L29" i="4"/>
  <c r="K29" i="4"/>
  <c r="I29" i="4"/>
  <c r="H29" i="4"/>
  <c r="G29" i="4"/>
  <c r="G31" i="4" s="1"/>
  <c r="F29" i="4"/>
  <c r="E29" i="4"/>
  <c r="S28" i="4"/>
  <c r="P28" i="4"/>
  <c r="M28" i="4"/>
  <c r="S27" i="4"/>
  <c r="P27" i="4"/>
  <c r="M27" i="4"/>
  <c r="S26" i="4"/>
  <c r="P26" i="4"/>
  <c r="M26" i="4"/>
  <c r="S25" i="4"/>
  <c r="P25" i="4"/>
  <c r="M25" i="4"/>
  <c r="S24" i="4"/>
  <c r="P24" i="4"/>
  <c r="M24" i="4"/>
  <c r="S23" i="4"/>
  <c r="P23" i="4"/>
  <c r="M23" i="4"/>
  <c r="S22" i="4"/>
  <c r="P22" i="4"/>
  <c r="M22" i="4"/>
  <c r="S21" i="4"/>
  <c r="P21" i="4"/>
  <c r="M21" i="4"/>
  <c r="S20" i="4"/>
  <c r="P20" i="4"/>
  <c r="M20" i="4"/>
  <c r="S19" i="4"/>
  <c r="P19" i="4"/>
  <c r="M19" i="4"/>
  <c r="J19" i="4"/>
  <c r="S18" i="4"/>
  <c r="P18" i="4"/>
  <c r="M18" i="4"/>
  <c r="S17" i="4"/>
  <c r="P17" i="4"/>
  <c r="M17" i="4"/>
  <c r="S16" i="4"/>
  <c r="P16" i="4"/>
  <c r="M16" i="4"/>
  <c r="S15" i="4"/>
  <c r="P15" i="4"/>
  <c r="M15" i="4"/>
  <c r="S14" i="4"/>
  <c r="P14" i="4"/>
  <c r="M14" i="4"/>
  <c r="S13" i="4"/>
  <c r="P13" i="4"/>
  <c r="M13" i="4"/>
  <c r="J13" i="4"/>
  <c r="S12" i="4"/>
  <c r="P12" i="4"/>
  <c r="M12" i="4"/>
  <c r="S11" i="4"/>
  <c r="P11" i="4"/>
  <c r="M11" i="4"/>
  <c r="J11" i="4"/>
  <c r="S10" i="4"/>
  <c r="P10" i="4"/>
  <c r="M10" i="4"/>
  <c r="S9" i="4"/>
  <c r="P9" i="4"/>
  <c r="M9" i="4"/>
  <c r="J9" i="4"/>
  <c r="S8" i="4"/>
  <c r="P8" i="4"/>
  <c r="M8" i="4"/>
  <c r="S7" i="4"/>
  <c r="P7" i="4"/>
  <c r="M7" i="4"/>
  <c r="S6" i="4"/>
  <c r="P6" i="4"/>
  <c r="M6" i="4"/>
  <c r="S5" i="4"/>
  <c r="P5" i="4"/>
  <c r="M5" i="4"/>
  <c r="AP24" i="10" l="1"/>
  <c r="AQ12" i="13"/>
  <c r="AR12" i="13" s="1"/>
  <c r="AQ18" i="13"/>
  <c r="AR18" i="13" s="1"/>
  <c r="AQ19" i="13"/>
  <c r="AR19" i="13" s="1"/>
  <c r="AQ9" i="12"/>
  <c r="AR9" i="12" s="1"/>
  <c r="AQ10" i="12"/>
  <c r="AR10" i="12" s="1"/>
  <c r="AQ5" i="13"/>
  <c r="AR5" i="13" s="1"/>
  <c r="AQ12" i="7"/>
  <c r="AQ7" i="11"/>
  <c r="AR7" i="11" s="1"/>
  <c r="AQ15" i="13"/>
  <c r="AR15" i="13" s="1"/>
  <c r="AX61" i="17"/>
  <c r="AQ5" i="14"/>
  <c r="AR5" i="14" s="1"/>
  <c r="AQ8" i="14"/>
  <c r="AR8" i="14" s="1"/>
  <c r="AQ11" i="14"/>
  <c r="AR11" i="14" s="1"/>
  <c r="AQ6" i="14"/>
  <c r="AR6" i="14" s="1"/>
  <c r="AQ12" i="14"/>
  <c r="AR12" i="14" s="1"/>
  <c r="AQ9" i="14"/>
  <c r="AR9" i="14" s="1"/>
  <c r="AQ7" i="14"/>
  <c r="AR7" i="14" s="1"/>
  <c r="AQ10" i="14"/>
  <c r="AR10" i="14" s="1"/>
  <c r="M14" i="14"/>
  <c r="M29" i="14" s="1"/>
  <c r="AP14" i="14"/>
  <c r="P14" i="14"/>
  <c r="P29" i="14" s="1"/>
  <c r="AO14" i="14"/>
  <c r="S14" i="14"/>
  <c r="S29" i="14" s="1"/>
  <c r="J14" i="14"/>
  <c r="AQ13" i="13"/>
  <c r="AR13" i="13" s="1"/>
  <c r="AQ10" i="13"/>
  <c r="AR10" i="13" s="1"/>
  <c r="AQ17" i="13"/>
  <c r="AR17" i="13" s="1"/>
  <c r="AQ14" i="13"/>
  <c r="AR14" i="13" s="1"/>
  <c r="AQ6" i="13"/>
  <c r="AR6" i="13" s="1"/>
  <c r="AQ7" i="13"/>
  <c r="AR7" i="13" s="1"/>
  <c r="N36" i="13"/>
  <c r="AQ11" i="13"/>
  <c r="AR11" i="13" s="1"/>
  <c r="O36" i="13"/>
  <c r="AQ8" i="13"/>
  <c r="AR8" i="13" s="1"/>
  <c r="P35" i="13"/>
  <c r="AQ9" i="13"/>
  <c r="AR9" i="13" s="1"/>
  <c r="AQ16" i="13"/>
  <c r="AR16" i="13" s="1"/>
  <c r="M21" i="13"/>
  <c r="M36" i="13" s="1"/>
  <c r="P21" i="13"/>
  <c r="AP21" i="13"/>
  <c r="S21" i="13"/>
  <c r="S36" i="13" s="1"/>
  <c r="AO21" i="13"/>
  <c r="AQ6" i="12"/>
  <c r="AR6" i="12" s="1"/>
  <c r="AQ11" i="12"/>
  <c r="AR11" i="12" s="1"/>
  <c r="AQ7" i="12"/>
  <c r="AR7" i="12" s="1"/>
  <c r="AQ8" i="12"/>
  <c r="AR8" i="12" s="1"/>
  <c r="AP12" i="12"/>
  <c r="AO12" i="12"/>
  <c r="J12" i="12"/>
  <c r="J27" i="12" s="1"/>
  <c r="M12" i="12"/>
  <c r="M27" i="12" s="1"/>
  <c r="P12" i="12"/>
  <c r="P27" i="12" s="1"/>
  <c r="AQ13" i="11"/>
  <c r="AR13" i="11" s="1"/>
  <c r="AQ8" i="11"/>
  <c r="AR8" i="11" s="1"/>
  <c r="AQ11" i="11"/>
  <c r="AR11" i="11" s="1"/>
  <c r="AQ6" i="11"/>
  <c r="AR6" i="11" s="1"/>
  <c r="AQ9" i="11"/>
  <c r="AR9" i="11" s="1"/>
  <c r="AQ12" i="11"/>
  <c r="AR12" i="11" s="1"/>
  <c r="AQ10" i="11"/>
  <c r="AR10" i="11" s="1"/>
  <c r="AQ5" i="11"/>
  <c r="AR5" i="11" s="1"/>
  <c r="M15" i="11"/>
  <c r="M30" i="11" s="1"/>
  <c r="AQ14" i="11"/>
  <c r="AR14" i="11" s="1"/>
  <c r="H30" i="11"/>
  <c r="AO15" i="11"/>
  <c r="S15" i="11"/>
  <c r="S30" i="11" s="1"/>
  <c r="I30" i="11"/>
  <c r="AP15" i="11"/>
  <c r="P15" i="11"/>
  <c r="P30" i="11" s="1"/>
  <c r="J21" i="13"/>
  <c r="AQ18" i="5"/>
  <c r="AR18" i="5" s="1"/>
  <c r="AQ12" i="6"/>
  <c r="AR12" i="6" s="1"/>
  <c r="S12" i="12"/>
  <c r="S27" i="12" s="1"/>
  <c r="J15" i="11"/>
  <c r="AQ8" i="10"/>
  <c r="AR8" i="10" s="1"/>
  <c r="AQ22" i="10"/>
  <c r="AR22" i="10" s="1"/>
  <c r="AQ17" i="10"/>
  <c r="AR17" i="10" s="1"/>
  <c r="AQ13" i="10"/>
  <c r="AR13" i="10" s="1"/>
  <c r="AQ9" i="10"/>
  <c r="AR9" i="10" s="1"/>
  <c r="S24" i="10"/>
  <c r="AQ14" i="10"/>
  <c r="AR14" i="10" s="1"/>
  <c r="AQ10" i="10"/>
  <c r="AR10" i="10" s="1"/>
  <c r="AQ20" i="10"/>
  <c r="AR20" i="10" s="1"/>
  <c r="AO24" i="10"/>
  <c r="AQ12" i="10"/>
  <c r="AR12" i="10" s="1"/>
  <c r="AQ23" i="10"/>
  <c r="AR23" i="10" s="1"/>
  <c r="AQ7" i="10"/>
  <c r="AR7" i="10" s="1"/>
  <c r="AQ11" i="10"/>
  <c r="AR11" i="10" s="1"/>
  <c r="AQ16" i="10"/>
  <c r="AR16" i="10" s="1"/>
  <c r="AQ5" i="10"/>
  <c r="AR5" i="10" s="1"/>
  <c r="AQ6" i="10"/>
  <c r="AR6" i="10" s="1"/>
  <c r="M24" i="10"/>
  <c r="AQ15" i="10"/>
  <c r="AR15" i="10" s="1"/>
  <c r="AQ18" i="10"/>
  <c r="AR18" i="10" s="1"/>
  <c r="AQ19" i="10"/>
  <c r="AR19" i="10" s="1"/>
  <c r="AQ21" i="10"/>
  <c r="AR21" i="10" s="1"/>
  <c r="J24" i="10"/>
  <c r="P24" i="10"/>
  <c r="AQ11" i="9"/>
  <c r="AR11" i="9" s="1"/>
  <c r="AQ13" i="9"/>
  <c r="AR13" i="9" s="1"/>
  <c r="AQ15" i="9"/>
  <c r="AR15" i="9" s="1"/>
  <c r="AQ17" i="9"/>
  <c r="AR17" i="9" s="1"/>
  <c r="AQ10" i="9"/>
  <c r="AR10" i="9" s="1"/>
  <c r="AQ12" i="9"/>
  <c r="AR12" i="9" s="1"/>
  <c r="AQ14" i="9"/>
  <c r="AR14" i="9" s="1"/>
  <c r="AQ16" i="9"/>
  <c r="AR16" i="9" s="1"/>
  <c r="P23" i="9"/>
  <c r="AP23" i="9"/>
  <c r="S23" i="9"/>
  <c r="J23" i="9"/>
  <c r="AQ18" i="9"/>
  <c r="AR18" i="9" s="1"/>
  <c r="AQ19" i="9"/>
  <c r="AR19" i="9" s="1"/>
  <c r="AQ22" i="9"/>
  <c r="AR22" i="9" s="1"/>
  <c r="AQ7" i="9"/>
  <c r="AR7" i="9" s="1"/>
  <c r="AQ8" i="9"/>
  <c r="AR8" i="9" s="1"/>
  <c r="AQ9" i="9"/>
  <c r="AR9" i="9" s="1"/>
  <c r="AO23" i="9"/>
  <c r="AQ6" i="9"/>
  <c r="AR6" i="9" s="1"/>
  <c r="AQ20" i="9"/>
  <c r="AR20" i="9" s="1"/>
  <c r="M23" i="9"/>
  <c r="AQ21" i="9"/>
  <c r="AR21" i="9" s="1"/>
  <c r="AQ6" i="8"/>
  <c r="AR6" i="8" s="1"/>
  <c r="AQ14" i="8"/>
  <c r="AR14" i="8" s="1"/>
  <c r="AQ19" i="8"/>
  <c r="AR19" i="8" s="1"/>
  <c r="AO21" i="8"/>
  <c r="AQ18" i="8"/>
  <c r="AR18" i="8" s="1"/>
  <c r="AP21" i="8"/>
  <c r="AQ9" i="8"/>
  <c r="AR9" i="8" s="1"/>
  <c r="G21" i="8"/>
  <c r="J21" i="8"/>
  <c r="AQ8" i="8"/>
  <c r="AR8" i="8" s="1"/>
  <c r="AQ11" i="8"/>
  <c r="AR11" i="8" s="1"/>
  <c r="AQ12" i="8"/>
  <c r="AR12" i="8" s="1"/>
  <c r="AQ13" i="8"/>
  <c r="AR13" i="8" s="1"/>
  <c r="M21" i="8"/>
  <c r="AQ15" i="8"/>
  <c r="AR15" i="8" s="1"/>
  <c r="AQ20" i="8"/>
  <c r="AR20" i="8" s="1"/>
  <c r="P21" i="8"/>
  <c r="AQ7" i="8"/>
  <c r="AR7" i="8" s="1"/>
  <c r="AQ10" i="8"/>
  <c r="AR10" i="8" s="1"/>
  <c r="AQ17" i="8"/>
  <c r="AR17" i="8" s="1"/>
  <c r="S21" i="8"/>
  <c r="AQ16" i="8"/>
  <c r="AR16" i="8" s="1"/>
  <c r="AQ5" i="8"/>
  <c r="AR5" i="8" s="1"/>
  <c r="AQ8" i="7"/>
  <c r="AR8" i="7" s="1"/>
  <c r="AQ17" i="7"/>
  <c r="AR17" i="7" s="1"/>
  <c r="AQ9" i="7"/>
  <c r="AR9" i="7" s="1"/>
  <c r="AQ28" i="7"/>
  <c r="AR28" i="7" s="1"/>
  <c r="AQ13" i="7"/>
  <c r="AR13" i="7" s="1"/>
  <c r="AQ15" i="7"/>
  <c r="AR15" i="7" s="1"/>
  <c r="AO30" i="7"/>
  <c r="AQ23" i="7"/>
  <c r="AR23" i="7" s="1"/>
  <c r="AQ16" i="7"/>
  <c r="AR16" i="7" s="1"/>
  <c r="AQ29" i="7"/>
  <c r="AR29" i="7" s="1"/>
  <c r="AQ22" i="7"/>
  <c r="AR22" i="7" s="1"/>
  <c r="AQ25" i="7"/>
  <c r="AR25" i="7" s="1"/>
  <c r="AQ7" i="7"/>
  <c r="AR7" i="7" s="1"/>
  <c r="AP30" i="7"/>
  <c r="J30" i="7"/>
  <c r="AQ6" i="7"/>
  <c r="AR6" i="7" s="1"/>
  <c r="AQ18" i="7"/>
  <c r="AR18" i="7" s="1"/>
  <c r="M30" i="7"/>
  <c r="AQ24" i="7"/>
  <c r="AR24" i="7" s="1"/>
  <c r="P30" i="7"/>
  <c r="AR12" i="7"/>
  <c r="AQ14" i="7"/>
  <c r="AR14" i="7" s="1"/>
  <c r="AQ27" i="7"/>
  <c r="AR27" i="7" s="1"/>
  <c r="S30" i="7"/>
  <c r="AQ11" i="7"/>
  <c r="AR11" i="7" s="1"/>
  <c r="AQ19" i="7"/>
  <c r="AR19" i="7" s="1"/>
  <c r="AQ21" i="7"/>
  <c r="AR21" i="7" s="1"/>
  <c r="AQ10" i="7"/>
  <c r="AR10" i="7" s="1"/>
  <c r="AQ20" i="7"/>
  <c r="AR20" i="7" s="1"/>
  <c r="AQ26" i="7"/>
  <c r="AR26" i="7" s="1"/>
  <c r="AQ5" i="7"/>
  <c r="AR5" i="7" s="1"/>
  <c r="AQ21" i="6"/>
  <c r="AR21" i="6" s="1"/>
  <c r="AQ5" i="6"/>
  <c r="AR5" i="6" s="1"/>
  <c r="AQ15" i="6"/>
  <c r="AR15" i="6" s="1"/>
  <c r="AQ10" i="6"/>
  <c r="AR10" i="6" s="1"/>
  <c r="AQ20" i="6"/>
  <c r="AR20" i="6" s="1"/>
  <c r="AQ16" i="6"/>
  <c r="AR16" i="6" s="1"/>
  <c r="AQ6" i="6"/>
  <c r="AR6" i="6" s="1"/>
  <c r="AQ9" i="6"/>
  <c r="AR9" i="6" s="1"/>
  <c r="AQ14" i="6"/>
  <c r="AR14" i="6" s="1"/>
  <c r="AQ19" i="6"/>
  <c r="AR19" i="6" s="1"/>
  <c r="S23" i="6"/>
  <c r="AQ8" i="6"/>
  <c r="AR8" i="6" s="1"/>
  <c r="AQ13" i="6"/>
  <c r="AR13" i="6" s="1"/>
  <c r="AQ22" i="6"/>
  <c r="AR22" i="6" s="1"/>
  <c r="AQ11" i="6"/>
  <c r="AR11" i="6" s="1"/>
  <c r="AQ17" i="6"/>
  <c r="AR17" i="6" s="1"/>
  <c r="M23" i="6"/>
  <c r="AO23" i="6"/>
  <c r="AP23" i="6"/>
  <c r="AQ18" i="6"/>
  <c r="AR18" i="6" s="1"/>
  <c r="P23" i="6"/>
  <c r="AQ7" i="6"/>
  <c r="AR7" i="6" s="1"/>
  <c r="J23" i="6"/>
  <c r="AQ8" i="5"/>
  <c r="AR8" i="5" s="1"/>
  <c r="AQ13" i="5"/>
  <c r="AR13" i="5" s="1"/>
  <c r="AQ14" i="5"/>
  <c r="AR14" i="5" s="1"/>
  <c r="AO21" i="5"/>
  <c r="AQ16" i="5"/>
  <c r="AR16" i="5" s="1"/>
  <c r="AP21" i="5"/>
  <c r="AQ6" i="5"/>
  <c r="AR6" i="5" s="1"/>
  <c r="AQ11" i="5"/>
  <c r="AR11" i="5" s="1"/>
  <c r="AQ19" i="5"/>
  <c r="AR19" i="5" s="1"/>
  <c r="AQ9" i="5"/>
  <c r="AR9" i="5" s="1"/>
  <c r="AQ7" i="5"/>
  <c r="AR7" i="5" s="1"/>
  <c r="AQ12" i="5"/>
  <c r="AR12" i="5" s="1"/>
  <c r="AQ17" i="5"/>
  <c r="AR17" i="5" s="1"/>
  <c r="AQ20" i="5"/>
  <c r="AR20" i="5" s="1"/>
  <c r="AQ15" i="5"/>
  <c r="AR15" i="5" s="1"/>
  <c r="AQ5" i="5"/>
  <c r="AR5" i="5" s="1"/>
  <c r="AQ10" i="5"/>
  <c r="AR10" i="5" s="1"/>
  <c r="J21" i="5"/>
  <c r="M21" i="5"/>
  <c r="P21" i="5"/>
  <c r="S21" i="5"/>
  <c r="AQ24" i="4"/>
  <c r="AR24" i="4" s="1"/>
  <c r="AQ27" i="4"/>
  <c r="AR27" i="4" s="1"/>
  <c r="AQ7" i="4"/>
  <c r="AR7" i="4" s="1"/>
  <c r="AQ12" i="4"/>
  <c r="AR12" i="4" s="1"/>
  <c r="AQ20" i="4"/>
  <c r="AR20" i="4" s="1"/>
  <c r="AQ28" i="4"/>
  <c r="AR28" i="4" s="1"/>
  <c r="AQ22" i="4"/>
  <c r="AR22" i="4" s="1"/>
  <c r="AQ25" i="4"/>
  <c r="AR25" i="4" s="1"/>
  <c r="AQ5" i="4"/>
  <c r="AR5" i="4" s="1"/>
  <c r="AQ16" i="4"/>
  <c r="AR16" i="4" s="1"/>
  <c r="AQ9" i="4"/>
  <c r="AR9" i="4" s="1"/>
  <c r="AQ15" i="4"/>
  <c r="AR15" i="4" s="1"/>
  <c r="AQ19" i="4"/>
  <c r="AR19" i="4" s="1"/>
  <c r="AQ21" i="4"/>
  <c r="AR21" i="4" s="1"/>
  <c r="AP29" i="4"/>
  <c r="AQ8" i="4"/>
  <c r="AR8" i="4" s="1"/>
  <c r="AQ14" i="4"/>
  <c r="AR14" i="4" s="1"/>
  <c r="AQ23" i="4"/>
  <c r="AR23" i="4" s="1"/>
  <c r="AQ6" i="4"/>
  <c r="AR6" i="4" s="1"/>
  <c r="AO29" i="4"/>
  <c r="AQ10" i="4"/>
  <c r="AR10" i="4" s="1"/>
  <c r="AQ13" i="4"/>
  <c r="AR13" i="4" s="1"/>
  <c r="AQ18" i="4"/>
  <c r="AR18" i="4" s="1"/>
  <c r="AQ11" i="4"/>
  <c r="AR11" i="4" s="1"/>
  <c r="AQ17" i="4"/>
  <c r="AR17" i="4" s="1"/>
  <c r="AQ26" i="4"/>
  <c r="AR26" i="4" s="1"/>
  <c r="J29" i="4"/>
  <c r="J31" i="4" s="1"/>
  <c r="M29" i="4"/>
  <c r="M31" i="4" s="1"/>
  <c r="P29" i="4"/>
  <c r="P31" i="4" s="1"/>
  <c r="S29" i="4"/>
  <c r="S31" i="4" s="1"/>
  <c r="AG15" i="3"/>
  <c r="AI15" i="3"/>
  <c r="BD5" i="3"/>
  <c r="BE5" i="3"/>
  <c r="BI5" i="3" s="1"/>
  <c r="BD6" i="3"/>
  <c r="BH6" i="3" s="1"/>
  <c r="BE6" i="3"/>
  <c r="BI6" i="3" s="1"/>
  <c r="BD7" i="3"/>
  <c r="BH7" i="3" s="1"/>
  <c r="BE7" i="3"/>
  <c r="BI7" i="3" s="1"/>
  <c r="BD8" i="3"/>
  <c r="BH8" i="3" s="1"/>
  <c r="BE8" i="3"/>
  <c r="BI8" i="3" s="1"/>
  <c r="BD9" i="3"/>
  <c r="BH9" i="3" s="1"/>
  <c r="BE9" i="3"/>
  <c r="BI9" i="3" s="1"/>
  <c r="BD10" i="3"/>
  <c r="BH10" i="3" s="1"/>
  <c r="BE10" i="3"/>
  <c r="BI10" i="3" s="1"/>
  <c r="BD11" i="3"/>
  <c r="BH11" i="3" s="1"/>
  <c r="BE11" i="3"/>
  <c r="BI11" i="3" s="1"/>
  <c r="BD12" i="3"/>
  <c r="BH12" i="3" s="1"/>
  <c r="BE12" i="3"/>
  <c r="BI12" i="3" s="1"/>
  <c r="BD13" i="3"/>
  <c r="BH13" i="3" s="1"/>
  <c r="BE13" i="3"/>
  <c r="BI13" i="3" s="1"/>
  <c r="BD14" i="3"/>
  <c r="BH14" i="3" s="1"/>
  <c r="BE14" i="3"/>
  <c r="BI14" i="3" s="1"/>
  <c r="BE4" i="3"/>
  <c r="AF15" i="3"/>
  <c r="P36" i="13" l="1"/>
  <c r="CV8" i="3"/>
  <c r="CW8" i="3" s="1"/>
  <c r="CX8" i="3" s="1"/>
  <c r="CQ8" i="3"/>
  <c r="CS8" i="3" s="1"/>
  <c r="CP8" i="3"/>
  <c r="CV11" i="3"/>
  <c r="CW11" i="3" s="1"/>
  <c r="CX11" i="3" s="1"/>
  <c r="CP11" i="3"/>
  <c r="CQ11" i="3"/>
  <c r="CS11" i="3" s="1"/>
  <c r="CV6" i="3"/>
  <c r="CW6" i="3" s="1"/>
  <c r="CX6" i="3" s="1"/>
  <c r="CQ6" i="3"/>
  <c r="CS6" i="3" s="1"/>
  <c r="CP6" i="3"/>
  <c r="BH5" i="3"/>
  <c r="BH15" i="3" s="1"/>
  <c r="BD15" i="3"/>
  <c r="CV12" i="3"/>
  <c r="CW12" i="3" s="1"/>
  <c r="CX12" i="3" s="1"/>
  <c r="CP12" i="3"/>
  <c r="CQ12" i="3"/>
  <c r="CS12" i="3" s="1"/>
  <c r="BE15" i="3"/>
  <c r="BI4" i="3"/>
  <c r="CV10" i="3"/>
  <c r="CW10" i="3" s="1"/>
  <c r="CX10" i="3" s="1"/>
  <c r="CQ10" i="3"/>
  <c r="CS10" i="3" s="1"/>
  <c r="CP10" i="3"/>
  <c r="CV7" i="3"/>
  <c r="CW7" i="3" s="1"/>
  <c r="CX7" i="3" s="1"/>
  <c r="CQ7" i="3"/>
  <c r="CS7" i="3" s="1"/>
  <c r="CP7" i="3"/>
  <c r="CV14" i="3"/>
  <c r="CW14" i="3" s="1"/>
  <c r="CX14" i="3" s="1"/>
  <c r="CP14" i="3"/>
  <c r="CQ14" i="3"/>
  <c r="CS14" i="3" s="1"/>
  <c r="CV13" i="3"/>
  <c r="CW13" i="3" s="1"/>
  <c r="CX13" i="3" s="1"/>
  <c r="CQ13" i="3"/>
  <c r="CS13" i="3" s="1"/>
  <c r="CP13" i="3"/>
  <c r="CV9" i="3"/>
  <c r="CW9" i="3" s="1"/>
  <c r="CX9" i="3" s="1"/>
  <c r="CP9" i="3"/>
  <c r="CQ9" i="3"/>
  <c r="CS9" i="3" s="1"/>
  <c r="CV5" i="3"/>
  <c r="CW5" i="3" s="1"/>
  <c r="CX5" i="3" s="1"/>
  <c r="CP5" i="3"/>
  <c r="CQ5" i="3"/>
  <c r="CS5" i="3" s="1"/>
  <c r="AE12" i="3"/>
  <c r="AE4" i="3"/>
  <c r="J29" i="14"/>
  <c r="AQ14" i="14"/>
  <c r="AR14" i="14" s="1"/>
  <c r="J36" i="13"/>
  <c r="AQ21" i="13"/>
  <c r="AR21" i="13" s="1"/>
  <c r="AQ12" i="12"/>
  <c r="AR12" i="12" s="1"/>
  <c r="J30" i="11"/>
  <c r="AQ15" i="11"/>
  <c r="AR15" i="11" s="1"/>
  <c r="AQ24" i="10"/>
  <c r="AR24" i="10" s="1"/>
  <c r="AS24" i="10" s="1"/>
  <c r="AQ23" i="9"/>
  <c r="AR23" i="9" s="1"/>
  <c r="AS23" i="9" s="1"/>
  <c r="AQ21" i="8"/>
  <c r="AR21" i="8" s="1"/>
  <c r="AS21" i="8" s="1"/>
  <c r="AQ30" i="7"/>
  <c r="AR30" i="7" s="1"/>
  <c r="AS30" i="7" s="1"/>
  <c r="AQ23" i="6"/>
  <c r="AR23" i="6" s="1"/>
  <c r="AS13" i="6" s="1"/>
  <c r="AQ21" i="5"/>
  <c r="AR21" i="5" s="1"/>
  <c r="AQ29" i="4"/>
  <c r="AR29" i="4" s="1"/>
  <c r="AS29" i="4" s="1"/>
  <c r="AE5" i="3"/>
  <c r="AE11" i="3"/>
  <c r="AE10" i="3"/>
  <c r="AE9" i="3"/>
  <c r="AE8" i="3"/>
  <c r="AE14" i="3"/>
  <c r="AE6" i="3"/>
  <c r="AE7" i="3"/>
  <c r="AE13" i="3"/>
  <c r="AS18" i="8" l="1"/>
  <c r="AS19" i="7"/>
  <c r="AS9" i="7"/>
  <c r="BI15" i="3"/>
  <c r="BJ8" i="3" s="1"/>
  <c r="CN8" i="3" s="1"/>
  <c r="CV4" i="3"/>
  <c r="CW4" i="3" s="1"/>
  <c r="CX4" i="3" s="1"/>
  <c r="CQ4" i="3"/>
  <c r="CS4" i="3" s="1"/>
  <c r="CP4" i="3"/>
  <c r="BJ4" i="3"/>
  <c r="CN4" i="3" s="1"/>
  <c r="AS7" i="7"/>
  <c r="AS20" i="7"/>
  <c r="AS15" i="7"/>
  <c r="AS5" i="7"/>
  <c r="AS22" i="7"/>
  <c r="AS11" i="7"/>
  <c r="AS13" i="7"/>
  <c r="AS23" i="7"/>
  <c r="AS19" i="8"/>
  <c r="AS17" i="9"/>
  <c r="AS22" i="9"/>
  <c r="AS8" i="9"/>
  <c r="AS13" i="9"/>
  <c r="AS9" i="9"/>
  <c r="AS27" i="4"/>
  <c r="AS19" i="9"/>
  <c r="AS20" i="9"/>
  <c r="AS11" i="9"/>
  <c r="AS6" i="4"/>
  <c r="AS14" i="9"/>
  <c r="AS6" i="8"/>
  <c r="AS18" i="9"/>
  <c r="AS17" i="10"/>
  <c r="AS10" i="10"/>
  <c r="AS7" i="10"/>
  <c r="AS22" i="10"/>
  <c r="AS9" i="10"/>
  <c r="AS19" i="10"/>
  <c r="AS11" i="10"/>
  <c r="AS8" i="10"/>
  <c r="AS13" i="10"/>
  <c r="AS14" i="10"/>
  <c r="AS12" i="10"/>
  <c r="AS21" i="10"/>
  <c r="AS20" i="10"/>
  <c r="AS23" i="10"/>
  <c r="AS16" i="10"/>
  <c r="AS15" i="10"/>
  <c r="AS6" i="10"/>
  <c r="AS18" i="10"/>
  <c r="AS5" i="10"/>
  <c r="AS5" i="9"/>
  <c r="AS6" i="9"/>
  <c r="AS16" i="9"/>
  <c r="AS15" i="9"/>
  <c r="AS10" i="9"/>
  <c r="AS7" i="9"/>
  <c r="AS12" i="9"/>
  <c r="AS21" i="9"/>
  <c r="AS10" i="8"/>
  <c r="AS14" i="8"/>
  <c r="AS8" i="8"/>
  <c r="AS17" i="8"/>
  <c r="AS12" i="8"/>
  <c r="AS7" i="8"/>
  <c r="AS9" i="8"/>
  <c r="AS13" i="8"/>
  <c r="AS15" i="8"/>
  <c r="AS16" i="8"/>
  <c r="AS5" i="8"/>
  <c r="AS11" i="8"/>
  <c r="AS20" i="8"/>
  <c r="AS27" i="7"/>
  <c r="AS12" i="7"/>
  <c r="AS26" i="7"/>
  <c r="AS16" i="7"/>
  <c r="AS14" i="7"/>
  <c r="AS18" i="7"/>
  <c r="AS6" i="7"/>
  <c r="AS28" i="7"/>
  <c r="AS24" i="7"/>
  <c r="AS17" i="7"/>
  <c r="AS25" i="7"/>
  <c r="AS8" i="7"/>
  <c r="AS29" i="7"/>
  <c r="AS21" i="7"/>
  <c r="AS10" i="7"/>
  <c r="AS22" i="6"/>
  <c r="AS15" i="6"/>
  <c r="AS8" i="6"/>
  <c r="AS5" i="6"/>
  <c r="AS9" i="6"/>
  <c r="AS17" i="6"/>
  <c r="AS20" i="6"/>
  <c r="AS6" i="6"/>
  <c r="AS18" i="6"/>
  <c r="AS16" i="6"/>
  <c r="AS7" i="6"/>
  <c r="AS10" i="6"/>
  <c r="AS14" i="6"/>
  <c r="AS23" i="6"/>
  <c r="AS21" i="6"/>
  <c r="AS12" i="6"/>
  <c r="AS19" i="6"/>
  <c r="AS11" i="6"/>
  <c r="AS21" i="5"/>
  <c r="AS18" i="5"/>
  <c r="AS19" i="5"/>
  <c r="AS17" i="5"/>
  <c r="AS13" i="5"/>
  <c r="AS15" i="5"/>
  <c r="AS9" i="5"/>
  <c r="AS8" i="5"/>
  <c r="AS11" i="5"/>
  <c r="AS10" i="5"/>
  <c r="AS14" i="5"/>
  <c r="AS12" i="5"/>
  <c r="AS7" i="5"/>
  <c r="AS16" i="5"/>
  <c r="AS20" i="5"/>
  <c r="AS5" i="5"/>
  <c r="AS6" i="5"/>
  <c r="AS26" i="4"/>
  <c r="AS18" i="4"/>
  <c r="AS24" i="4"/>
  <c r="AS10" i="4"/>
  <c r="AS12" i="4"/>
  <c r="AS16" i="4"/>
  <c r="AS5" i="4"/>
  <c r="AS21" i="4"/>
  <c r="AS25" i="4"/>
  <c r="AS7" i="4"/>
  <c r="AS28" i="4"/>
  <c r="AS13" i="4"/>
  <c r="AS15" i="4"/>
  <c r="AS14" i="4"/>
  <c r="AS19" i="4"/>
  <c r="AS17" i="4"/>
  <c r="AS8" i="4"/>
  <c r="AS9" i="4"/>
  <c r="AS22" i="4"/>
  <c r="AS23" i="4"/>
  <c r="AS20" i="4"/>
  <c r="AS11" i="4"/>
  <c r="AE15" i="3"/>
  <c r="BJ15" i="3"/>
  <c r="CN15" i="3" s="1"/>
  <c r="BJ5" i="3"/>
  <c r="CN5" i="3" s="1"/>
  <c r="BJ10" i="3"/>
  <c r="CN10" i="3" s="1"/>
  <c r="BJ11" i="3"/>
  <c r="CN11" i="3" s="1"/>
  <c r="BJ14" i="3"/>
  <c r="CN14" i="3" s="1"/>
  <c r="BJ7" i="3"/>
  <c r="CN7" i="3" s="1"/>
  <c r="BJ9" i="3"/>
  <c r="CN9" i="3" s="1"/>
  <c r="BJ13" i="3" l="1"/>
  <c r="CN13" i="3" s="1"/>
  <c r="BJ6" i="3"/>
  <c r="CN6" i="3" s="1"/>
  <c r="CV15" i="3"/>
  <c r="CW15" i="3" s="1"/>
  <c r="CX15" i="3" s="1"/>
  <c r="CQ15" i="3"/>
  <c r="CS15" i="3" s="1"/>
  <c r="CP15" i="3"/>
  <c r="BJ12" i="3"/>
  <c r="CN12" i="3" s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52" i="1"/>
  <c r="CE37" i="1" l="1"/>
  <c r="CF37" i="1"/>
  <c r="DQ37" i="1" s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F50" i="1"/>
  <c r="DQ50" i="1" s="1"/>
  <c r="DK7" i="1"/>
  <c r="DM7" i="1" s="1"/>
  <c r="DO25" i="20" l="1"/>
  <c r="ES25" i="20" s="1"/>
  <c r="DO19" i="20"/>
  <c r="ES19" i="20" s="1"/>
  <c r="DO7" i="20"/>
  <c r="ES7" i="20" s="1"/>
  <c r="DO16" i="20"/>
  <c r="ES16" i="20" s="1"/>
  <c r="DO29" i="20"/>
  <c r="ES29" i="20" s="1"/>
  <c r="DO18" i="20"/>
  <c r="ES18" i="20" s="1"/>
  <c r="DO10" i="20"/>
  <c r="ES10" i="20" s="1"/>
  <c r="DO11" i="20"/>
  <c r="ES11" i="20" s="1"/>
  <c r="DO14" i="20"/>
  <c r="ES14" i="20" s="1"/>
  <c r="DO6" i="20"/>
  <c r="ES6" i="20" s="1"/>
  <c r="DO9" i="20"/>
  <c r="ES9" i="20" s="1"/>
  <c r="DO35" i="20"/>
  <c r="ES35" i="20" s="1"/>
  <c r="DO40" i="20"/>
  <c r="ES40" i="20" s="1"/>
  <c r="DO4" i="20"/>
  <c r="DO36" i="20"/>
  <c r="ES36" i="20" s="1"/>
  <c r="DO13" i="20"/>
  <c r="ES13" i="20" s="1"/>
  <c r="DO27" i="20"/>
  <c r="DO17" i="20"/>
  <c r="ES17" i="20" s="1"/>
  <c r="DO31" i="20"/>
  <c r="ES31" i="20" s="1"/>
  <c r="DO41" i="20"/>
  <c r="ES41" i="20" s="1"/>
  <c r="DO42" i="20"/>
  <c r="ES42" i="20" s="1"/>
  <c r="DO20" i="20"/>
  <c r="ES20" i="20" s="1"/>
  <c r="DO38" i="20"/>
  <c r="ES38" i="20" s="1"/>
  <c r="DO33" i="20"/>
  <c r="ES33" i="20" s="1"/>
  <c r="DO37" i="20"/>
  <c r="ES37" i="20" s="1"/>
  <c r="DO23" i="20"/>
  <c r="DO24" i="20" s="1"/>
  <c r="DO43" i="20"/>
  <c r="ES43" i="20" s="1"/>
  <c r="DO45" i="20"/>
  <c r="ES45" i="20" s="1"/>
  <c r="DO46" i="20"/>
  <c r="ES46" i="20" s="1"/>
  <c r="DO51" i="20"/>
  <c r="ES51" i="20" s="1"/>
  <c r="DO55" i="20"/>
  <c r="ES55" i="20" s="1"/>
  <c r="DO53" i="20"/>
  <c r="ES53" i="20" s="1"/>
  <c r="CJ4" i="1"/>
  <c r="CG5" i="1"/>
  <c r="CH5" i="1" s="1"/>
  <c r="CG6" i="1"/>
  <c r="CH6" i="1" s="1"/>
  <c r="CG7" i="1"/>
  <c r="CH7" i="1" s="1"/>
  <c r="CG8" i="1"/>
  <c r="CH8" i="1" s="1"/>
  <c r="CG9" i="1"/>
  <c r="CH9" i="1" s="1"/>
  <c r="CG10" i="1"/>
  <c r="CH10" i="1" s="1"/>
  <c r="CG11" i="1"/>
  <c r="CH11" i="1" s="1"/>
  <c r="CG12" i="1"/>
  <c r="CH12" i="1" s="1"/>
  <c r="CG13" i="1"/>
  <c r="CH13" i="1" s="1"/>
  <c r="CG14" i="1"/>
  <c r="CH14" i="1" s="1"/>
  <c r="CG15" i="1"/>
  <c r="CH15" i="1" s="1"/>
  <c r="CG16" i="1"/>
  <c r="CH16" i="1" s="1"/>
  <c r="CG17" i="1"/>
  <c r="CH17" i="1" s="1"/>
  <c r="CG18" i="1"/>
  <c r="CH18" i="1" s="1"/>
  <c r="CG19" i="1"/>
  <c r="CH19" i="1" s="1"/>
  <c r="CG20" i="1"/>
  <c r="CH20" i="1" s="1"/>
  <c r="CG21" i="1"/>
  <c r="CH21" i="1" s="1"/>
  <c r="CG22" i="1"/>
  <c r="CH22" i="1" s="1"/>
  <c r="CG23" i="1"/>
  <c r="CH23" i="1" s="1"/>
  <c r="CG24" i="1"/>
  <c r="CH24" i="1" s="1"/>
  <c r="CG25" i="1"/>
  <c r="CH25" i="1" s="1"/>
  <c r="CG28" i="1"/>
  <c r="CH28" i="1" s="1"/>
  <c r="CG29" i="1"/>
  <c r="CH29" i="1" s="1"/>
  <c r="CG30" i="1"/>
  <c r="CH30" i="1" s="1"/>
  <c r="CG31" i="1"/>
  <c r="CH31" i="1" s="1"/>
  <c r="CG32" i="1"/>
  <c r="CH32" i="1" s="1"/>
  <c r="CG33" i="1"/>
  <c r="CH33" i="1" s="1"/>
  <c r="CG34" i="1"/>
  <c r="CH34" i="1" s="1"/>
  <c r="CG35" i="1"/>
  <c r="CH35" i="1" s="1"/>
  <c r="CG4" i="1"/>
  <c r="CH4" i="1" s="1"/>
  <c r="DO5" i="20" l="1"/>
  <c r="ES5" i="20" s="1"/>
  <c r="ES4" i="20"/>
  <c r="ES24" i="20"/>
  <c r="ES23" i="20"/>
  <c r="DO28" i="20"/>
  <c r="ES28" i="20" s="1"/>
  <c r="ES27" i="20"/>
  <c r="DO21" i="20"/>
  <c r="ES21" i="20" s="1"/>
  <c r="DO8" i="20"/>
  <c r="ES8" i="20" s="1"/>
  <c r="DO30" i="20"/>
  <c r="ES30" i="20" s="1"/>
  <c r="DO32" i="20"/>
  <c r="ES32" i="20" s="1"/>
  <c r="DO34" i="20"/>
  <c r="ES34" i="20" s="1"/>
  <c r="DO54" i="20"/>
  <c r="ES54" i="20" s="1"/>
  <c r="DO39" i="20"/>
  <c r="ES39" i="20" s="1"/>
  <c r="DO26" i="20"/>
  <c r="ES26" i="20" s="1"/>
  <c r="DO56" i="20"/>
  <c r="DO52" i="20"/>
  <c r="ES52" i="20" s="1"/>
  <c r="DO44" i="20"/>
  <c r="ES44" i="20" s="1"/>
  <c r="DO15" i="20"/>
  <c r="ES15" i="20" s="1"/>
  <c r="DO47" i="20"/>
  <c r="ES47" i="20" s="1"/>
  <c r="DO12" i="20"/>
  <c r="ES12" i="20" s="1"/>
  <c r="CH36" i="1"/>
  <c r="CR28" i="1"/>
  <c r="ES56" i="20" l="1"/>
  <c r="ES57" i="20"/>
  <c r="CK27" i="1"/>
  <c r="CK26" i="1"/>
  <c r="CK16" i="1"/>
  <c r="CK25" i="1"/>
  <c r="CK35" i="1"/>
  <c r="CK29" i="1"/>
  <c r="CK30" i="1"/>
  <c r="CK28" i="1"/>
  <c r="CK36" i="1"/>
  <c r="CK4" i="1"/>
  <c r="CK21" i="1"/>
  <c r="CK31" i="1"/>
  <c r="CK33" i="1"/>
  <c r="CK34" i="1"/>
  <c r="CK22" i="1"/>
  <c r="CK32" i="1"/>
  <c r="CK23" i="1"/>
  <c r="CK24" i="1"/>
  <c r="CK12" i="1"/>
  <c r="CK10" i="1"/>
  <c r="CK15" i="1"/>
  <c r="CK8" i="1"/>
  <c r="CK11" i="1"/>
  <c r="CK9" i="1"/>
  <c r="CK13" i="1"/>
  <c r="CK19" i="1"/>
  <c r="CK6" i="1"/>
  <c r="CK7" i="1"/>
  <c r="CK5" i="1"/>
  <c r="CK20" i="1"/>
  <c r="CK17" i="1"/>
  <c r="CK18" i="1"/>
  <c r="CK14" i="1"/>
  <c r="DK28" i="1"/>
  <c r="DM28" i="1" s="1"/>
  <c r="DK29" i="1"/>
  <c r="DM29" i="1" s="1"/>
  <c r="DJ28" i="1" l="1"/>
  <c r="DJ29" i="1"/>
  <c r="DJ30" i="1"/>
  <c r="DJ31" i="1"/>
  <c r="DH28" i="1"/>
  <c r="DH29" i="1"/>
  <c r="DH30" i="1"/>
  <c r="DH31" i="1"/>
  <c r="DF28" i="1"/>
  <c r="DF29" i="1"/>
  <c r="DF30" i="1"/>
  <c r="DF31" i="1"/>
  <c r="DD28" i="1"/>
  <c r="DD29" i="1"/>
  <c r="DD30" i="1"/>
  <c r="DD31" i="1"/>
  <c r="DB28" i="1"/>
  <c r="DB29" i="1"/>
  <c r="DB30" i="1"/>
  <c r="DB31" i="1"/>
  <c r="DB32" i="1"/>
  <c r="DB33" i="1"/>
  <c r="DB34" i="1"/>
  <c r="DB35" i="1"/>
  <c r="CZ28" i="1"/>
  <c r="CZ29" i="1"/>
  <c r="CZ30" i="1"/>
  <c r="CZ31" i="1"/>
  <c r="CX28" i="1"/>
  <c r="CX29" i="1"/>
  <c r="CX30" i="1"/>
  <c r="CX31" i="1"/>
  <c r="CV28" i="1"/>
  <c r="CV29" i="1"/>
  <c r="CV30" i="1"/>
  <c r="CV31" i="1"/>
  <c r="CV32" i="1"/>
  <c r="CV33" i="1"/>
  <c r="CV34" i="1"/>
  <c r="CV35" i="1"/>
  <c r="CT28" i="1"/>
  <c r="CT29" i="1"/>
  <c r="CT30" i="1"/>
  <c r="CT31" i="1"/>
  <c r="DL28" i="1" l="1"/>
  <c r="DN28" i="1" s="1"/>
  <c r="DL29" i="1"/>
  <c r="DN29" i="1" s="1"/>
  <c r="DS29" i="1" l="1"/>
  <c r="DU29" i="1" s="1"/>
  <c r="DQ29" i="1"/>
  <c r="DT29" i="1"/>
  <c r="DV29" i="1" s="1"/>
  <c r="DW29" i="1" s="1"/>
  <c r="DR29" i="1"/>
  <c r="DQ28" i="1"/>
  <c r="DT28" i="1"/>
  <c r="DV28" i="1" s="1"/>
  <c r="DW28" i="1" s="1"/>
  <c r="DS28" i="1"/>
  <c r="DU28" i="1" s="1"/>
  <c r="DR28" i="1"/>
  <c r="DI51" i="1"/>
  <c r="DG51" i="1"/>
  <c r="DE51" i="1"/>
  <c r="DC51" i="1"/>
  <c r="DA51" i="1"/>
  <c r="CY51" i="1"/>
  <c r="CW51" i="1"/>
  <c r="CU51" i="1"/>
  <c r="CS51" i="1"/>
  <c r="CQ51" i="1"/>
  <c r="CO51" i="1"/>
  <c r="CM51" i="1"/>
  <c r="CI51" i="1"/>
  <c r="CC51" i="1"/>
  <c r="CA51" i="1"/>
  <c r="BY51" i="1"/>
  <c r="BW51" i="1"/>
  <c r="BU51" i="1"/>
  <c r="BS51" i="1"/>
  <c r="BQ51" i="1"/>
  <c r="BO51" i="1"/>
  <c r="BM51" i="1"/>
  <c r="BK51" i="1"/>
  <c r="BI51" i="1"/>
  <c r="BG51" i="1"/>
  <c r="BC51" i="1"/>
  <c r="BA51" i="1"/>
  <c r="AY51" i="1"/>
  <c r="AW51" i="1"/>
  <c r="AU51" i="1"/>
  <c r="AS51" i="1"/>
  <c r="AQ51" i="1"/>
  <c r="AO51" i="1"/>
  <c r="AM51" i="1"/>
  <c r="AK51" i="1"/>
  <c r="AI51" i="1"/>
  <c r="AG51" i="1"/>
  <c r="AC51" i="1"/>
  <c r="AA51" i="1"/>
  <c r="Y51" i="1"/>
  <c r="W51" i="1"/>
  <c r="U51" i="1"/>
  <c r="S51" i="1"/>
  <c r="Q51" i="1"/>
  <c r="O51" i="1"/>
  <c r="M51" i="1"/>
  <c r="K51" i="1"/>
  <c r="I51" i="1"/>
  <c r="G51" i="1"/>
  <c r="DK49" i="1"/>
  <c r="DJ49" i="1"/>
  <c r="DH49" i="1"/>
  <c r="DF49" i="1"/>
  <c r="DD49" i="1"/>
  <c r="DB49" i="1"/>
  <c r="CZ49" i="1"/>
  <c r="CX49" i="1"/>
  <c r="CV49" i="1"/>
  <c r="CT49" i="1"/>
  <c r="CR49" i="1"/>
  <c r="CP49" i="1"/>
  <c r="CN49" i="1"/>
  <c r="CJ49" i="1"/>
  <c r="CG49" i="1"/>
  <c r="CH49" i="1" s="1"/>
  <c r="DR49" i="1" s="1"/>
  <c r="CD49" i="1"/>
  <c r="CB49" i="1"/>
  <c r="BZ49" i="1"/>
  <c r="BX49" i="1"/>
  <c r="BV49" i="1"/>
  <c r="BT49" i="1"/>
  <c r="BR49" i="1"/>
  <c r="BP49" i="1"/>
  <c r="BN49" i="1"/>
  <c r="BL49" i="1"/>
  <c r="BJ49" i="1"/>
  <c r="BH49" i="1"/>
  <c r="BE49" i="1"/>
  <c r="BF49" i="1" s="1"/>
  <c r="BD49" i="1"/>
  <c r="BB49" i="1"/>
  <c r="AZ49" i="1"/>
  <c r="AX49" i="1"/>
  <c r="AV49" i="1"/>
  <c r="AT49" i="1"/>
  <c r="AR49" i="1"/>
  <c r="AP49" i="1"/>
  <c r="AN49" i="1"/>
  <c r="AL49" i="1"/>
  <c r="AJ49" i="1"/>
  <c r="AH49" i="1"/>
  <c r="AE49" i="1"/>
  <c r="AF49" i="1" s="1"/>
  <c r="AD49" i="1"/>
  <c r="AB49" i="1"/>
  <c r="Z49" i="1"/>
  <c r="X49" i="1"/>
  <c r="V49" i="1"/>
  <c r="T49" i="1"/>
  <c r="R49" i="1"/>
  <c r="P49" i="1"/>
  <c r="N49" i="1"/>
  <c r="L49" i="1"/>
  <c r="J49" i="1"/>
  <c r="H49" i="1"/>
  <c r="DK48" i="1"/>
  <c r="DJ48" i="1"/>
  <c r="DH48" i="1"/>
  <c r="DF48" i="1"/>
  <c r="DD48" i="1"/>
  <c r="DB48" i="1"/>
  <c r="CZ48" i="1"/>
  <c r="CX48" i="1"/>
  <c r="CV48" i="1"/>
  <c r="CT48" i="1"/>
  <c r="CR48" i="1"/>
  <c r="CP48" i="1"/>
  <c r="CN48" i="1"/>
  <c r="CJ48" i="1"/>
  <c r="CG48" i="1"/>
  <c r="CH48" i="1" s="1"/>
  <c r="DR48" i="1" s="1"/>
  <c r="CD48" i="1"/>
  <c r="CB48" i="1"/>
  <c r="BZ48" i="1"/>
  <c r="BX48" i="1"/>
  <c r="BV48" i="1"/>
  <c r="BT48" i="1"/>
  <c r="BR48" i="1"/>
  <c r="BP48" i="1"/>
  <c r="BN48" i="1"/>
  <c r="BL48" i="1"/>
  <c r="BJ48" i="1"/>
  <c r="BH48" i="1"/>
  <c r="BE48" i="1"/>
  <c r="BF48" i="1" s="1"/>
  <c r="BD48" i="1"/>
  <c r="BB48" i="1"/>
  <c r="AZ48" i="1"/>
  <c r="AX48" i="1"/>
  <c r="AV48" i="1"/>
  <c r="AT48" i="1"/>
  <c r="AR48" i="1"/>
  <c r="AP48" i="1"/>
  <c r="AN48" i="1"/>
  <c r="AL48" i="1"/>
  <c r="AJ48" i="1"/>
  <c r="AH48" i="1"/>
  <c r="AE48" i="1"/>
  <c r="AF48" i="1" s="1"/>
  <c r="AD48" i="1"/>
  <c r="AB48" i="1"/>
  <c r="Z48" i="1"/>
  <c r="X48" i="1"/>
  <c r="V48" i="1"/>
  <c r="T48" i="1"/>
  <c r="R48" i="1"/>
  <c r="P48" i="1"/>
  <c r="N48" i="1"/>
  <c r="L48" i="1"/>
  <c r="J48" i="1"/>
  <c r="H48" i="1"/>
  <c r="DK47" i="1"/>
  <c r="DJ47" i="1"/>
  <c r="DH47" i="1"/>
  <c r="DF47" i="1"/>
  <c r="DD47" i="1"/>
  <c r="DB47" i="1"/>
  <c r="CZ47" i="1"/>
  <c r="CX47" i="1"/>
  <c r="CV47" i="1"/>
  <c r="CT47" i="1"/>
  <c r="CR47" i="1"/>
  <c r="CP47" i="1"/>
  <c r="CN47" i="1"/>
  <c r="CJ47" i="1"/>
  <c r="CG47" i="1"/>
  <c r="CH47" i="1" s="1"/>
  <c r="DR47" i="1" s="1"/>
  <c r="CD47" i="1"/>
  <c r="CB47" i="1"/>
  <c r="BZ47" i="1"/>
  <c r="BX47" i="1"/>
  <c r="BV47" i="1"/>
  <c r="BT47" i="1"/>
  <c r="BR47" i="1"/>
  <c r="BP47" i="1"/>
  <c r="BN47" i="1"/>
  <c r="BL47" i="1"/>
  <c r="BJ47" i="1"/>
  <c r="BH47" i="1"/>
  <c r="BE47" i="1"/>
  <c r="BF47" i="1" s="1"/>
  <c r="BD47" i="1"/>
  <c r="BB47" i="1"/>
  <c r="AZ47" i="1"/>
  <c r="AX47" i="1"/>
  <c r="AV47" i="1"/>
  <c r="AT47" i="1"/>
  <c r="AR47" i="1"/>
  <c r="AP47" i="1"/>
  <c r="AN47" i="1"/>
  <c r="AL47" i="1"/>
  <c r="AJ47" i="1"/>
  <c r="AH47" i="1"/>
  <c r="AE47" i="1"/>
  <c r="AF47" i="1" s="1"/>
  <c r="AD47" i="1"/>
  <c r="AB47" i="1"/>
  <c r="Z47" i="1"/>
  <c r="X47" i="1"/>
  <c r="V47" i="1"/>
  <c r="T47" i="1"/>
  <c r="R47" i="1"/>
  <c r="P47" i="1"/>
  <c r="N47" i="1"/>
  <c r="L47" i="1"/>
  <c r="J47" i="1"/>
  <c r="H47" i="1"/>
  <c r="DK46" i="1"/>
  <c r="DJ46" i="1"/>
  <c r="DH46" i="1"/>
  <c r="DF46" i="1"/>
  <c r="DD46" i="1"/>
  <c r="DB46" i="1"/>
  <c r="CZ46" i="1"/>
  <c r="CX46" i="1"/>
  <c r="CV46" i="1"/>
  <c r="CT46" i="1"/>
  <c r="CR46" i="1"/>
  <c r="CP46" i="1"/>
  <c r="CN46" i="1"/>
  <c r="CJ46" i="1"/>
  <c r="CG46" i="1"/>
  <c r="CH46" i="1" s="1"/>
  <c r="DR46" i="1" s="1"/>
  <c r="CD46" i="1"/>
  <c r="CB46" i="1"/>
  <c r="BZ46" i="1"/>
  <c r="BX46" i="1"/>
  <c r="BV46" i="1"/>
  <c r="BT46" i="1"/>
  <c r="BR46" i="1"/>
  <c r="BP46" i="1"/>
  <c r="BN46" i="1"/>
  <c r="BL46" i="1"/>
  <c r="BJ46" i="1"/>
  <c r="BH46" i="1"/>
  <c r="BE46" i="1"/>
  <c r="BF46" i="1" s="1"/>
  <c r="BD46" i="1"/>
  <c r="BB46" i="1"/>
  <c r="AZ46" i="1"/>
  <c r="AX46" i="1"/>
  <c r="AV46" i="1"/>
  <c r="AT46" i="1"/>
  <c r="AR46" i="1"/>
  <c r="AP46" i="1"/>
  <c r="AN46" i="1"/>
  <c r="AL46" i="1"/>
  <c r="AJ46" i="1"/>
  <c r="AH46" i="1"/>
  <c r="AE46" i="1"/>
  <c r="AF46" i="1" s="1"/>
  <c r="AD46" i="1"/>
  <c r="AB46" i="1"/>
  <c r="Z46" i="1"/>
  <c r="X46" i="1"/>
  <c r="V46" i="1"/>
  <c r="T46" i="1"/>
  <c r="R46" i="1"/>
  <c r="P46" i="1"/>
  <c r="N46" i="1"/>
  <c r="L46" i="1"/>
  <c r="J46" i="1"/>
  <c r="H46" i="1"/>
  <c r="DK45" i="1"/>
  <c r="DJ45" i="1"/>
  <c r="DH45" i="1"/>
  <c r="DF45" i="1"/>
  <c r="DD45" i="1"/>
  <c r="DB45" i="1"/>
  <c r="CZ45" i="1"/>
  <c r="CX45" i="1"/>
  <c r="CV45" i="1"/>
  <c r="CT45" i="1"/>
  <c r="CR45" i="1"/>
  <c r="CP45" i="1"/>
  <c r="CN45" i="1"/>
  <c r="CJ45" i="1"/>
  <c r="CG45" i="1"/>
  <c r="CH45" i="1" s="1"/>
  <c r="DR45" i="1" s="1"/>
  <c r="CD45" i="1"/>
  <c r="CB45" i="1"/>
  <c r="BZ45" i="1"/>
  <c r="BX45" i="1"/>
  <c r="BV45" i="1"/>
  <c r="BT45" i="1"/>
  <c r="BR45" i="1"/>
  <c r="BP45" i="1"/>
  <c r="BN45" i="1"/>
  <c r="BL45" i="1"/>
  <c r="BJ45" i="1"/>
  <c r="BH45" i="1"/>
  <c r="BE45" i="1"/>
  <c r="BF45" i="1" s="1"/>
  <c r="BD45" i="1"/>
  <c r="BB45" i="1"/>
  <c r="AZ45" i="1"/>
  <c r="AX45" i="1"/>
  <c r="AV45" i="1"/>
  <c r="AT45" i="1"/>
  <c r="AR45" i="1"/>
  <c r="AP45" i="1"/>
  <c r="AN45" i="1"/>
  <c r="AL45" i="1"/>
  <c r="AJ45" i="1"/>
  <c r="AH45" i="1"/>
  <c r="AE45" i="1"/>
  <c r="AF45" i="1" s="1"/>
  <c r="AD45" i="1"/>
  <c r="AB45" i="1"/>
  <c r="Z45" i="1"/>
  <c r="X45" i="1"/>
  <c r="V45" i="1"/>
  <c r="T45" i="1"/>
  <c r="R45" i="1"/>
  <c r="P45" i="1"/>
  <c r="N45" i="1"/>
  <c r="L45" i="1"/>
  <c r="J45" i="1"/>
  <c r="H45" i="1"/>
  <c r="DK44" i="1"/>
  <c r="DJ44" i="1"/>
  <c r="DH44" i="1"/>
  <c r="DF44" i="1"/>
  <c r="DD44" i="1"/>
  <c r="DB44" i="1"/>
  <c r="CZ44" i="1"/>
  <c r="CX44" i="1"/>
  <c r="CV44" i="1"/>
  <c r="CT44" i="1"/>
  <c r="CR44" i="1"/>
  <c r="CP44" i="1"/>
  <c r="CN44" i="1"/>
  <c r="CJ44" i="1"/>
  <c r="CG44" i="1"/>
  <c r="CH44" i="1" s="1"/>
  <c r="DR44" i="1" s="1"/>
  <c r="CD44" i="1"/>
  <c r="CB44" i="1"/>
  <c r="BZ44" i="1"/>
  <c r="BX44" i="1"/>
  <c r="BV44" i="1"/>
  <c r="BT44" i="1"/>
  <c r="BR44" i="1"/>
  <c r="BP44" i="1"/>
  <c r="BN44" i="1"/>
  <c r="BL44" i="1"/>
  <c r="BJ44" i="1"/>
  <c r="BH44" i="1"/>
  <c r="BE44" i="1"/>
  <c r="BF44" i="1" s="1"/>
  <c r="BD44" i="1"/>
  <c r="BB44" i="1"/>
  <c r="AZ44" i="1"/>
  <c r="AX44" i="1"/>
  <c r="AV44" i="1"/>
  <c r="AT44" i="1"/>
  <c r="AR44" i="1"/>
  <c r="AP44" i="1"/>
  <c r="AN44" i="1"/>
  <c r="AL44" i="1"/>
  <c r="AJ44" i="1"/>
  <c r="AH44" i="1"/>
  <c r="AE44" i="1"/>
  <c r="AF44" i="1" s="1"/>
  <c r="AD44" i="1"/>
  <c r="AB44" i="1"/>
  <c r="Z44" i="1"/>
  <c r="X44" i="1"/>
  <c r="V44" i="1"/>
  <c r="T44" i="1"/>
  <c r="R44" i="1"/>
  <c r="P44" i="1"/>
  <c r="N44" i="1"/>
  <c r="L44" i="1"/>
  <c r="J44" i="1"/>
  <c r="H44" i="1"/>
  <c r="DK43" i="1"/>
  <c r="DJ43" i="1"/>
  <c r="DH43" i="1"/>
  <c r="DF43" i="1"/>
  <c r="DD43" i="1"/>
  <c r="DB43" i="1"/>
  <c r="CZ43" i="1"/>
  <c r="CX43" i="1"/>
  <c r="CV43" i="1"/>
  <c r="CT43" i="1"/>
  <c r="CR43" i="1"/>
  <c r="CP43" i="1"/>
  <c r="CN43" i="1"/>
  <c r="CJ43" i="1"/>
  <c r="CG43" i="1"/>
  <c r="CH43" i="1" s="1"/>
  <c r="DR43" i="1" s="1"/>
  <c r="CD43" i="1"/>
  <c r="CB43" i="1"/>
  <c r="BZ43" i="1"/>
  <c r="BX43" i="1"/>
  <c r="BV43" i="1"/>
  <c r="BT43" i="1"/>
  <c r="BR43" i="1"/>
  <c r="BP43" i="1"/>
  <c r="BN43" i="1"/>
  <c r="BL43" i="1"/>
  <c r="BJ43" i="1"/>
  <c r="BH43" i="1"/>
  <c r="BE43" i="1"/>
  <c r="BF43" i="1" s="1"/>
  <c r="BD43" i="1"/>
  <c r="BB43" i="1"/>
  <c r="AZ43" i="1"/>
  <c r="AX43" i="1"/>
  <c r="AV43" i="1"/>
  <c r="AT43" i="1"/>
  <c r="AR43" i="1"/>
  <c r="AP43" i="1"/>
  <c r="AN43" i="1"/>
  <c r="AL43" i="1"/>
  <c r="AJ43" i="1"/>
  <c r="AH43" i="1"/>
  <c r="AE43" i="1"/>
  <c r="AF43" i="1" s="1"/>
  <c r="AD43" i="1"/>
  <c r="AB43" i="1"/>
  <c r="Z43" i="1"/>
  <c r="X43" i="1"/>
  <c r="V43" i="1"/>
  <c r="T43" i="1"/>
  <c r="R43" i="1"/>
  <c r="P43" i="1"/>
  <c r="N43" i="1"/>
  <c r="L43" i="1"/>
  <c r="J43" i="1"/>
  <c r="H43" i="1"/>
  <c r="DK42" i="1"/>
  <c r="DJ42" i="1"/>
  <c r="DH42" i="1"/>
  <c r="DF42" i="1"/>
  <c r="DD42" i="1"/>
  <c r="DB42" i="1"/>
  <c r="CZ42" i="1"/>
  <c r="CX42" i="1"/>
  <c r="CV42" i="1"/>
  <c r="CT42" i="1"/>
  <c r="CR42" i="1"/>
  <c r="CP42" i="1"/>
  <c r="CN42" i="1"/>
  <c r="CJ42" i="1"/>
  <c r="CG42" i="1"/>
  <c r="CH42" i="1" s="1"/>
  <c r="DR42" i="1" s="1"/>
  <c r="CD42" i="1"/>
  <c r="CB42" i="1"/>
  <c r="BZ42" i="1"/>
  <c r="BX42" i="1"/>
  <c r="BV42" i="1"/>
  <c r="BT42" i="1"/>
  <c r="BR42" i="1"/>
  <c r="BP42" i="1"/>
  <c r="BN42" i="1"/>
  <c r="BL42" i="1"/>
  <c r="BJ42" i="1"/>
  <c r="BH42" i="1"/>
  <c r="BE42" i="1"/>
  <c r="BF42" i="1" s="1"/>
  <c r="BD42" i="1"/>
  <c r="BB42" i="1"/>
  <c r="AZ42" i="1"/>
  <c r="AX42" i="1"/>
  <c r="AV42" i="1"/>
  <c r="AT42" i="1"/>
  <c r="AR42" i="1"/>
  <c r="AP42" i="1"/>
  <c r="AN42" i="1"/>
  <c r="AL42" i="1"/>
  <c r="AJ42" i="1"/>
  <c r="AH42" i="1"/>
  <c r="AE42" i="1"/>
  <c r="AF42" i="1" s="1"/>
  <c r="AD42" i="1"/>
  <c r="AB42" i="1"/>
  <c r="Z42" i="1"/>
  <c r="X42" i="1"/>
  <c r="V42" i="1"/>
  <c r="T42" i="1"/>
  <c r="R42" i="1"/>
  <c r="P42" i="1"/>
  <c r="N42" i="1"/>
  <c r="L42" i="1"/>
  <c r="J42" i="1"/>
  <c r="H42" i="1"/>
  <c r="DK41" i="1"/>
  <c r="DJ41" i="1"/>
  <c r="DH41" i="1"/>
  <c r="DF41" i="1"/>
  <c r="DD41" i="1"/>
  <c r="DB41" i="1"/>
  <c r="CZ41" i="1"/>
  <c r="CX41" i="1"/>
  <c r="CV41" i="1"/>
  <c r="CT41" i="1"/>
  <c r="CR41" i="1"/>
  <c r="CP41" i="1"/>
  <c r="CN41" i="1"/>
  <c r="CJ41" i="1"/>
  <c r="CG41" i="1"/>
  <c r="CH41" i="1" s="1"/>
  <c r="DR41" i="1" s="1"/>
  <c r="CD41" i="1"/>
  <c r="CB41" i="1"/>
  <c r="BZ41" i="1"/>
  <c r="BX41" i="1"/>
  <c r="BV41" i="1"/>
  <c r="BT41" i="1"/>
  <c r="BR41" i="1"/>
  <c r="BP41" i="1"/>
  <c r="BN41" i="1"/>
  <c r="BL41" i="1"/>
  <c r="BJ41" i="1"/>
  <c r="BH41" i="1"/>
  <c r="BE41" i="1"/>
  <c r="BF41" i="1" s="1"/>
  <c r="BD41" i="1"/>
  <c r="BB41" i="1"/>
  <c r="AZ41" i="1"/>
  <c r="AX41" i="1"/>
  <c r="AV41" i="1"/>
  <c r="AT41" i="1"/>
  <c r="AR41" i="1"/>
  <c r="AP41" i="1"/>
  <c r="AN41" i="1"/>
  <c r="AL41" i="1"/>
  <c r="AJ41" i="1"/>
  <c r="AH41" i="1"/>
  <c r="AE41" i="1"/>
  <c r="AF41" i="1" s="1"/>
  <c r="AD41" i="1"/>
  <c r="AB41" i="1"/>
  <c r="Z41" i="1"/>
  <c r="X41" i="1"/>
  <c r="V41" i="1"/>
  <c r="T41" i="1"/>
  <c r="R41" i="1"/>
  <c r="P41" i="1"/>
  <c r="N41" i="1"/>
  <c r="L41" i="1"/>
  <c r="J41" i="1"/>
  <c r="H41" i="1"/>
  <c r="DK40" i="1"/>
  <c r="DJ40" i="1"/>
  <c r="DH40" i="1"/>
  <c r="DF40" i="1"/>
  <c r="DD40" i="1"/>
  <c r="DB40" i="1"/>
  <c r="CZ40" i="1"/>
  <c r="CX40" i="1"/>
  <c r="CV40" i="1"/>
  <c r="CT40" i="1"/>
  <c r="CR40" i="1"/>
  <c r="CP40" i="1"/>
  <c r="CN40" i="1"/>
  <c r="CJ40" i="1"/>
  <c r="CG40" i="1"/>
  <c r="CH40" i="1" s="1"/>
  <c r="DR40" i="1" s="1"/>
  <c r="CD40" i="1"/>
  <c r="CB40" i="1"/>
  <c r="BZ40" i="1"/>
  <c r="BX40" i="1"/>
  <c r="BV40" i="1"/>
  <c r="BT40" i="1"/>
  <c r="BR40" i="1"/>
  <c r="BP40" i="1"/>
  <c r="BN40" i="1"/>
  <c r="BL40" i="1"/>
  <c r="BJ40" i="1"/>
  <c r="BH40" i="1"/>
  <c r="BE40" i="1"/>
  <c r="BF40" i="1" s="1"/>
  <c r="BD40" i="1"/>
  <c r="BB40" i="1"/>
  <c r="AZ40" i="1"/>
  <c r="AX40" i="1"/>
  <c r="AV40" i="1"/>
  <c r="AT40" i="1"/>
  <c r="AR40" i="1"/>
  <c r="AP40" i="1"/>
  <c r="AN40" i="1"/>
  <c r="AL40" i="1"/>
  <c r="AJ40" i="1"/>
  <c r="AH40" i="1"/>
  <c r="AE40" i="1"/>
  <c r="AF40" i="1" s="1"/>
  <c r="AD40" i="1"/>
  <c r="AB40" i="1"/>
  <c r="Z40" i="1"/>
  <c r="X40" i="1"/>
  <c r="V40" i="1"/>
  <c r="T40" i="1"/>
  <c r="R40" i="1"/>
  <c r="P40" i="1"/>
  <c r="N40" i="1"/>
  <c r="L40" i="1"/>
  <c r="J40" i="1"/>
  <c r="H40" i="1"/>
  <c r="DK39" i="1"/>
  <c r="DJ39" i="1"/>
  <c r="DH39" i="1"/>
  <c r="DF39" i="1"/>
  <c r="DD39" i="1"/>
  <c r="DB39" i="1"/>
  <c r="CZ39" i="1"/>
  <c r="CX39" i="1"/>
  <c r="CV39" i="1"/>
  <c r="CT39" i="1"/>
  <c r="CR39" i="1"/>
  <c r="CP39" i="1"/>
  <c r="CN39" i="1"/>
  <c r="CJ39" i="1"/>
  <c r="CG39" i="1"/>
  <c r="CH39" i="1" s="1"/>
  <c r="DR39" i="1" s="1"/>
  <c r="CD39" i="1"/>
  <c r="CB39" i="1"/>
  <c r="BZ39" i="1"/>
  <c r="BX39" i="1"/>
  <c r="BV39" i="1"/>
  <c r="BT39" i="1"/>
  <c r="BR39" i="1"/>
  <c r="BP39" i="1"/>
  <c r="BN39" i="1"/>
  <c r="BL39" i="1"/>
  <c r="BJ39" i="1"/>
  <c r="BH39" i="1"/>
  <c r="BE39" i="1"/>
  <c r="BF39" i="1" s="1"/>
  <c r="BD39" i="1"/>
  <c r="BB39" i="1"/>
  <c r="AZ39" i="1"/>
  <c r="AX39" i="1"/>
  <c r="AV39" i="1"/>
  <c r="AT39" i="1"/>
  <c r="AR39" i="1"/>
  <c r="AP39" i="1"/>
  <c r="AN39" i="1"/>
  <c r="AL39" i="1"/>
  <c r="AJ39" i="1"/>
  <c r="AH39" i="1"/>
  <c r="AE39" i="1"/>
  <c r="AF39" i="1" s="1"/>
  <c r="AD39" i="1"/>
  <c r="AB39" i="1"/>
  <c r="Z39" i="1"/>
  <c r="X39" i="1"/>
  <c r="V39" i="1"/>
  <c r="T39" i="1"/>
  <c r="R39" i="1"/>
  <c r="P39" i="1"/>
  <c r="N39" i="1"/>
  <c r="L39" i="1"/>
  <c r="J39" i="1"/>
  <c r="H39" i="1"/>
  <c r="DK38" i="1"/>
  <c r="DJ38" i="1"/>
  <c r="DH38" i="1"/>
  <c r="DF38" i="1"/>
  <c r="DD38" i="1"/>
  <c r="DB38" i="1"/>
  <c r="CZ38" i="1"/>
  <c r="CX38" i="1"/>
  <c r="CV38" i="1"/>
  <c r="CT38" i="1"/>
  <c r="CR38" i="1"/>
  <c r="CP38" i="1"/>
  <c r="CN38" i="1"/>
  <c r="CJ38" i="1"/>
  <c r="CG38" i="1"/>
  <c r="CH38" i="1" s="1"/>
  <c r="DR38" i="1" s="1"/>
  <c r="CD38" i="1"/>
  <c r="CB38" i="1"/>
  <c r="BZ38" i="1"/>
  <c r="BX38" i="1"/>
  <c r="BV38" i="1"/>
  <c r="BT38" i="1"/>
  <c r="BR38" i="1"/>
  <c r="BP38" i="1"/>
  <c r="BN38" i="1"/>
  <c r="BL38" i="1"/>
  <c r="BJ38" i="1"/>
  <c r="BH38" i="1"/>
  <c r="BE38" i="1"/>
  <c r="BD38" i="1"/>
  <c r="BB38" i="1"/>
  <c r="AZ38" i="1"/>
  <c r="AX38" i="1"/>
  <c r="AV38" i="1"/>
  <c r="AT38" i="1"/>
  <c r="AR38" i="1"/>
  <c r="AP38" i="1"/>
  <c r="AN38" i="1"/>
  <c r="AL38" i="1"/>
  <c r="AJ38" i="1"/>
  <c r="AH38" i="1"/>
  <c r="AE38" i="1"/>
  <c r="AD38" i="1"/>
  <c r="AB38" i="1"/>
  <c r="Z38" i="1"/>
  <c r="X38" i="1"/>
  <c r="V38" i="1"/>
  <c r="T38" i="1"/>
  <c r="R38" i="1"/>
  <c r="P38" i="1"/>
  <c r="N38" i="1"/>
  <c r="L38" i="1"/>
  <c r="J38" i="1"/>
  <c r="H38" i="1"/>
  <c r="DI36" i="1"/>
  <c r="DG36" i="1"/>
  <c r="DE36" i="1"/>
  <c r="DC36" i="1"/>
  <c r="DA36" i="1"/>
  <c r="CY36" i="1"/>
  <c r="CW36" i="1"/>
  <c r="CU36" i="1"/>
  <c r="CS36" i="1"/>
  <c r="CQ36" i="1"/>
  <c r="CO36" i="1"/>
  <c r="CM36" i="1"/>
  <c r="CI36" i="1"/>
  <c r="CC36" i="1"/>
  <c r="CA36" i="1"/>
  <c r="BY36" i="1"/>
  <c r="BW36" i="1"/>
  <c r="BU36" i="1"/>
  <c r="BS36" i="1"/>
  <c r="BQ36" i="1"/>
  <c r="BO36" i="1"/>
  <c r="BM36" i="1"/>
  <c r="BK36" i="1"/>
  <c r="BI36" i="1"/>
  <c r="BG36" i="1"/>
  <c r="CE36" i="1" s="1"/>
  <c r="BC36" i="1"/>
  <c r="BA36" i="1"/>
  <c r="AY36" i="1"/>
  <c r="AW36" i="1"/>
  <c r="AU36" i="1"/>
  <c r="AS36" i="1"/>
  <c r="AQ36" i="1"/>
  <c r="AO36" i="1"/>
  <c r="AM36" i="1"/>
  <c r="AK36" i="1"/>
  <c r="AI36" i="1"/>
  <c r="AG36" i="1"/>
  <c r="AC36" i="1"/>
  <c r="AA36" i="1"/>
  <c r="Y36" i="1"/>
  <c r="W36" i="1"/>
  <c r="U36" i="1"/>
  <c r="S36" i="1"/>
  <c r="Q36" i="1"/>
  <c r="O36" i="1"/>
  <c r="M36" i="1"/>
  <c r="K36" i="1"/>
  <c r="I36" i="1"/>
  <c r="G36" i="1"/>
  <c r="DK35" i="1"/>
  <c r="DM35" i="1" s="1"/>
  <c r="DJ35" i="1"/>
  <c r="DH35" i="1"/>
  <c r="DF35" i="1"/>
  <c r="DD35" i="1"/>
  <c r="CZ35" i="1"/>
  <c r="CX35" i="1"/>
  <c r="CT35" i="1"/>
  <c r="CR35" i="1"/>
  <c r="CP35" i="1"/>
  <c r="CN35" i="1"/>
  <c r="CJ35" i="1"/>
  <c r="CD35" i="1"/>
  <c r="CB35" i="1"/>
  <c r="BZ35" i="1"/>
  <c r="BX35" i="1"/>
  <c r="BV35" i="1"/>
  <c r="BT35" i="1"/>
  <c r="BR35" i="1"/>
  <c r="BP35" i="1"/>
  <c r="BN35" i="1"/>
  <c r="BL35" i="1"/>
  <c r="BJ35" i="1"/>
  <c r="BH35" i="1"/>
  <c r="CF35" i="1" s="1"/>
  <c r="BE35" i="1"/>
  <c r="BF35" i="1" s="1"/>
  <c r="BD35" i="1"/>
  <c r="BB35" i="1"/>
  <c r="AZ35" i="1"/>
  <c r="AX35" i="1"/>
  <c r="AV35" i="1"/>
  <c r="AT35" i="1"/>
  <c r="AR35" i="1"/>
  <c r="AP35" i="1"/>
  <c r="AN35" i="1"/>
  <c r="AL35" i="1"/>
  <c r="AJ35" i="1"/>
  <c r="AH35" i="1"/>
  <c r="AE35" i="1"/>
  <c r="AF35" i="1" s="1"/>
  <c r="AD35" i="1"/>
  <c r="AB35" i="1"/>
  <c r="Z35" i="1"/>
  <c r="X35" i="1"/>
  <c r="V35" i="1"/>
  <c r="T35" i="1"/>
  <c r="R35" i="1"/>
  <c r="P35" i="1"/>
  <c r="N35" i="1"/>
  <c r="L35" i="1"/>
  <c r="J35" i="1"/>
  <c r="H35" i="1"/>
  <c r="DK34" i="1"/>
  <c r="DM34" i="1" s="1"/>
  <c r="DJ34" i="1"/>
  <c r="DH34" i="1"/>
  <c r="DF34" i="1"/>
  <c r="DD34" i="1"/>
  <c r="CZ34" i="1"/>
  <c r="CX34" i="1"/>
  <c r="CT34" i="1"/>
  <c r="CR34" i="1"/>
  <c r="CP34" i="1"/>
  <c r="CN34" i="1"/>
  <c r="CJ34" i="1"/>
  <c r="CD34" i="1"/>
  <c r="CB34" i="1"/>
  <c r="BZ34" i="1"/>
  <c r="BX34" i="1"/>
  <c r="BV34" i="1"/>
  <c r="BT34" i="1"/>
  <c r="BR34" i="1"/>
  <c r="BP34" i="1"/>
  <c r="BN34" i="1"/>
  <c r="BL34" i="1"/>
  <c r="BJ34" i="1"/>
  <c r="BH34" i="1"/>
  <c r="CF34" i="1" s="1"/>
  <c r="BE34" i="1"/>
  <c r="BF34" i="1" s="1"/>
  <c r="BD34" i="1"/>
  <c r="BB34" i="1"/>
  <c r="AZ34" i="1"/>
  <c r="AX34" i="1"/>
  <c r="AV34" i="1"/>
  <c r="AT34" i="1"/>
  <c r="AR34" i="1"/>
  <c r="AP34" i="1"/>
  <c r="AN34" i="1"/>
  <c r="AL34" i="1"/>
  <c r="AJ34" i="1"/>
  <c r="AH34" i="1"/>
  <c r="AE34" i="1"/>
  <c r="AF34" i="1" s="1"/>
  <c r="AD34" i="1"/>
  <c r="AB34" i="1"/>
  <c r="Z34" i="1"/>
  <c r="X34" i="1"/>
  <c r="V34" i="1"/>
  <c r="T34" i="1"/>
  <c r="R34" i="1"/>
  <c r="P34" i="1"/>
  <c r="N34" i="1"/>
  <c r="L34" i="1"/>
  <c r="J34" i="1"/>
  <c r="H34" i="1"/>
  <c r="DK33" i="1"/>
  <c r="DM33" i="1" s="1"/>
  <c r="DJ33" i="1"/>
  <c r="DH33" i="1"/>
  <c r="DF33" i="1"/>
  <c r="DD33" i="1"/>
  <c r="CZ33" i="1"/>
  <c r="CX33" i="1"/>
  <c r="CT33" i="1"/>
  <c r="CR33" i="1"/>
  <c r="CP33" i="1"/>
  <c r="CN33" i="1"/>
  <c r="CJ33" i="1"/>
  <c r="CD33" i="1"/>
  <c r="CB33" i="1"/>
  <c r="BZ33" i="1"/>
  <c r="BX33" i="1"/>
  <c r="BV33" i="1"/>
  <c r="BT33" i="1"/>
  <c r="BR33" i="1"/>
  <c r="BP33" i="1"/>
  <c r="BN33" i="1"/>
  <c r="BL33" i="1"/>
  <c r="BJ33" i="1"/>
  <c r="BH33" i="1"/>
  <c r="BE33" i="1"/>
  <c r="BF33" i="1" s="1"/>
  <c r="BD33" i="1"/>
  <c r="BB33" i="1"/>
  <c r="AZ33" i="1"/>
  <c r="AX33" i="1"/>
  <c r="AV33" i="1"/>
  <c r="AT33" i="1"/>
  <c r="AR33" i="1"/>
  <c r="AP33" i="1"/>
  <c r="AN33" i="1"/>
  <c r="AL33" i="1"/>
  <c r="AJ33" i="1"/>
  <c r="AH33" i="1"/>
  <c r="AE33" i="1"/>
  <c r="AF33" i="1" s="1"/>
  <c r="AD33" i="1"/>
  <c r="AB33" i="1"/>
  <c r="Z33" i="1"/>
  <c r="X33" i="1"/>
  <c r="V33" i="1"/>
  <c r="T33" i="1"/>
  <c r="R33" i="1"/>
  <c r="P33" i="1"/>
  <c r="N33" i="1"/>
  <c r="L33" i="1"/>
  <c r="J33" i="1"/>
  <c r="H33" i="1"/>
  <c r="DK32" i="1"/>
  <c r="DM32" i="1" s="1"/>
  <c r="DJ32" i="1"/>
  <c r="DH32" i="1"/>
  <c r="DF32" i="1"/>
  <c r="DD32" i="1"/>
  <c r="CZ32" i="1"/>
  <c r="CX32" i="1"/>
  <c r="CT32" i="1"/>
  <c r="CR32" i="1"/>
  <c r="CP32" i="1"/>
  <c r="CN32" i="1"/>
  <c r="CJ32" i="1"/>
  <c r="CD32" i="1"/>
  <c r="CB32" i="1"/>
  <c r="BZ32" i="1"/>
  <c r="BX32" i="1"/>
  <c r="BV32" i="1"/>
  <c r="BT32" i="1"/>
  <c r="BR32" i="1"/>
  <c r="BP32" i="1"/>
  <c r="BN32" i="1"/>
  <c r="BL32" i="1"/>
  <c r="BJ32" i="1"/>
  <c r="BH32" i="1"/>
  <c r="BE32" i="1"/>
  <c r="BF32" i="1" s="1"/>
  <c r="BD32" i="1"/>
  <c r="BB32" i="1"/>
  <c r="AZ32" i="1"/>
  <c r="AX32" i="1"/>
  <c r="AV32" i="1"/>
  <c r="AT32" i="1"/>
  <c r="AR32" i="1"/>
  <c r="AP32" i="1"/>
  <c r="AN32" i="1"/>
  <c r="AL32" i="1"/>
  <c r="AJ32" i="1"/>
  <c r="AH32" i="1"/>
  <c r="AE32" i="1"/>
  <c r="AF32" i="1" s="1"/>
  <c r="AD32" i="1"/>
  <c r="AB32" i="1"/>
  <c r="Z32" i="1"/>
  <c r="X32" i="1"/>
  <c r="V32" i="1"/>
  <c r="T32" i="1"/>
  <c r="R32" i="1"/>
  <c r="P32" i="1"/>
  <c r="N32" i="1"/>
  <c r="L32" i="1"/>
  <c r="J32" i="1"/>
  <c r="H32" i="1"/>
  <c r="DK31" i="1"/>
  <c r="DM31" i="1" s="1"/>
  <c r="CR31" i="1"/>
  <c r="CP31" i="1"/>
  <c r="CN31" i="1"/>
  <c r="CJ31" i="1"/>
  <c r="CD31" i="1"/>
  <c r="CB31" i="1"/>
  <c r="BZ31" i="1"/>
  <c r="BX31" i="1"/>
  <c r="BV31" i="1"/>
  <c r="BT31" i="1"/>
  <c r="BR31" i="1"/>
  <c r="BP31" i="1"/>
  <c r="BN31" i="1"/>
  <c r="BL31" i="1"/>
  <c r="BJ31" i="1"/>
  <c r="BH31" i="1"/>
  <c r="BE31" i="1"/>
  <c r="BF31" i="1" s="1"/>
  <c r="BD31" i="1"/>
  <c r="BB31" i="1"/>
  <c r="AZ31" i="1"/>
  <c r="AX31" i="1"/>
  <c r="AV31" i="1"/>
  <c r="AT31" i="1"/>
  <c r="AR31" i="1"/>
  <c r="AP31" i="1"/>
  <c r="AN31" i="1"/>
  <c r="AL31" i="1"/>
  <c r="AJ31" i="1"/>
  <c r="AH31" i="1"/>
  <c r="AE31" i="1"/>
  <c r="AF31" i="1" s="1"/>
  <c r="AD31" i="1"/>
  <c r="AB31" i="1"/>
  <c r="Z31" i="1"/>
  <c r="X31" i="1"/>
  <c r="V31" i="1"/>
  <c r="T31" i="1"/>
  <c r="R31" i="1"/>
  <c r="P31" i="1"/>
  <c r="N31" i="1"/>
  <c r="L31" i="1"/>
  <c r="J31" i="1"/>
  <c r="H31" i="1"/>
  <c r="DK30" i="1"/>
  <c r="DM30" i="1" s="1"/>
  <c r="CR30" i="1"/>
  <c r="CP30" i="1"/>
  <c r="CN30" i="1"/>
  <c r="CJ30" i="1"/>
  <c r="CD30" i="1"/>
  <c r="CB30" i="1"/>
  <c r="BZ30" i="1"/>
  <c r="BX30" i="1"/>
  <c r="BV30" i="1"/>
  <c r="BT30" i="1"/>
  <c r="BR30" i="1"/>
  <c r="BP30" i="1"/>
  <c r="BN30" i="1"/>
  <c r="BL30" i="1"/>
  <c r="BJ30" i="1"/>
  <c r="BH30" i="1"/>
  <c r="BE30" i="1"/>
  <c r="BF30" i="1" s="1"/>
  <c r="BD30" i="1"/>
  <c r="BB30" i="1"/>
  <c r="AZ30" i="1"/>
  <c r="AX30" i="1"/>
  <c r="AV30" i="1"/>
  <c r="AT30" i="1"/>
  <c r="AR30" i="1"/>
  <c r="AP30" i="1"/>
  <c r="AN30" i="1"/>
  <c r="AL30" i="1"/>
  <c r="AJ30" i="1"/>
  <c r="AH30" i="1"/>
  <c r="AE30" i="1"/>
  <c r="AF30" i="1" s="1"/>
  <c r="AD30" i="1"/>
  <c r="AB30" i="1"/>
  <c r="Z30" i="1"/>
  <c r="X30" i="1"/>
  <c r="V30" i="1"/>
  <c r="T30" i="1"/>
  <c r="R30" i="1"/>
  <c r="P30" i="1"/>
  <c r="N30" i="1"/>
  <c r="L30" i="1"/>
  <c r="J30" i="1"/>
  <c r="H30" i="1"/>
  <c r="DK25" i="1"/>
  <c r="DM25" i="1" s="1"/>
  <c r="DJ25" i="1"/>
  <c r="DH25" i="1"/>
  <c r="DF25" i="1"/>
  <c r="DD25" i="1"/>
  <c r="DB25" i="1"/>
  <c r="CZ25" i="1"/>
  <c r="CX25" i="1"/>
  <c r="CV25" i="1"/>
  <c r="CT25" i="1"/>
  <c r="CR25" i="1"/>
  <c r="CP25" i="1"/>
  <c r="CN25" i="1"/>
  <c r="CJ25" i="1"/>
  <c r="CD25" i="1"/>
  <c r="CB25" i="1"/>
  <c r="BZ25" i="1"/>
  <c r="BX25" i="1"/>
  <c r="BV25" i="1"/>
  <c r="BT25" i="1"/>
  <c r="BR25" i="1"/>
  <c r="BP25" i="1"/>
  <c r="BN25" i="1"/>
  <c r="BL25" i="1"/>
  <c r="BJ25" i="1"/>
  <c r="BH25" i="1"/>
  <c r="CF25" i="1" s="1"/>
  <c r="BE25" i="1"/>
  <c r="BF25" i="1" s="1"/>
  <c r="BD25" i="1"/>
  <c r="BB25" i="1"/>
  <c r="AZ25" i="1"/>
  <c r="AX25" i="1"/>
  <c r="AV25" i="1"/>
  <c r="AT25" i="1"/>
  <c r="AR25" i="1"/>
  <c r="AP25" i="1"/>
  <c r="AN25" i="1"/>
  <c r="AL25" i="1"/>
  <c r="AJ25" i="1"/>
  <c r="AH25" i="1"/>
  <c r="AE25" i="1"/>
  <c r="AF25" i="1" s="1"/>
  <c r="AD25" i="1"/>
  <c r="AB25" i="1"/>
  <c r="Z25" i="1"/>
  <c r="X25" i="1"/>
  <c r="V25" i="1"/>
  <c r="T25" i="1"/>
  <c r="R25" i="1"/>
  <c r="P25" i="1"/>
  <c r="N25" i="1"/>
  <c r="L25" i="1"/>
  <c r="J25" i="1"/>
  <c r="H25" i="1"/>
  <c r="DK24" i="1"/>
  <c r="DM24" i="1" s="1"/>
  <c r="DJ24" i="1"/>
  <c r="DH24" i="1"/>
  <c r="DF24" i="1"/>
  <c r="DD24" i="1"/>
  <c r="DB24" i="1"/>
  <c r="CZ24" i="1"/>
  <c r="CX24" i="1"/>
  <c r="CV24" i="1"/>
  <c r="CT24" i="1"/>
  <c r="CR24" i="1"/>
  <c r="CP24" i="1"/>
  <c r="CN24" i="1"/>
  <c r="CJ24" i="1"/>
  <c r="CD24" i="1"/>
  <c r="CB24" i="1"/>
  <c r="BZ24" i="1"/>
  <c r="BX24" i="1"/>
  <c r="BV24" i="1"/>
  <c r="BT24" i="1"/>
  <c r="BR24" i="1"/>
  <c r="BP24" i="1"/>
  <c r="BN24" i="1"/>
  <c r="BL24" i="1"/>
  <c r="BJ24" i="1"/>
  <c r="BH24" i="1"/>
  <c r="BE24" i="1"/>
  <c r="BF24" i="1" s="1"/>
  <c r="BD24" i="1"/>
  <c r="BB24" i="1"/>
  <c r="AZ24" i="1"/>
  <c r="AX24" i="1"/>
  <c r="AV24" i="1"/>
  <c r="AT24" i="1"/>
  <c r="AR24" i="1"/>
  <c r="AP24" i="1"/>
  <c r="AN24" i="1"/>
  <c r="AL24" i="1"/>
  <c r="AJ24" i="1"/>
  <c r="AH24" i="1"/>
  <c r="AE24" i="1"/>
  <c r="AF24" i="1" s="1"/>
  <c r="AD24" i="1"/>
  <c r="AB24" i="1"/>
  <c r="Z24" i="1"/>
  <c r="X24" i="1"/>
  <c r="V24" i="1"/>
  <c r="T24" i="1"/>
  <c r="R24" i="1"/>
  <c r="P24" i="1"/>
  <c r="N24" i="1"/>
  <c r="L24" i="1"/>
  <c r="J24" i="1"/>
  <c r="H24" i="1"/>
  <c r="DK23" i="1"/>
  <c r="DM23" i="1" s="1"/>
  <c r="DJ23" i="1"/>
  <c r="DH23" i="1"/>
  <c r="DF23" i="1"/>
  <c r="DD23" i="1"/>
  <c r="DB23" i="1"/>
  <c r="CZ23" i="1"/>
  <c r="CX23" i="1"/>
  <c r="CV23" i="1"/>
  <c r="CT23" i="1"/>
  <c r="CR23" i="1"/>
  <c r="CP23" i="1"/>
  <c r="CN23" i="1"/>
  <c r="CJ23" i="1"/>
  <c r="CD23" i="1"/>
  <c r="CB23" i="1"/>
  <c r="BZ23" i="1"/>
  <c r="BX23" i="1"/>
  <c r="BV23" i="1"/>
  <c r="BT23" i="1"/>
  <c r="BR23" i="1"/>
  <c r="BP23" i="1"/>
  <c r="BN23" i="1"/>
  <c r="BL23" i="1"/>
  <c r="BJ23" i="1"/>
  <c r="BH23" i="1"/>
  <c r="BE23" i="1"/>
  <c r="BF23" i="1" s="1"/>
  <c r="BD23" i="1"/>
  <c r="BB23" i="1"/>
  <c r="AZ23" i="1"/>
  <c r="AX23" i="1"/>
  <c r="AV23" i="1"/>
  <c r="AT23" i="1"/>
  <c r="AR23" i="1"/>
  <c r="AP23" i="1"/>
  <c r="AN23" i="1"/>
  <c r="AL23" i="1"/>
  <c r="AJ23" i="1"/>
  <c r="AH23" i="1"/>
  <c r="AE23" i="1"/>
  <c r="AF23" i="1" s="1"/>
  <c r="AD23" i="1"/>
  <c r="AB23" i="1"/>
  <c r="Z23" i="1"/>
  <c r="X23" i="1"/>
  <c r="V23" i="1"/>
  <c r="T23" i="1"/>
  <c r="R23" i="1"/>
  <c r="P23" i="1"/>
  <c r="N23" i="1"/>
  <c r="L23" i="1"/>
  <c r="J23" i="1"/>
  <c r="H23" i="1"/>
  <c r="DK22" i="1"/>
  <c r="DM22" i="1" s="1"/>
  <c r="DJ22" i="1"/>
  <c r="DH22" i="1"/>
  <c r="DF22" i="1"/>
  <c r="DD22" i="1"/>
  <c r="DB22" i="1"/>
  <c r="CZ22" i="1"/>
  <c r="CX22" i="1"/>
  <c r="CV22" i="1"/>
  <c r="CT22" i="1"/>
  <c r="CR22" i="1"/>
  <c r="CP22" i="1"/>
  <c r="CN22" i="1"/>
  <c r="CJ22" i="1"/>
  <c r="CD22" i="1"/>
  <c r="CB22" i="1"/>
  <c r="BZ22" i="1"/>
  <c r="BX22" i="1"/>
  <c r="BV22" i="1"/>
  <c r="BT22" i="1"/>
  <c r="BR22" i="1"/>
  <c r="BP22" i="1"/>
  <c r="BN22" i="1"/>
  <c r="BL22" i="1"/>
  <c r="BJ22" i="1"/>
  <c r="BH22" i="1"/>
  <c r="BE22" i="1"/>
  <c r="BF22" i="1" s="1"/>
  <c r="BD22" i="1"/>
  <c r="BB22" i="1"/>
  <c r="AZ22" i="1"/>
  <c r="AX22" i="1"/>
  <c r="AV22" i="1"/>
  <c r="AT22" i="1"/>
  <c r="AR22" i="1"/>
  <c r="AP22" i="1"/>
  <c r="AN22" i="1"/>
  <c r="AL22" i="1"/>
  <c r="AJ22" i="1"/>
  <c r="AH22" i="1"/>
  <c r="AE22" i="1"/>
  <c r="AF22" i="1" s="1"/>
  <c r="AD22" i="1"/>
  <c r="AB22" i="1"/>
  <c r="Z22" i="1"/>
  <c r="X22" i="1"/>
  <c r="V22" i="1"/>
  <c r="T22" i="1"/>
  <c r="R22" i="1"/>
  <c r="P22" i="1"/>
  <c r="N22" i="1"/>
  <c r="L22" i="1"/>
  <c r="J22" i="1"/>
  <c r="H22" i="1"/>
  <c r="DK21" i="1"/>
  <c r="DM21" i="1" s="1"/>
  <c r="DJ21" i="1"/>
  <c r="DH21" i="1"/>
  <c r="DF21" i="1"/>
  <c r="DD21" i="1"/>
  <c r="DB21" i="1"/>
  <c r="CZ21" i="1"/>
  <c r="CX21" i="1"/>
  <c r="CV21" i="1"/>
  <c r="CT21" i="1"/>
  <c r="CR21" i="1"/>
  <c r="CP21" i="1"/>
  <c r="CN21" i="1"/>
  <c r="CJ21" i="1"/>
  <c r="CD21" i="1"/>
  <c r="CB21" i="1"/>
  <c r="BZ21" i="1"/>
  <c r="BX21" i="1"/>
  <c r="BV21" i="1"/>
  <c r="BT21" i="1"/>
  <c r="BR21" i="1"/>
  <c r="BP21" i="1"/>
  <c r="BN21" i="1"/>
  <c r="BL21" i="1"/>
  <c r="BJ21" i="1"/>
  <c r="BH21" i="1"/>
  <c r="BE21" i="1"/>
  <c r="BF21" i="1" s="1"/>
  <c r="BD21" i="1"/>
  <c r="BB21" i="1"/>
  <c r="AZ21" i="1"/>
  <c r="AX21" i="1"/>
  <c r="AV21" i="1"/>
  <c r="AT21" i="1"/>
  <c r="AR21" i="1"/>
  <c r="AP21" i="1"/>
  <c r="AN21" i="1"/>
  <c r="AL21" i="1"/>
  <c r="AJ21" i="1"/>
  <c r="AH21" i="1"/>
  <c r="AE21" i="1"/>
  <c r="AF21" i="1" s="1"/>
  <c r="AD21" i="1"/>
  <c r="AB21" i="1"/>
  <c r="Z21" i="1"/>
  <c r="X21" i="1"/>
  <c r="V21" i="1"/>
  <c r="T21" i="1"/>
  <c r="R21" i="1"/>
  <c r="P21" i="1"/>
  <c r="N21" i="1"/>
  <c r="L21" i="1"/>
  <c r="J21" i="1"/>
  <c r="H21" i="1"/>
  <c r="DK20" i="1"/>
  <c r="DM20" i="1" s="1"/>
  <c r="DJ20" i="1"/>
  <c r="DH20" i="1"/>
  <c r="DF20" i="1"/>
  <c r="DD20" i="1"/>
  <c r="DB20" i="1"/>
  <c r="CZ20" i="1"/>
  <c r="CX20" i="1"/>
  <c r="CV20" i="1"/>
  <c r="CT20" i="1"/>
  <c r="CR20" i="1"/>
  <c r="CP20" i="1"/>
  <c r="CN20" i="1"/>
  <c r="CJ20" i="1"/>
  <c r="CD20" i="1"/>
  <c r="CB20" i="1"/>
  <c r="BZ20" i="1"/>
  <c r="BX20" i="1"/>
  <c r="BV20" i="1"/>
  <c r="BT20" i="1"/>
  <c r="BR20" i="1"/>
  <c r="BP20" i="1"/>
  <c r="BN20" i="1"/>
  <c r="BL20" i="1"/>
  <c r="BJ20" i="1"/>
  <c r="BH20" i="1"/>
  <c r="BE20" i="1"/>
  <c r="BF20" i="1" s="1"/>
  <c r="BD20" i="1"/>
  <c r="BB20" i="1"/>
  <c r="AZ20" i="1"/>
  <c r="AX20" i="1"/>
  <c r="AV20" i="1"/>
  <c r="AT20" i="1"/>
  <c r="AR20" i="1"/>
  <c r="AP20" i="1"/>
  <c r="AN20" i="1"/>
  <c r="AL20" i="1"/>
  <c r="AJ20" i="1"/>
  <c r="AH20" i="1"/>
  <c r="AE20" i="1"/>
  <c r="AF20" i="1" s="1"/>
  <c r="AD20" i="1"/>
  <c r="AB20" i="1"/>
  <c r="Z20" i="1"/>
  <c r="X20" i="1"/>
  <c r="V20" i="1"/>
  <c r="T20" i="1"/>
  <c r="R20" i="1"/>
  <c r="P20" i="1"/>
  <c r="N20" i="1"/>
  <c r="L20" i="1"/>
  <c r="J20" i="1"/>
  <c r="H20" i="1"/>
  <c r="DK19" i="1"/>
  <c r="DM19" i="1" s="1"/>
  <c r="DJ19" i="1"/>
  <c r="DH19" i="1"/>
  <c r="DF19" i="1"/>
  <c r="DD19" i="1"/>
  <c r="DB19" i="1"/>
  <c r="CZ19" i="1"/>
  <c r="CX19" i="1"/>
  <c r="CV19" i="1"/>
  <c r="CT19" i="1"/>
  <c r="CR19" i="1"/>
  <c r="CP19" i="1"/>
  <c r="CN19" i="1"/>
  <c r="CJ19" i="1"/>
  <c r="CD19" i="1"/>
  <c r="CB19" i="1"/>
  <c r="BZ19" i="1"/>
  <c r="BX19" i="1"/>
  <c r="BV19" i="1"/>
  <c r="BT19" i="1"/>
  <c r="BR19" i="1"/>
  <c r="BP19" i="1"/>
  <c r="BN19" i="1"/>
  <c r="BL19" i="1"/>
  <c r="BJ19" i="1"/>
  <c r="BH19" i="1"/>
  <c r="CF19" i="1" s="1"/>
  <c r="BE19" i="1"/>
  <c r="BF19" i="1" s="1"/>
  <c r="BD19" i="1"/>
  <c r="BB19" i="1"/>
  <c r="AZ19" i="1"/>
  <c r="AX19" i="1"/>
  <c r="AV19" i="1"/>
  <c r="AT19" i="1"/>
  <c r="AR19" i="1"/>
  <c r="AP19" i="1"/>
  <c r="AN19" i="1"/>
  <c r="AL19" i="1"/>
  <c r="AJ19" i="1"/>
  <c r="AH19" i="1"/>
  <c r="AE19" i="1"/>
  <c r="AF19" i="1" s="1"/>
  <c r="AD19" i="1"/>
  <c r="AB19" i="1"/>
  <c r="Z19" i="1"/>
  <c r="X19" i="1"/>
  <c r="V19" i="1"/>
  <c r="T19" i="1"/>
  <c r="R19" i="1"/>
  <c r="P19" i="1"/>
  <c r="N19" i="1"/>
  <c r="L19" i="1"/>
  <c r="J19" i="1"/>
  <c r="H19" i="1"/>
  <c r="DK18" i="1"/>
  <c r="DM18" i="1" s="1"/>
  <c r="DJ18" i="1"/>
  <c r="DH18" i="1"/>
  <c r="DF18" i="1"/>
  <c r="DD18" i="1"/>
  <c r="DB18" i="1"/>
  <c r="CZ18" i="1"/>
  <c r="CX18" i="1"/>
  <c r="CV18" i="1"/>
  <c r="CT18" i="1"/>
  <c r="CR18" i="1"/>
  <c r="CP18" i="1"/>
  <c r="CN18" i="1"/>
  <c r="CJ18" i="1"/>
  <c r="CD18" i="1"/>
  <c r="CB18" i="1"/>
  <c r="BZ18" i="1"/>
  <c r="BX18" i="1"/>
  <c r="BV18" i="1"/>
  <c r="BT18" i="1"/>
  <c r="BR18" i="1"/>
  <c r="BP18" i="1"/>
  <c r="BN18" i="1"/>
  <c r="BL18" i="1"/>
  <c r="BJ18" i="1"/>
  <c r="BH18" i="1"/>
  <c r="BE18" i="1"/>
  <c r="BF18" i="1" s="1"/>
  <c r="BD18" i="1"/>
  <c r="BB18" i="1"/>
  <c r="AZ18" i="1"/>
  <c r="AX18" i="1"/>
  <c r="AV18" i="1"/>
  <c r="AT18" i="1"/>
  <c r="AR18" i="1"/>
  <c r="AP18" i="1"/>
  <c r="AN18" i="1"/>
  <c r="AL18" i="1"/>
  <c r="AJ18" i="1"/>
  <c r="AH18" i="1"/>
  <c r="AE18" i="1"/>
  <c r="AF18" i="1" s="1"/>
  <c r="AD18" i="1"/>
  <c r="AB18" i="1"/>
  <c r="Z18" i="1"/>
  <c r="X18" i="1"/>
  <c r="V18" i="1"/>
  <c r="T18" i="1"/>
  <c r="R18" i="1"/>
  <c r="P18" i="1"/>
  <c r="N18" i="1"/>
  <c r="L18" i="1"/>
  <c r="J18" i="1"/>
  <c r="H18" i="1"/>
  <c r="DK17" i="1"/>
  <c r="DM17" i="1" s="1"/>
  <c r="DJ17" i="1"/>
  <c r="DH17" i="1"/>
  <c r="DF17" i="1"/>
  <c r="DD17" i="1"/>
  <c r="DB17" i="1"/>
  <c r="CZ17" i="1"/>
  <c r="CX17" i="1"/>
  <c r="CV17" i="1"/>
  <c r="CT17" i="1"/>
  <c r="CR17" i="1"/>
  <c r="CP17" i="1"/>
  <c r="CN17" i="1"/>
  <c r="CJ17" i="1"/>
  <c r="CD17" i="1"/>
  <c r="CB17" i="1"/>
  <c r="BZ17" i="1"/>
  <c r="BX17" i="1"/>
  <c r="BV17" i="1"/>
  <c r="BT17" i="1"/>
  <c r="BR17" i="1"/>
  <c r="BP17" i="1"/>
  <c r="BN17" i="1"/>
  <c r="BL17" i="1"/>
  <c r="BJ17" i="1"/>
  <c r="BH17" i="1"/>
  <c r="BE17" i="1"/>
  <c r="BF17" i="1" s="1"/>
  <c r="BD17" i="1"/>
  <c r="BB17" i="1"/>
  <c r="AZ17" i="1"/>
  <c r="AX17" i="1"/>
  <c r="AV17" i="1"/>
  <c r="AT17" i="1"/>
  <c r="AR17" i="1"/>
  <c r="AP17" i="1"/>
  <c r="AN17" i="1"/>
  <c r="AL17" i="1"/>
  <c r="AJ17" i="1"/>
  <c r="AH17" i="1"/>
  <c r="AE17" i="1"/>
  <c r="AF17" i="1" s="1"/>
  <c r="AD17" i="1"/>
  <c r="AB17" i="1"/>
  <c r="Z17" i="1"/>
  <c r="X17" i="1"/>
  <c r="V17" i="1"/>
  <c r="T17" i="1"/>
  <c r="R17" i="1"/>
  <c r="P17" i="1"/>
  <c r="N17" i="1"/>
  <c r="L17" i="1"/>
  <c r="J17" i="1"/>
  <c r="H17" i="1"/>
  <c r="DK16" i="1"/>
  <c r="DM16" i="1" s="1"/>
  <c r="DJ16" i="1"/>
  <c r="DH16" i="1"/>
  <c r="DF16" i="1"/>
  <c r="DD16" i="1"/>
  <c r="DB16" i="1"/>
  <c r="CZ16" i="1"/>
  <c r="CX16" i="1"/>
  <c r="CV16" i="1"/>
  <c r="CT16" i="1"/>
  <c r="CR16" i="1"/>
  <c r="CP16" i="1"/>
  <c r="CN16" i="1"/>
  <c r="CJ16" i="1"/>
  <c r="CD16" i="1"/>
  <c r="CB16" i="1"/>
  <c r="BZ16" i="1"/>
  <c r="BX16" i="1"/>
  <c r="BV16" i="1"/>
  <c r="BT16" i="1"/>
  <c r="BR16" i="1"/>
  <c r="BP16" i="1"/>
  <c r="BN16" i="1"/>
  <c r="BL16" i="1"/>
  <c r="BJ16" i="1"/>
  <c r="BH16" i="1"/>
  <c r="BE16" i="1"/>
  <c r="BF16" i="1" s="1"/>
  <c r="BD16" i="1"/>
  <c r="BB16" i="1"/>
  <c r="AZ16" i="1"/>
  <c r="AX16" i="1"/>
  <c r="AV16" i="1"/>
  <c r="AT16" i="1"/>
  <c r="AR16" i="1"/>
  <c r="AP16" i="1"/>
  <c r="AN16" i="1"/>
  <c r="AL16" i="1"/>
  <c r="AJ16" i="1"/>
  <c r="AH16" i="1"/>
  <c r="AE16" i="1"/>
  <c r="AF16" i="1" s="1"/>
  <c r="AD16" i="1"/>
  <c r="AB16" i="1"/>
  <c r="Z16" i="1"/>
  <c r="X16" i="1"/>
  <c r="V16" i="1"/>
  <c r="T16" i="1"/>
  <c r="R16" i="1"/>
  <c r="P16" i="1"/>
  <c r="N16" i="1"/>
  <c r="L16" i="1"/>
  <c r="J16" i="1"/>
  <c r="H16" i="1"/>
  <c r="DK15" i="1"/>
  <c r="DM15" i="1" s="1"/>
  <c r="DJ15" i="1"/>
  <c r="DH15" i="1"/>
  <c r="DF15" i="1"/>
  <c r="DD15" i="1"/>
  <c r="DB15" i="1"/>
  <c r="CZ15" i="1"/>
  <c r="CX15" i="1"/>
  <c r="CV15" i="1"/>
  <c r="CT15" i="1"/>
  <c r="CR15" i="1"/>
  <c r="CP15" i="1"/>
  <c r="CN15" i="1"/>
  <c r="CJ15" i="1"/>
  <c r="CD15" i="1"/>
  <c r="CB15" i="1"/>
  <c r="BZ15" i="1"/>
  <c r="BX15" i="1"/>
  <c r="BV15" i="1"/>
  <c r="BT15" i="1"/>
  <c r="BR15" i="1"/>
  <c r="BP15" i="1"/>
  <c r="BN15" i="1"/>
  <c r="BL15" i="1"/>
  <c r="BJ15" i="1"/>
  <c r="BH15" i="1"/>
  <c r="BE15" i="1"/>
  <c r="BF15" i="1" s="1"/>
  <c r="BD15" i="1"/>
  <c r="BB15" i="1"/>
  <c r="AZ15" i="1"/>
  <c r="AX15" i="1"/>
  <c r="AV15" i="1"/>
  <c r="AT15" i="1"/>
  <c r="AR15" i="1"/>
  <c r="AP15" i="1"/>
  <c r="AN15" i="1"/>
  <c r="AL15" i="1"/>
  <c r="AJ15" i="1"/>
  <c r="AH15" i="1"/>
  <c r="AE15" i="1"/>
  <c r="AF15" i="1" s="1"/>
  <c r="AD15" i="1"/>
  <c r="AB15" i="1"/>
  <c r="Z15" i="1"/>
  <c r="X15" i="1"/>
  <c r="V15" i="1"/>
  <c r="T15" i="1"/>
  <c r="R15" i="1"/>
  <c r="P15" i="1"/>
  <c r="N15" i="1"/>
  <c r="L15" i="1"/>
  <c r="J15" i="1"/>
  <c r="H15" i="1"/>
  <c r="DK14" i="1"/>
  <c r="DM14" i="1" s="1"/>
  <c r="DJ14" i="1"/>
  <c r="DH14" i="1"/>
  <c r="DF14" i="1"/>
  <c r="DD14" i="1"/>
  <c r="DB14" i="1"/>
  <c r="CZ14" i="1"/>
  <c r="CX14" i="1"/>
  <c r="CV14" i="1"/>
  <c r="CT14" i="1"/>
  <c r="CR14" i="1"/>
  <c r="CP14" i="1"/>
  <c r="CN14" i="1"/>
  <c r="CJ14" i="1"/>
  <c r="CD14" i="1"/>
  <c r="CB14" i="1"/>
  <c r="BZ14" i="1"/>
  <c r="BX14" i="1"/>
  <c r="BV14" i="1"/>
  <c r="BT14" i="1"/>
  <c r="BR14" i="1"/>
  <c r="BP14" i="1"/>
  <c r="BN14" i="1"/>
  <c r="BL14" i="1"/>
  <c r="BJ14" i="1"/>
  <c r="BH14" i="1"/>
  <c r="BE14" i="1"/>
  <c r="BF14" i="1" s="1"/>
  <c r="BD14" i="1"/>
  <c r="BB14" i="1"/>
  <c r="AZ14" i="1"/>
  <c r="AX14" i="1"/>
  <c r="AV14" i="1"/>
  <c r="AT14" i="1"/>
  <c r="AR14" i="1"/>
  <c r="AP14" i="1"/>
  <c r="AN14" i="1"/>
  <c r="AL14" i="1"/>
  <c r="AJ14" i="1"/>
  <c r="AH14" i="1"/>
  <c r="AE14" i="1"/>
  <c r="AF14" i="1" s="1"/>
  <c r="AD14" i="1"/>
  <c r="AB14" i="1"/>
  <c r="Z14" i="1"/>
  <c r="X14" i="1"/>
  <c r="V14" i="1"/>
  <c r="T14" i="1"/>
  <c r="R14" i="1"/>
  <c r="P14" i="1"/>
  <c r="N14" i="1"/>
  <c r="L14" i="1"/>
  <c r="J14" i="1"/>
  <c r="H14" i="1"/>
  <c r="DK13" i="1"/>
  <c r="DM13" i="1" s="1"/>
  <c r="DJ13" i="1"/>
  <c r="DH13" i="1"/>
  <c r="DF13" i="1"/>
  <c r="DD13" i="1"/>
  <c r="DB13" i="1"/>
  <c r="CZ13" i="1"/>
  <c r="CX13" i="1"/>
  <c r="CV13" i="1"/>
  <c r="CT13" i="1"/>
  <c r="CR13" i="1"/>
  <c r="CP13" i="1"/>
  <c r="CN13" i="1"/>
  <c r="CJ13" i="1"/>
  <c r="CD13" i="1"/>
  <c r="CB13" i="1"/>
  <c r="BZ13" i="1"/>
  <c r="BX13" i="1"/>
  <c r="BV13" i="1"/>
  <c r="BT13" i="1"/>
  <c r="BR13" i="1"/>
  <c r="BP13" i="1"/>
  <c r="BN13" i="1"/>
  <c r="BL13" i="1"/>
  <c r="BJ13" i="1"/>
  <c r="BH13" i="1"/>
  <c r="CF13" i="1" s="1"/>
  <c r="BE13" i="1"/>
  <c r="BF13" i="1" s="1"/>
  <c r="BD13" i="1"/>
  <c r="BB13" i="1"/>
  <c r="AZ13" i="1"/>
  <c r="AX13" i="1"/>
  <c r="AV13" i="1"/>
  <c r="AT13" i="1"/>
  <c r="AR13" i="1"/>
  <c r="AP13" i="1"/>
  <c r="AN13" i="1"/>
  <c r="AL13" i="1"/>
  <c r="AJ13" i="1"/>
  <c r="AH13" i="1"/>
  <c r="AE13" i="1"/>
  <c r="AF13" i="1" s="1"/>
  <c r="AD13" i="1"/>
  <c r="AB13" i="1"/>
  <c r="Z13" i="1"/>
  <c r="X13" i="1"/>
  <c r="V13" i="1"/>
  <c r="T13" i="1"/>
  <c r="R13" i="1"/>
  <c r="P13" i="1"/>
  <c r="N13" i="1"/>
  <c r="L13" i="1"/>
  <c r="J13" i="1"/>
  <c r="H13" i="1"/>
  <c r="DK12" i="1"/>
  <c r="DM12" i="1" s="1"/>
  <c r="DJ12" i="1"/>
  <c r="DH12" i="1"/>
  <c r="DF12" i="1"/>
  <c r="DD12" i="1"/>
  <c r="DB12" i="1"/>
  <c r="CZ12" i="1"/>
  <c r="CX12" i="1"/>
  <c r="CV12" i="1"/>
  <c r="CT12" i="1"/>
  <c r="CR12" i="1"/>
  <c r="CP12" i="1"/>
  <c r="CN12" i="1"/>
  <c r="CJ12" i="1"/>
  <c r="CD12" i="1"/>
  <c r="CB12" i="1"/>
  <c r="BZ12" i="1"/>
  <c r="BX12" i="1"/>
  <c r="BV12" i="1"/>
  <c r="BT12" i="1"/>
  <c r="BR12" i="1"/>
  <c r="BP12" i="1"/>
  <c r="BN12" i="1"/>
  <c r="BL12" i="1"/>
  <c r="BJ12" i="1"/>
  <c r="BH12" i="1"/>
  <c r="BE12" i="1"/>
  <c r="BF12" i="1" s="1"/>
  <c r="BD12" i="1"/>
  <c r="BB12" i="1"/>
  <c r="AZ12" i="1"/>
  <c r="AX12" i="1"/>
  <c r="AV12" i="1"/>
  <c r="AT12" i="1"/>
  <c r="AR12" i="1"/>
  <c r="AP12" i="1"/>
  <c r="AN12" i="1"/>
  <c r="AL12" i="1"/>
  <c r="AJ12" i="1"/>
  <c r="AH12" i="1"/>
  <c r="AE12" i="1"/>
  <c r="AF12" i="1" s="1"/>
  <c r="AD12" i="1"/>
  <c r="AB12" i="1"/>
  <c r="Z12" i="1"/>
  <c r="X12" i="1"/>
  <c r="V12" i="1"/>
  <c r="T12" i="1"/>
  <c r="R12" i="1"/>
  <c r="P12" i="1"/>
  <c r="N12" i="1"/>
  <c r="L12" i="1"/>
  <c r="J12" i="1"/>
  <c r="H12" i="1"/>
  <c r="DK11" i="1"/>
  <c r="DM11" i="1" s="1"/>
  <c r="DJ11" i="1"/>
  <c r="DH11" i="1"/>
  <c r="DF11" i="1"/>
  <c r="DD11" i="1"/>
  <c r="DB11" i="1"/>
  <c r="CZ11" i="1"/>
  <c r="CX11" i="1"/>
  <c r="CV11" i="1"/>
  <c r="CT11" i="1"/>
  <c r="CR11" i="1"/>
  <c r="CP11" i="1"/>
  <c r="CN11" i="1"/>
  <c r="CJ11" i="1"/>
  <c r="CD11" i="1"/>
  <c r="CB11" i="1"/>
  <c r="BZ11" i="1"/>
  <c r="BX11" i="1"/>
  <c r="BV11" i="1"/>
  <c r="BT11" i="1"/>
  <c r="BR11" i="1"/>
  <c r="BP11" i="1"/>
  <c r="BN11" i="1"/>
  <c r="BL11" i="1"/>
  <c r="BJ11" i="1"/>
  <c r="BH11" i="1"/>
  <c r="BE11" i="1"/>
  <c r="BF11" i="1" s="1"/>
  <c r="BD11" i="1"/>
  <c r="BB11" i="1"/>
  <c r="AZ11" i="1"/>
  <c r="AX11" i="1"/>
  <c r="AV11" i="1"/>
  <c r="AT11" i="1"/>
  <c r="AR11" i="1"/>
  <c r="AP11" i="1"/>
  <c r="AN11" i="1"/>
  <c r="AL11" i="1"/>
  <c r="AJ11" i="1"/>
  <c r="AH11" i="1"/>
  <c r="AE11" i="1"/>
  <c r="AF11" i="1" s="1"/>
  <c r="AD11" i="1"/>
  <c r="AB11" i="1"/>
  <c r="Z11" i="1"/>
  <c r="X11" i="1"/>
  <c r="V11" i="1"/>
  <c r="T11" i="1"/>
  <c r="R11" i="1"/>
  <c r="P11" i="1"/>
  <c r="N11" i="1"/>
  <c r="L11" i="1"/>
  <c r="J11" i="1"/>
  <c r="H11" i="1"/>
  <c r="DK10" i="1"/>
  <c r="DM10" i="1" s="1"/>
  <c r="DJ10" i="1"/>
  <c r="DH10" i="1"/>
  <c r="DF10" i="1"/>
  <c r="DD10" i="1"/>
  <c r="DB10" i="1"/>
  <c r="CZ10" i="1"/>
  <c r="CX10" i="1"/>
  <c r="CV10" i="1"/>
  <c r="CT10" i="1"/>
  <c r="CR10" i="1"/>
  <c r="CP10" i="1"/>
  <c r="CN10" i="1"/>
  <c r="CJ10" i="1"/>
  <c r="CD10" i="1"/>
  <c r="CB10" i="1"/>
  <c r="BZ10" i="1"/>
  <c r="BX10" i="1"/>
  <c r="BV10" i="1"/>
  <c r="BT10" i="1"/>
  <c r="BR10" i="1"/>
  <c r="BP10" i="1"/>
  <c r="BN10" i="1"/>
  <c r="BL10" i="1"/>
  <c r="BJ10" i="1"/>
  <c r="BH10" i="1"/>
  <c r="BE10" i="1"/>
  <c r="BF10" i="1" s="1"/>
  <c r="BD10" i="1"/>
  <c r="BB10" i="1"/>
  <c r="AZ10" i="1"/>
  <c r="AX10" i="1"/>
  <c r="AV10" i="1"/>
  <c r="AT10" i="1"/>
  <c r="AR10" i="1"/>
  <c r="AP10" i="1"/>
  <c r="AN10" i="1"/>
  <c r="AL10" i="1"/>
  <c r="AJ10" i="1"/>
  <c r="AH10" i="1"/>
  <c r="AE10" i="1"/>
  <c r="AF10" i="1" s="1"/>
  <c r="AD10" i="1"/>
  <c r="AB10" i="1"/>
  <c r="Z10" i="1"/>
  <c r="X10" i="1"/>
  <c r="V10" i="1"/>
  <c r="T10" i="1"/>
  <c r="R10" i="1"/>
  <c r="P10" i="1"/>
  <c r="N10" i="1"/>
  <c r="L10" i="1"/>
  <c r="J10" i="1"/>
  <c r="H10" i="1"/>
  <c r="DK9" i="1"/>
  <c r="DM9" i="1" s="1"/>
  <c r="DJ9" i="1"/>
  <c r="DH9" i="1"/>
  <c r="DF9" i="1"/>
  <c r="DD9" i="1"/>
  <c r="DB9" i="1"/>
  <c r="CZ9" i="1"/>
  <c r="CX9" i="1"/>
  <c r="CV9" i="1"/>
  <c r="CT9" i="1"/>
  <c r="CR9" i="1"/>
  <c r="CP9" i="1"/>
  <c r="CN9" i="1"/>
  <c r="CJ9" i="1"/>
  <c r="CD9" i="1"/>
  <c r="CB9" i="1"/>
  <c r="BZ9" i="1"/>
  <c r="BX9" i="1"/>
  <c r="BV9" i="1"/>
  <c r="BT9" i="1"/>
  <c r="BR9" i="1"/>
  <c r="BP9" i="1"/>
  <c r="BN9" i="1"/>
  <c r="BL9" i="1"/>
  <c r="BJ9" i="1"/>
  <c r="BH9" i="1"/>
  <c r="BE9" i="1"/>
  <c r="BF9" i="1" s="1"/>
  <c r="BD9" i="1"/>
  <c r="BB9" i="1"/>
  <c r="AZ9" i="1"/>
  <c r="AX9" i="1"/>
  <c r="AV9" i="1"/>
  <c r="AT9" i="1"/>
  <c r="AR9" i="1"/>
  <c r="AP9" i="1"/>
  <c r="AN9" i="1"/>
  <c r="AL9" i="1"/>
  <c r="AJ9" i="1"/>
  <c r="AH9" i="1"/>
  <c r="AE9" i="1"/>
  <c r="AF9" i="1" s="1"/>
  <c r="AD9" i="1"/>
  <c r="AB9" i="1"/>
  <c r="Z9" i="1"/>
  <c r="X9" i="1"/>
  <c r="V9" i="1"/>
  <c r="T9" i="1"/>
  <c r="R9" i="1"/>
  <c r="P9" i="1"/>
  <c r="N9" i="1"/>
  <c r="L9" i="1"/>
  <c r="J9" i="1"/>
  <c r="H9" i="1"/>
  <c r="DK8" i="1"/>
  <c r="DM8" i="1" s="1"/>
  <c r="DJ8" i="1"/>
  <c r="DH8" i="1"/>
  <c r="DF8" i="1"/>
  <c r="DD8" i="1"/>
  <c r="DB8" i="1"/>
  <c r="CZ8" i="1"/>
  <c r="CX8" i="1"/>
  <c r="CV8" i="1"/>
  <c r="CT8" i="1"/>
  <c r="CR8" i="1"/>
  <c r="CP8" i="1"/>
  <c r="CN8" i="1"/>
  <c r="CJ8" i="1"/>
  <c r="CD8" i="1"/>
  <c r="CB8" i="1"/>
  <c r="BZ8" i="1"/>
  <c r="BX8" i="1"/>
  <c r="BV8" i="1"/>
  <c r="BT8" i="1"/>
  <c r="BR8" i="1"/>
  <c r="BP8" i="1"/>
  <c r="BN8" i="1"/>
  <c r="BL8" i="1"/>
  <c r="BJ8" i="1"/>
  <c r="BH8" i="1"/>
  <c r="BE8" i="1"/>
  <c r="BF8" i="1" s="1"/>
  <c r="BD8" i="1"/>
  <c r="BB8" i="1"/>
  <c r="AZ8" i="1"/>
  <c r="AX8" i="1"/>
  <c r="AV8" i="1"/>
  <c r="AT8" i="1"/>
  <c r="AR8" i="1"/>
  <c r="AP8" i="1"/>
  <c r="AN8" i="1"/>
  <c r="AL8" i="1"/>
  <c r="AJ8" i="1"/>
  <c r="AH8" i="1"/>
  <c r="AE8" i="1"/>
  <c r="AF8" i="1" s="1"/>
  <c r="AD8" i="1"/>
  <c r="AB8" i="1"/>
  <c r="Z8" i="1"/>
  <c r="X8" i="1"/>
  <c r="V8" i="1"/>
  <c r="T8" i="1"/>
  <c r="R8" i="1"/>
  <c r="P8" i="1"/>
  <c r="N8" i="1"/>
  <c r="L8" i="1"/>
  <c r="J8" i="1"/>
  <c r="H8" i="1"/>
  <c r="DJ7" i="1"/>
  <c r="DH7" i="1"/>
  <c r="DF7" i="1"/>
  <c r="DD7" i="1"/>
  <c r="DB7" i="1"/>
  <c r="CZ7" i="1"/>
  <c r="CX7" i="1"/>
  <c r="CV7" i="1"/>
  <c r="CT7" i="1"/>
  <c r="CR7" i="1"/>
  <c r="CP7" i="1"/>
  <c r="CN7" i="1"/>
  <c r="CJ7" i="1"/>
  <c r="CD7" i="1"/>
  <c r="CB7" i="1"/>
  <c r="BZ7" i="1"/>
  <c r="BX7" i="1"/>
  <c r="BV7" i="1"/>
  <c r="BT7" i="1"/>
  <c r="BR7" i="1"/>
  <c r="BP7" i="1"/>
  <c r="BN7" i="1"/>
  <c r="BL7" i="1"/>
  <c r="BJ7" i="1"/>
  <c r="BH7" i="1"/>
  <c r="BE7" i="1"/>
  <c r="BF7" i="1" s="1"/>
  <c r="BD7" i="1"/>
  <c r="BB7" i="1"/>
  <c r="AZ7" i="1"/>
  <c r="AX7" i="1"/>
  <c r="AV7" i="1"/>
  <c r="AT7" i="1"/>
  <c r="AR7" i="1"/>
  <c r="AP7" i="1"/>
  <c r="AN7" i="1"/>
  <c r="AL7" i="1"/>
  <c r="AJ7" i="1"/>
  <c r="AH7" i="1"/>
  <c r="AE7" i="1"/>
  <c r="AF7" i="1" s="1"/>
  <c r="AD7" i="1"/>
  <c r="AB7" i="1"/>
  <c r="Z7" i="1"/>
  <c r="X7" i="1"/>
  <c r="V7" i="1"/>
  <c r="T7" i="1"/>
  <c r="R7" i="1"/>
  <c r="P7" i="1"/>
  <c r="N7" i="1"/>
  <c r="L7" i="1"/>
  <c r="J7" i="1"/>
  <c r="H7" i="1"/>
  <c r="DK6" i="1"/>
  <c r="DM6" i="1" s="1"/>
  <c r="DJ6" i="1"/>
  <c r="DH6" i="1"/>
  <c r="DF6" i="1"/>
  <c r="DD6" i="1"/>
  <c r="DB6" i="1"/>
  <c r="CZ6" i="1"/>
  <c r="CX6" i="1"/>
  <c r="CV6" i="1"/>
  <c r="CT6" i="1"/>
  <c r="CR6" i="1"/>
  <c r="CP6" i="1"/>
  <c r="CN6" i="1"/>
  <c r="CJ6" i="1"/>
  <c r="CD6" i="1"/>
  <c r="CB6" i="1"/>
  <c r="BZ6" i="1"/>
  <c r="BX6" i="1"/>
  <c r="BV6" i="1"/>
  <c r="BT6" i="1"/>
  <c r="BR6" i="1"/>
  <c r="BP6" i="1"/>
  <c r="BN6" i="1"/>
  <c r="BL6" i="1"/>
  <c r="BJ6" i="1"/>
  <c r="BH6" i="1"/>
  <c r="BE6" i="1"/>
  <c r="BF6" i="1" s="1"/>
  <c r="BD6" i="1"/>
  <c r="BB6" i="1"/>
  <c r="AZ6" i="1"/>
  <c r="AX6" i="1"/>
  <c r="AV6" i="1"/>
  <c r="AT6" i="1"/>
  <c r="AR6" i="1"/>
  <c r="AP6" i="1"/>
  <c r="AN6" i="1"/>
  <c r="AL6" i="1"/>
  <c r="AJ6" i="1"/>
  <c r="AH6" i="1"/>
  <c r="AE6" i="1"/>
  <c r="AF6" i="1" s="1"/>
  <c r="AD6" i="1"/>
  <c r="AB6" i="1"/>
  <c r="Z6" i="1"/>
  <c r="X6" i="1"/>
  <c r="V6" i="1"/>
  <c r="T6" i="1"/>
  <c r="R6" i="1"/>
  <c r="P6" i="1"/>
  <c r="N6" i="1"/>
  <c r="L6" i="1"/>
  <c r="J6" i="1"/>
  <c r="H6" i="1"/>
  <c r="DK5" i="1"/>
  <c r="DM5" i="1" s="1"/>
  <c r="DJ5" i="1"/>
  <c r="DH5" i="1"/>
  <c r="DF5" i="1"/>
  <c r="DD5" i="1"/>
  <c r="DB5" i="1"/>
  <c r="CZ5" i="1"/>
  <c r="CX5" i="1"/>
  <c r="CV5" i="1"/>
  <c r="CT5" i="1"/>
  <c r="CR5" i="1"/>
  <c r="CP5" i="1"/>
  <c r="CN5" i="1"/>
  <c r="CJ5" i="1"/>
  <c r="CD5" i="1"/>
  <c r="CB5" i="1"/>
  <c r="BZ5" i="1"/>
  <c r="BX5" i="1"/>
  <c r="BV5" i="1"/>
  <c r="BT5" i="1"/>
  <c r="BR5" i="1"/>
  <c r="BP5" i="1"/>
  <c r="BN5" i="1"/>
  <c r="BL5" i="1"/>
  <c r="BJ5" i="1"/>
  <c r="BH5" i="1"/>
  <c r="BE5" i="1"/>
  <c r="BF5" i="1" s="1"/>
  <c r="BD5" i="1"/>
  <c r="BB5" i="1"/>
  <c r="AZ5" i="1"/>
  <c r="AX5" i="1"/>
  <c r="AV5" i="1"/>
  <c r="AT5" i="1"/>
  <c r="AR5" i="1"/>
  <c r="AP5" i="1"/>
  <c r="AN5" i="1"/>
  <c r="AL5" i="1"/>
  <c r="AJ5" i="1"/>
  <c r="AH5" i="1"/>
  <c r="AE5" i="1"/>
  <c r="AF5" i="1" s="1"/>
  <c r="AD5" i="1"/>
  <c r="AB5" i="1"/>
  <c r="Z5" i="1"/>
  <c r="X5" i="1"/>
  <c r="V5" i="1"/>
  <c r="T5" i="1"/>
  <c r="R5" i="1"/>
  <c r="P5" i="1"/>
  <c r="N5" i="1"/>
  <c r="L5" i="1"/>
  <c r="J5" i="1"/>
  <c r="H5" i="1"/>
  <c r="DK4" i="1"/>
  <c r="DM4" i="1" s="1"/>
  <c r="DJ4" i="1"/>
  <c r="DH4" i="1"/>
  <c r="DF4" i="1"/>
  <c r="DD4" i="1"/>
  <c r="DB4" i="1"/>
  <c r="CZ4" i="1"/>
  <c r="CX4" i="1"/>
  <c r="CV4" i="1"/>
  <c r="CT4" i="1"/>
  <c r="CR4" i="1"/>
  <c r="CP4" i="1"/>
  <c r="CN4" i="1"/>
  <c r="CD4" i="1"/>
  <c r="CB4" i="1"/>
  <c r="BZ4" i="1"/>
  <c r="BX4" i="1"/>
  <c r="BV4" i="1"/>
  <c r="BT4" i="1"/>
  <c r="BR4" i="1"/>
  <c r="BP4" i="1"/>
  <c r="BN4" i="1"/>
  <c r="BL4" i="1"/>
  <c r="BJ4" i="1"/>
  <c r="BH4" i="1"/>
  <c r="CF4" i="1" s="1"/>
  <c r="BE4" i="1"/>
  <c r="BD4" i="1"/>
  <c r="BB4" i="1"/>
  <c r="AZ4" i="1"/>
  <c r="AX4" i="1"/>
  <c r="AV4" i="1"/>
  <c r="AT4" i="1"/>
  <c r="AR4" i="1"/>
  <c r="AP4" i="1"/>
  <c r="AN4" i="1"/>
  <c r="AL4" i="1"/>
  <c r="AJ4" i="1"/>
  <c r="AH4" i="1"/>
  <c r="AE4" i="1"/>
  <c r="AF4" i="1" s="1"/>
  <c r="AD4" i="1"/>
  <c r="AB4" i="1"/>
  <c r="Z4" i="1"/>
  <c r="X4" i="1"/>
  <c r="V4" i="1"/>
  <c r="T4" i="1"/>
  <c r="R4" i="1"/>
  <c r="P4" i="1"/>
  <c r="N4" i="1"/>
  <c r="L4" i="1"/>
  <c r="J4" i="1"/>
  <c r="H4" i="1"/>
  <c r="CF11" i="1" l="1"/>
  <c r="CF17" i="1"/>
  <c r="CF23" i="1"/>
  <c r="CF15" i="1"/>
  <c r="CF21" i="1"/>
  <c r="CF39" i="1"/>
  <c r="DQ39" i="1" s="1"/>
  <c r="CF9" i="1"/>
  <c r="CF31" i="1"/>
  <c r="CF7" i="1"/>
  <c r="CF5" i="1"/>
  <c r="CF32" i="1"/>
  <c r="CF8" i="1"/>
  <c r="CF10" i="1"/>
  <c r="CF12" i="1"/>
  <c r="CF14" i="1"/>
  <c r="CF16" i="1"/>
  <c r="CF18" i="1"/>
  <c r="CF20" i="1"/>
  <c r="CF22" i="1"/>
  <c r="CF24" i="1"/>
  <c r="CF30" i="1"/>
  <c r="CF33" i="1"/>
  <c r="CF6" i="1"/>
  <c r="CF45" i="1"/>
  <c r="DQ45" i="1" s="1"/>
  <c r="CF42" i="1"/>
  <c r="DQ42" i="1" s="1"/>
  <c r="CF47" i="1"/>
  <c r="DQ47" i="1" s="1"/>
  <c r="CF44" i="1"/>
  <c r="DQ44" i="1" s="1"/>
  <c r="CF41" i="1"/>
  <c r="DQ41" i="1" s="1"/>
  <c r="CF49" i="1"/>
  <c r="DQ49" i="1" s="1"/>
  <c r="CF38" i="1"/>
  <c r="DQ38" i="1" s="1"/>
  <c r="CF46" i="1"/>
  <c r="DQ46" i="1" s="1"/>
  <c r="CF43" i="1"/>
  <c r="DQ43" i="1" s="1"/>
  <c r="CF40" i="1"/>
  <c r="DQ40" i="1" s="1"/>
  <c r="CF48" i="1"/>
  <c r="DQ48" i="1" s="1"/>
  <c r="G52" i="1"/>
  <c r="BW52" i="1"/>
  <c r="CS52" i="1"/>
  <c r="DI52" i="1"/>
  <c r="BO52" i="1"/>
  <c r="CI52" i="1"/>
  <c r="DA52" i="1"/>
  <c r="CW52" i="1"/>
  <c r="CE51" i="1"/>
  <c r="BK52" i="1"/>
  <c r="I52" i="1"/>
  <c r="AQ52" i="1"/>
  <c r="BI52" i="1"/>
  <c r="BY52" i="1"/>
  <c r="M52" i="1"/>
  <c r="AC52" i="1"/>
  <c r="BM52" i="1"/>
  <c r="CC52" i="1"/>
  <c r="DL31" i="1"/>
  <c r="DN31" i="1" s="1"/>
  <c r="DL30" i="1"/>
  <c r="DN30" i="1" s="1"/>
  <c r="Q52" i="1"/>
  <c r="AI52" i="1"/>
  <c r="AY52" i="1"/>
  <c r="BQ52" i="1"/>
  <c r="CM52" i="1"/>
  <c r="DC52" i="1"/>
  <c r="BS52" i="1"/>
  <c r="CO52" i="1"/>
  <c r="DE52" i="1"/>
  <c r="U52" i="1"/>
  <c r="AM52" i="1"/>
  <c r="BC52" i="1"/>
  <c r="BU52" i="1"/>
  <c r="DL49" i="1"/>
  <c r="CU52" i="1"/>
  <c r="DL48" i="1"/>
  <c r="CQ52" i="1"/>
  <c r="CY52" i="1"/>
  <c r="DG52" i="1"/>
  <c r="L51" i="1"/>
  <c r="AR51" i="1"/>
  <c r="CZ51" i="1"/>
  <c r="V51" i="1"/>
  <c r="CT51" i="1"/>
  <c r="DB51" i="1"/>
  <c r="DJ51" i="1"/>
  <c r="DL43" i="1"/>
  <c r="CN51" i="1"/>
  <c r="DL40" i="1"/>
  <c r="DL44" i="1"/>
  <c r="DL45" i="1"/>
  <c r="DL46" i="1"/>
  <c r="AP51" i="1"/>
  <c r="BN51" i="1"/>
  <c r="CP51" i="1"/>
  <c r="CX51" i="1"/>
  <c r="DF51" i="1"/>
  <c r="DL42" i="1"/>
  <c r="CV36" i="1"/>
  <c r="DL6" i="1"/>
  <c r="DN6" i="1" s="1"/>
  <c r="DL5" i="1"/>
  <c r="DN5" i="1" s="1"/>
  <c r="DL24" i="1"/>
  <c r="DN24" i="1" s="1"/>
  <c r="DL33" i="1"/>
  <c r="DN33" i="1" s="1"/>
  <c r="DL35" i="1"/>
  <c r="DN35" i="1" s="1"/>
  <c r="DL14" i="1"/>
  <c r="DN14" i="1" s="1"/>
  <c r="DL16" i="1"/>
  <c r="DN16" i="1" s="1"/>
  <c r="DL32" i="1"/>
  <c r="DN32" i="1" s="1"/>
  <c r="DL17" i="1"/>
  <c r="DN17" i="1" s="1"/>
  <c r="DL20" i="1"/>
  <c r="DN20" i="1" s="1"/>
  <c r="BV36" i="1"/>
  <c r="DL7" i="1"/>
  <c r="DN7" i="1" s="1"/>
  <c r="DL9" i="1"/>
  <c r="DN9" i="1" s="1"/>
  <c r="DL12" i="1"/>
  <c r="DN12" i="1" s="1"/>
  <c r="DL21" i="1"/>
  <c r="DN21" i="1" s="1"/>
  <c r="DH36" i="1"/>
  <c r="DL8" i="1"/>
  <c r="DN8" i="1" s="1"/>
  <c r="DL11" i="1"/>
  <c r="DN11" i="1" s="1"/>
  <c r="DL15" i="1"/>
  <c r="DN15" i="1" s="1"/>
  <c r="DL22" i="1"/>
  <c r="DN22" i="1" s="1"/>
  <c r="CA52" i="1"/>
  <c r="CJ51" i="1"/>
  <c r="CB51" i="1"/>
  <c r="BZ51" i="1"/>
  <c r="BX51" i="1"/>
  <c r="BT51" i="1"/>
  <c r="BP51" i="1"/>
  <c r="BL51" i="1"/>
  <c r="BG52" i="1"/>
  <c r="BH51" i="1"/>
  <c r="CG51" i="1"/>
  <c r="BJ36" i="1"/>
  <c r="DL13" i="1"/>
  <c r="DN13" i="1" s="1"/>
  <c r="BD51" i="1"/>
  <c r="BB51" i="1"/>
  <c r="BA52" i="1"/>
  <c r="AX51" i="1"/>
  <c r="AW52" i="1"/>
  <c r="AU52" i="1"/>
  <c r="AT51" i="1"/>
  <c r="AS52" i="1"/>
  <c r="AO52" i="1"/>
  <c r="AL51" i="1"/>
  <c r="AK52" i="1"/>
  <c r="AH51" i="1"/>
  <c r="BE51" i="1"/>
  <c r="AG52" i="1"/>
  <c r="BF38" i="1"/>
  <c r="BF51" i="1" s="1"/>
  <c r="AN36" i="1"/>
  <c r="AZ36" i="1"/>
  <c r="AB51" i="1"/>
  <c r="X51" i="1"/>
  <c r="T51" i="1"/>
  <c r="P51" i="1"/>
  <c r="J51" i="1"/>
  <c r="AA52" i="1"/>
  <c r="Y52" i="1"/>
  <c r="S52" i="1"/>
  <c r="O52" i="1"/>
  <c r="R36" i="1"/>
  <c r="AD36" i="1"/>
  <c r="H51" i="1"/>
  <c r="AE51" i="1"/>
  <c r="AF38" i="1"/>
  <c r="AF51" i="1" s="1"/>
  <c r="H36" i="1"/>
  <c r="T36" i="1"/>
  <c r="AE36" i="1"/>
  <c r="AP36" i="1"/>
  <c r="BB36" i="1"/>
  <c r="BL36" i="1"/>
  <c r="BX36" i="1"/>
  <c r="CJ36" i="1"/>
  <c r="CX36" i="1"/>
  <c r="DJ36" i="1"/>
  <c r="DL23" i="1"/>
  <c r="DN23" i="1" s="1"/>
  <c r="V36" i="1"/>
  <c r="BD36" i="1"/>
  <c r="CZ36" i="1"/>
  <c r="J36" i="1"/>
  <c r="AF36" i="1"/>
  <c r="BN36" i="1"/>
  <c r="CN36" i="1"/>
  <c r="AH36" i="1"/>
  <c r="AT36" i="1"/>
  <c r="CB36" i="1"/>
  <c r="DL4" i="1"/>
  <c r="DN4" i="1" s="1"/>
  <c r="DL18" i="1"/>
  <c r="DN18" i="1" s="1"/>
  <c r="DL19" i="1"/>
  <c r="DN19" i="1" s="1"/>
  <c r="DL25" i="1"/>
  <c r="DN25" i="1" s="1"/>
  <c r="AR36" i="1"/>
  <c r="BZ36" i="1"/>
  <c r="DK36" i="1"/>
  <c r="DM36" i="1" s="1"/>
  <c r="L36" i="1"/>
  <c r="X36" i="1"/>
  <c r="BE36" i="1"/>
  <c r="BP36" i="1"/>
  <c r="CP36" i="1"/>
  <c r="DB36" i="1"/>
  <c r="N36" i="1"/>
  <c r="Z36" i="1"/>
  <c r="AJ36" i="1"/>
  <c r="AV36" i="1"/>
  <c r="BF4" i="1"/>
  <c r="BF36" i="1" s="1"/>
  <c r="BR36" i="1"/>
  <c r="CD36" i="1"/>
  <c r="CR36" i="1"/>
  <c r="DD36" i="1"/>
  <c r="P36" i="1"/>
  <c r="AB36" i="1"/>
  <c r="AL36" i="1"/>
  <c r="AX36" i="1"/>
  <c r="BH36" i="1"/>
  <c r="BT36" i="1"/>
  <c r="CG36" i="1"/>
  <c r="CT36" i="1"/>
  <c r="DF36" i="1"/>
  <c r="DL10" i="1"/>
  <c r="DN10" i="1" s="1"/>
  <c r="CR51" i="1"/>
  <c r="DD51" i="1"/>
  <c r="N51" i="1"/>
  <c r="Z51" i="1"/>
  <c r="AJ51" i="1"/>
  <c r="AV51" i="1"/>
  <c r="BR51" i="1"/>
  <c r="CD51" i="1"/>
  <c r="DL39" i="1"/>
  <c r="DL34" i="1"/>
  <c r="DN34" i="1" s="1"/>
  <c r="CH51" i="1"/>
  <c r="DR51" i="1" s="1"/>
  <c r="CV51" i="1"/>
  <c r="DH51" i="1"/>
  <c r="DL41" i="1"/>
  <c r="DL47" i="1"/>
  <c r="K52" i="1"/>
  <c r="W52" i="1"/>
  <c r="R51" i="1"/>
  <c r="AD51" i="1"/>
  <c r="AN51" i="1"/>
  <c r="AZ51" i="1"/>
  <c r="BJ51" i="1"/>
  <c r="BV51" i="1"/>
  <c r="DK51" i="1"/>
  <c r="DL38" i="1"/>
  <c r="CT52" i="1" l="1"/>
  <c r="CF36" i="1"/>
  <c r="DR11" i="1"/>
  <c r="DS11" i="1"/>
  <c r="DU11" i="1" s="1"/>
  <c r="DT11" i="1"/>
  <c r="DV11" i="1" s="1"/>
  <c r="DW11" i="1" s="1"/>
  <c r="DQ11" i="1"/>
  <c r="DS25" i="1"/>
  <c r="DU25" i="1" s="1"/>
  <c r="DT25" i="1"/>
  <c r="DV25" i="1" s="1"/>
  <c r="DW25" i="1" s="1"/>
  <c r="DQ25" i="1"/>
  <c r="DR25" i="1"/>
  <c r="DS13" i="1"/>
  <c r="DU13" i="1" s="1"/>
  <c r="DT13" i="1"/>
  <c r="DV13" i="1" s="1"/>
  <c r="DW13" i="1" s="1"/>
  <c r="DR13" i="1"/>
  <c r="DQ13" i="1"/>
  <c r="DS8" i="1"/>
  <c r="DU8" i="1" s="1"/>
  <c r="DT8" i="1"/>
  <c r="DV8" i="1" s="1"/>
  <c r="DW8" i="1" s="1"/>
  <c r="DQ8" i="1"/>
  <c r="DR8" i="1"/>
  <c r="DS17" i="1"/>
  <c r="DU17" i="1" s="1"/>
  <c r="DQ17" i="1"/>
  <c r="DR17" i="1"/>
  <c r="DT17" i="1"/>
  <c r="DV17" i="1" s="1"/>
  <c r="DW17" i="1" s="1"/>
  <c r="DQ6" i="1"/>
  <c r="DR6" i="1"/>
  <c r="DS6" i="1"/>
  <c r="DU6" i="1" s="1"/>
  <c r="DT6" i="1"/>
  <c r="DV6" i="1" s="1"/>
  <c r="DW6" i="1" s="1"/>
  <c r="DQ30" i="1"/>
  <c r="DT30" i="1"/>
  <c r="DV30" i="1" s="1"/>
  <c r="DW30" i="1" s="1"/>
  <c r="DR30" i="1"/>
  <c r="DS30" i="1"/>
  <c r="DU30" i="1" s="1"/>
  <c r="DQ18" i="1"/>
  <c r="DR18" i="1"/>
  <c r="DS18" i="1"/>
  <c r="DU18" i="1" s="1"/>
  <c r="DT18" i="1"/>
  <c r="DV18" i="1" s="1"/>
  <c r="DW18" i="1" s="1"/>
  <c r="DQ21" i="1"/>
  <c r="DS21" i="1"/>
  <c r="DU21" i="1" s="1"/>
  <c r="DT21" i="1"/>
  <c r="DV21" i="1" s="1"/>
  <c r="DW21" i="1" s="1"/>
  <c r="DR21" i="1"/>
  <c r="DS16" i="1"/>
  <c r="DU16" i="1" s="1"/>
  <c r="DT16" i="1"/>
  <c r="DV16" i="1" s="1"/>
  <c r="DW16" i="1" s="1"/>
  <c r="DQ16" i="1"/>
  <c r="DR16" i="1"/>
  <c r="DT31" i="1"/>
  <c r="DV31" i="1" s="1"/>
  <c r="DW31" i="1" s="1"/>
  <c r="DR31" i="1"/>
  <c r="DQ31" i="1"/>
  <c r="DS31" i="1"/>
  <c r="DU31" i="1" s="1"/>
  <c r="DQ4" i="1"/>
  <c r="DR4" i="1"/>
  <c r="DS4" i="1"/>
  <c r="DU4" i="1" s="1"/>
  <c r="DT4" i="1"/>
  <c r="DV4" i="1" s="1"/>
  <c r="DW4" i="1" s="1"/>
  <c r="DS12" i="1"/>
  <c r="DU12" i="1" s="1"/>
  <c r="DQ12" i="1"/>
  <c r="DR12" i="1"/>
  <c r="DT12" i="1"/>
  <c r="DV12" i="1" s="1"/>
  <c r="DW12" i="1" s="1"/>
  <c r="DQ14" i="1"/>
  <c r="DR14" i="1"/>
  <c r="DS14" i="1"/>
  <c r="DU14" i="1" s="1"/>
  <c r="DT14" i="1"/>
  <c r="DV14" i="1" s="1"/>
  <c r="DW14" i="1" s="1"/>
  <c r="DS5" i="1"/>
  <c r="DU5" i="1" s="1"/>
  <c r="DT5" i="1"/>
  <c r="DV5" i="1" s="1"/>
  <c r="DW5" i="1" s="1"/>
  <c r="DQ5" i="1"/>
  <c r="DR5" i="1"/>
  <c r="DS32" i="1"/>
  <c r="DU32" i="1" s="1"/>
  <c r="DT32" i="1"/>
  <c r="DV32" i="1" s="1"/>
  <c r="DW32" i="1" s="1"/>
  <c r="DQ32" i="1"/>
  <c r="DR32" i="1"/>
  <c r="DT34" i="1"/>
  <c r="DV34" i="1" s="1"/>
  <c r="DW34" i="1" s="1"/>
  <c r="DR34" i="1"/>
  <c r="DS34" i="1"/>
  <c r="DU34" i="1" s="1"/>
  <c r="DQ34" i="1"/>
  <c r="DT10" i="1"/>
  <c r="DV10" i="1" s="1"/>
  <c r="DW10" i="1" s="1"/>
  <c r="DR10" i="1"/>
  <c r="DS10" i="1"/>
  <c r="DU10" i="1" s="1"/>
  <c r="DQ10" i="1"/>
  <c r="DQ9" i="1"/>
  <c r="DS9" i="1"/>
  <c r="DU9" i="1" s="1"/>
  <c r="DR9" i="1"/>
  <c r="DT9" i="1"/>
  <c r="DV9" i="1" s="1"/>
  <c r="DW9" i="1" s="1"/>
  <c r="DS35" i="1"/>
  <c r="DU35" i="1" s="1"/>
  <c r="DR35" i="1"/>
  <c r="DT35" i="1"/>
  <c r="DV35" i="1" s="1"/>
  <c r="DW35" i="1" s="1"/>
  <c r="DQ35" i="1"/>
  <c r="DQ22" i="1"/>
  <c r="DR22" i="1"/>
  <c r="DS22" i="1"/>
  <c r="DU22" i="1" s="1"/>
  <c r="DT22" i="1"/>
  <c r="DV22" i="1" s="1"/>
  <c r="DW22" i="1" s="1"/>
  <c r="DR7" i="1"/>
  <c r="DQ7" i="1"/>
  <c r="DS7" i="1"/>
  <c r="DU7" i="1" s="1"/>
  <c r="DT7" i="1"/>
  <c r="DV7" i="1" s="1"/>
  <c r="DW7" i="1" s="1"/>
  <c r="DQ33" i="1"/>
  <c r="DR33" i="1"/>
  <c r="DS33" i="1"/>
  <c r="DU33" i="1" s="1"/>
  <c r="DT33" i="1"/>
  <c r="DV33" i="1" s="1"/>
  <c r="DW33" i="1" s="1"/>
  <c r="DT20" i="1"/>
  <c r="DV20" i="1" s="1"/>
  <c r="DW20" i="1" s="1"/>
  <c r="DQ20" i="1"/>
  <c r="DR20" i="1"/>
  <c r="DS20" i="1"/>
  <c r="DU20" i="1" s="1"/>
  <c r="DR19" i="1"/>
  <c r="DT19" i="1"/>
  <c r="DV19" i="1" s="1"/>
  <c r="DW19" i="1" s="1"/>
  <c r="DS19" i="1"/>
  <c r="DU19" i="1" s="1"/>
  <c r="DQ19" i="1"/>
  <c r="DR23" i="1"/>
  <c r="DS23" i="1"/>
  <c r="DU23" i="1" s="1"/>
  <c r="DT23" i="1"/>
  <c r="DV23" i="1" s="1"/>
  <c r="DW23" i="1" s="1"/>
  <c r="DQ23" i="1"/>
  <c r="DS15" i="1"/>
  <c r="DU15" i="1" s="1"/>
  <c r="DT15" i="1"/>
  <c r="DV15" i="1" s="1"/>
  <c r="DW15" i="1" s="1"/>
  <c r="DR15" i="1"/>
  <c r="DQ15" i="1"/>
  <c r="DS24" i="1"/>
  <c r="DU24" i="1" s="1"/>
  <c r="DQ24" i="1"/>
  <c r="DT24" i="1"/>
  <c r="DV24" i="1" s="1"/>
  <c r="DW24" i="1" s="1"/>
  <c r="DR24" i="1"/>
  <c r="CB52" i="1"/>
  <c r="DF52" i="1"/>
  <c r="CP52" i="1"/>
  <c r="P52" i="1"/>
  <c r="V52" i="1"/>
  <c r="BH52" i="1"/>
  <c r="AH52" i="1"/>
  <c r="DB52" i="1"/>
  <c r="CF51" i="1"/>
  <c r="DQ51" i="1" s="1"/>
  <c r="AX52" i="1"/>
  <c r="CE52" i="1"/>
  <c r="BP52" i="1"/>
  <c r="AB52" i="1"/>
  <c r="AL52" i="1"/>
  <c r="X52" i="1"/>
  <c r="L52" i="1"/>
  <c r="BB52" i="1"/>
  <c r="CN52" i="1"/>
  <c r="BX52" i="1"/>
  <c r="T52" i="1"/>
  <c r="R52" i="1"/>
  <c r="BT52" i="1"/>
  <c r="BN52" i="1"/>
  <c r="J52" i="1"/>
  <c r="CX52" i="1"/>
  <c r="AR52" i="1"/>
  <c r="CV52" i="1"/>
  <c r="BZ52" i="1"/>
  <c r="DJ52" i="1"/>
  <c r="BL52" i="1"/>
  <c r="CZ52" i="1"/>
  <c r="DH52" i="1"/>
  <c r="AP52" i="1"/>
  <c r="BD52" i="1"/>
  <c r="CJ52" i="1"/>
  <c r="DD52" i="1"/>
  <c r="BV52" i="1"/>
  <c r="AZ52" i="1"/>
  <c r="BJ52" i="1"/>
  <c r="DK52" i="1"/>
  <c r="CG52" i="1"/>
  <c r="AV52" i="1"/>
  <c r="AT52" i="1"/>
  <c r="BE52" i="1"/>
  <c r="AJ52" i="1"/>
  <c r="AN52" i="1"/>
  <c r="AD52" i="1"/>
  <c r="H52" i="1"/>
  <c r="AE52" i="1"/>
  <c r="DL51" i="1"/>
  <c r="CR52" i="1"/>
  <c r="Z52" i="1"/>
  <c r="DL36" i="1"/>
  <c r="DN36" i="1" s="1"/>
  <c r="AF52" i="1"/>
  <c r="N52" i="1"/>
  <c r="CD52" i="1"/>
  <c r="CH52" i="1"/>
  <c r="DR52" i="1" s="1"/>
  <c r="BR52" i="1"/>
  <c r="BF52" i="1"/>
  <c r="DT36" i="1" l="1"/>
  <c r="DV36" i="1" s="1"/>
  <c r="DW36" i="1" s="1"/>
  <c r="DQ36" i="1"/>
  <c r="DS36" i="1"/>
  <c r="DU36" i="1" s="1"/>
  <c r="DR36" i="1"/>
  <c r="DO30" i="1"/>
  <c r="DP30" i="1" s="1"/>
  <c r="DO5" i="1"/>
  <c r="DP5" i="1" s="1"/>
  <c r="DO32" i="1"/>
  <c r="DP32" i="1" s="1"/>
  <c r="DO35" i="1"/>
  <c r="DP35" i="1" s="1"/>
  <c r="DO34" i="1"/>
  <c r="DP34" i="1" s="1"/>
  <c r="DO26" i="1"/>
  <c r="DP26" i="1" s="1"/>
  <c r="DO28" i="1"/>
  <c r="DP28" i="1" s="1"/>
  <c r="DO27" i="1"/>
  <c r="DP27" i="1" s="1"/>
  <c r="DO33" i="1"/>
  <c r="DP33" i="1" s="1"/>
  <c r="DO29" i="1"/>
  <c r="DP29" i="1" s="1"/>
  <c r="DO31" i="1"/>
  <c r="DP31" i="1" s="1"/>
  <c r="DO18" i="1"/>
  <c r="DP18" i="1" s="1"/>
  <c r="DO21" i="1"/>
  <c r="DP21" i="1" s="1"/>
  <c r="DO8" i="1"/>
  <c r="DP8" i="1" s="1"/>
  <c r="DO11" i="1"/>
  <c r="DP11" i="1" s="1"/>
  <c r="DO6" i="1"/>
  <c r="DP6" i="1" s="1"/>
  <c r="DO22" i="1"/>
  <c r="DP22" i="1" s="1"/>
  <c r="DO24" i="1"/>
  <c r="DP24" i="1" s="1"/>
  <c r="DO23" i="1"/>
  <c r="DP23" i="1" s="1"/>
  <c r="DO9" i="1"/>
  <c r="DP9" i="1" s="1"/>
  <c r="DO16" i="1"/>
  <c r="DP16" i="1" s="1"/>
  <c r="DO17" i="1"/>
  <c r="DP17" i="1" s="1"/>
  <c r="DO20" i="1"/>
  <c r="DP20" i="1" s="1"/>
  <c r="DO25" i="1"/>
  <c r="DP25" i="1" s="1"/>
  <c r="DO4" i="1"/>
  <c r="DP4" i="1" s="1"/>
  <c r="DO36" i="1"/>
  <c r="DP36" i="1" s="1"/>
  <c r="DO12" i="1"/>
  <c r="DP12" i="1" s="1"/>
  <c r="DO15" i="1"/>
  <c r="DP15" i="1" s="1"/>
  <c r="DO13" i="1"/>
  <c r="DP13" i="1" s="1"/>
  <c r="DO7" i="1"/>
  <c r="DP7" i="1" s="1"/>
  <c r="DO19" i="1"/>
  <c r="DP19" i="1" s="1"/>
  <c r="DO14" i="1"/>
  <c r="DP14" i="1" s="1"/>
  <c r="DO10" i="1"/>
  <c r="DP10" i="1" s="1"/>
  <c r="CF52" i="1"/>
  <c r="DQ52" i="1" s="1"/>
  <c r="DL52" i="1"/>
  <c r="BG1" i="1" l="1"/>
</calcChain>
</file>

<file path=xl/sharedStrings.xml><?xml version="1.0" encoding="utf-8"?>
<sst xmlns="http://schemas.openxmlformats.org/spreadsheetml/2006/main" count="6139" uniqueCount="1274">
  <si>
    <t>MTL</t>
  </si>
  <si>
    <t>Sr.</t>
  </si>
  <si>
    <t xml:space="preserve">Product Name </t>
  </si>
  <si>
    <t>Ranking</t>
  </si>
  <si>
    <t>ML</t>
  </si>
  <si>
    <t xml:space="preserve">Packing </t>
  </si>
  <si>
    <t>Sales Price</t>
  </si>
  <si>
    <t>2022 Average</t>
  </si>
  <si>
    <t>2023 Average</t>
  </si>
  <si>
    <t>2024 Average</t>
  </si>
  <si>
    <t>2025 Total</t>
  </si>
  <si>
    <t>Bot</t>
  </si>
  <si>
    <t>Lit</t>
  </si>
  <si>
    <t>"Zay" Vodka 700-ml</t>
  </si>
  <si>
    <t>ပုလင်း</t>
  </si>
  <si>
    <t>1 * 12</t>
  </si>
  <si>
    <t>‌ကော်ဘူး</t>
  </si>
  <si>
    <t>"Zay" (1 Liter)</t>
  </si>
  <si>
    <t>1 * 24</t>
  </si>
  <si>
    <t>"Zay" Vodka - 640ml</t>
  </si>
  <si>
    <t>1 * 14</t>
  </si>
  <si>
    <t>Kaung Kyi (1 Liter)_25%</t>
  </si>
  <si>
    <t>Kaung Kyi (0.6 Liter)_25%</t>
  </si>
  <si>
    <t xml:space="preserve">Kaung Kyi </t>
  </si>
  <si>
    <t>မိုးနဲကွန်ကီကော်ဘူး(1 Liter)</t>
  </si>
  <si>
    <t xml:space="preserve">Moe Nae Kon Ki </t>
  </si>
  <si>
    <t>Zayawaddy Red(1 Liter)30%</t>
  </si>
  <si>
    <t xml:space="preserve">Zayawaddy Red </t>
  </si>
  <si>
    <t>Zeyawaddy Rum (43%)</t>
  </si>
  <si>
    <t>ဇေယျဝတီ Red (ပု)</t>
  </si>
  <si>
    <t>မြန်မာရှောက်ပျား</t>
  </si>
  <si>
    <t>2 in 1 မန်ကျည်း</t>
  </si>
  <si>
    <t xml:space="preserve">Dagon Tamarind </t>
  </si>
  <si>
    <t xml:space="preserve">Dagon Pineapple 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</si>
  <si>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</si>
  <si>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</si>
  <si>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</si>
  <si>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</si>
  <si>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Formula Rum 700ml</t>
  </si>
  <si>
    <t>Formula Rum 350ml</t>
  </si>
  <si>
    <t>ရွှေမင်းသားခေါင်ရည်</t>
  </si>
  <si>
    <t xml:space="preserve">White Orange </t>
  </si>
  <si>
    <t xml:space="preserve">Dagon </t>
  </si>
  <si>
    <t>Black - Cat</t>
  </si>
  <si>
    <t>ကင်းမြီးကောက်</t>
  </si>
  <si>
    <t>BE စုစုပေါင်း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</si>
  <si>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</si>
  <si>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</si>
  <si>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</si>
  <si>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</si>
  <si>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</si>
  <si>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</si>
  <si>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</si>
  <si>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</si>
  <si>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</si>
  <si>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</si>
  <si>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</si>
  <si>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</si>
  <si>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</si>
  <si>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1*6</t>
  </si>
  <si>
    <t>Whisky စုစုပေါင်း</t>
  </si>
  <si>
    <t>All Total</t>
  </si>
  <si>
    <t>သံပုရာအရက်</t>
  </si>
  <si>
    <t>1 x 14</t>
  </si>
  <si>
    <t>ရွှေမင်းသားမန်ကျည်းခေါင်ရည်</t>
  </si>
  <si>
    <t>Jan-May AVG 2024</t>
  </si>
  <si>
    <t>Jan-May AVG 2025</t>
  </si>
  <si>
    <t>Contribution</t>
  </si>
  <si>
    <t>Fly. Contribution</t>
  </si>
  <si>
    <t>Litre</t>
  </si>
  <si>
    <t>Monthly GAP</t>
  </si>
  <si>
    <t>Actual Sales Gain/ Loss in Carton (last 5 Months)</t>
  </si>
  <si>
    <t>SKU Wise Difference</t>
  </si>
  <si>
    <t>GOLY Jan-May 24 Vs 25</t>
  </si>
  <si>
    <t>GOLY Jan-Dec 24 Vs 25</t>
  </si>
  <si>
    <t>Litre Wise Difference</t>
  </si>
  <si>
    <t>Carton (14Pcs) wise Difference</t>
  </si>
  <si>
    <t>Annual AVG</t>
  </si>
  <si>
    <t>YTD (Jan-May)</t>
  </si>
  <si>
    <t>YTD</t>
  </si>
  <si>
    <t>No</t>
  </si>
  <si>
    <t>TownShip</t>
  </si>
  <si>
    <t>Meiktila Report (2025)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</si>
  <si>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</si>
  <si>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</si>
  <si>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</si>
  <si>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</si>
  <si>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</si>
  <si>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</si>
  <si>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</si>
  <si>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</si>
  <si>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</si>
  <si>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>October</t>
  </si>
  <si>
    <t>November</t>
  </si>
  <si>
    <t>December</t>
  </si>
  <si>
    <t>Average</t>
  </si>
  <si>
    <t>Bottle</t>
  </si>
  <si>
    <t>Liter</t>
  </si>
  <si>
    <t>Meiktila</t>
  </si>
  <si>
    <t>Tharzi</t>
  </si>
  <si>
    <t>PyawBwe</t>
  </si>
  <si>
    <t>Want Twin</t>
  </si>
  <si>
    <t>Mahaling</t>
  </si>
  <si>
    <t>Yamaethin</t>
  </si>
  <si>
    <t>Kyaukpadaung</t>
  </si>
  <si>
    <t>Taungthar</t>
  </si>
  <si>
    <t>Myingyan</t>
  </si>
  <si>
    <t>Bagan</t>
  </si>
  <si>
    <t>Pakokku</t>
  </si>
  <si>
    <t>Town Wise Difference in Contribution</t>
  </si>
  <si>
    <t>2025 - Sales Details Meiktila (Meiktila Township)</t>
  </si>
  <si>
    <t>Sr</t>
  </si>
  <si>
    <t>Product Name</t>
  </si>
  <si>
    <t>Ml</t>
  </si>
  <si>
    <t>Packing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</si>
  <si>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</si>
  <si>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</si>
  <si>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</si>
  <si>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</si>
  <si>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</si>
  <si>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</si>
  <si>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</si>
  <si>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</si>
  <si>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</si>
  <si>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PK</t>
  </si>
  <si>
    <t>"Zay" - 640ml</t>
  </si>
  <si>
    <t>Zayawaddy Red(1 Liter)40%</t>
  </si>
  <si>
    <t>1*24</t>
  </si>
  <si>
    <t>Total</t>
  </si>
  <si>
    <t>1 * 6</t>
  </si>
  <si>
    <t>2025 - Sales Details Meiktila (TharZi Township)</t>
  </si>
  <si>
    <t>2025 - Sales Details Pyawbwe (Pyawbwe Township)</t>
  </si>
  <si>
    <t>2025 - Sales Details Meiktila (Wantwin Township)</t>
  </si>
  <si>
    <t>2025 - Sales Details Meiktila (Mahlaing Township)</t>
  </si>
  <si>
    <t>2025 - Sales Details Meiktila (Yamethin Township)</t>
  </si>
  <si>
    <t>2025 - Sales Details Meiktila (Kyaukpandaung Township)</t>
  </si>
  <si>
    <t>2025 - Sales Details Meiktila (Taungthar Township)</t>
  </si>
  <si>
    <t>2025 - Sales Details Meiktila (Myingan Township)</t>
  </si>
  <si>
    <t>2025 - Sales Details Meiktila (Bagan Township)</t>
  </si>
  <si>
    <t>2025 - Sales Details Meiktila (Pakokku Township)</t>
  </si>
  <si>
    <t>TOTAL</t>
  </si>
  <si>
    <t>CASES</t>
  </si>
  <si>
    <t>BOTTLES</t>
  </si>
  <si>
    <t>Average Secondary</t>
  </si>
  <si>
    <t>Growth ( Plus/ Minus)</t>
  </si>
  <si>
    <t>Regional Total</t>
  </si>
  <si>
    <t>tarzi</t>
  </si>
  <si>
    <t>Pyawbwe</t>
  </si>
  <si>
    <t>Wantwin</t>
  </si>
  <si>
    <t>Dagon tamarind</t>
  </si>
  <si>
    <t>Mahlaing</t>
  </si>
  <si>
    <t>Yamethin</t>
  </si>
  <si>
    <t>kyaukpandaung</t>
  </si>
  <si>
    <t>Taugthar</t>
  </si>
  <si>
    <t>Myingan</t>
  </si>
  <si>
    <t>Pakoku</t>
  </si>
  <si>
    <t>Brand Wise</t>
  </si>
  <si>
    <t>Growth</t>
  </si>
  <si>
    <t>Gap in Litre</t>
  </si>
  <si>
    <t>BE Total</t>
  </si>
  <si>
    <t>ကော်ဘူး</t>
  </si>
  <si>
    <t>Jan-Jun AVG 2025</t>
  </si>
  <si>
    <t>YTD (Jan-Jun)</t>
  </si>
  <si>
    <t>GOLY Jan-Jun 24 Vs 25</t>
  </si>
  <si>
    <t>ရွှေမင်းသားမန်ကျည်းခေါင်ရည်( 0.6 Liter)</t>
  </si>
  <si>
    <t>ရွှေမင်းသားခေါင်ရည် (0.6 Liter)</t>
  </si>
  <si>
    <t>Zay</t>
  </si>
  <si>
    <t>Kaung Kyi</t>
  </si>
  <si>
    <t>Zayawaddy</t>
  </si>
  <si>
    <t>Lime BE</t>
  </si>
  <si>
    <t>Dagon</t>
  </si>
  <si>
    <t>Cherry</t>
  </si>
  <si>
    <t>Formula</t>
  </si>
  <si>
    <t>Scropian</t>
  </si>
  <si>
    <t>Actual Sales Gain/ Loss in Carton (last 6 Months)</t>
  </si>
  <si>
    <t>Jan-Jun AVG 2024</t>
  </si>
  <si>
    <t>MyanmarShoukPyar</t>
  </si>
  <si>
    <t>Shweminthar</t>
  </si>
  <si>
    <t>Jan-Dec 2024 AVG</t>
  </si>
  <si>
    <t>Growth Over Last Year</t>
  </si>
  <si>
    <t xml:space="preserve">Year Jan-Jun  2024 </t>
  </si>
  <si>
    <t>Lime</t>
  </si>
  <si>
    <t>Jan- Dec 2024 Average</t>
  </si>
  <si>
    <t>Zay Vodka</t>
  </si>
  <si>
    <t>Myanmarshoukpyar</t>
  </si>
  <si>
    <t>2 in 1 maji</t>
  </si>
  <si>
    <t>Shwe Minthar</t>
  </si>
  <si>
    <t>Myanmar shoukpyar</t>
  </si>
  <si>
    <t>2 in 1  Magi</t>
  </si>
  <si>
    <t>ရွှေမန်း -Rum</t>
  </si>
  <si>
    <t>1*12</t>
  </si>
  <si>
    <t>1*14</t>
  </si>
  <si>
    <t>Q1</t>
  </si>
  <si>
    <t>Q2</t>
  </si>
  <si>
    <t>Q3</t>
  </si>
  <si>
    <t>Q4</t>
  </si>
  <si>
    <t>Target (Bot)</t>
  </si>
  <si>
    <t>Target (Liter)</t>
  </si>
  <si>
    <t xml:space="preserve">WS (Bot) </t>
  </si>
  <si>
    <t>Semi WS</t>
  </si>
  <si>
    <t>Van (Bot)</t>
  </si>
  <si>
    <t>Total Sales  (BOT)</t>
  </si>
  <si>
    <t>Total Sales  (Liter)</t>
  </si>
  <si>
    <t>Ach % (Bot)</t>
  </si>
  <si>
    <t>Ach % (Liter)</t>
  </si>
  <si>
    <t>Master File Meikhtila  2025</t>
  </si>
  <si>
    <t>2024-Total</t>
  </si>
  <si>
    <t>2025-Total</t>
  </si>
  <si>
    <t>Sr.No</t>
  </si>
  <si>
    <t>Customer Name</t>
  </si>
  <si>
    <t>Area</t>
  </si>
  <si>
    <t>Outlet Type</t>
  </si>
  <si>
    <t>PKT</t>
  </si>
  <si>
    <t>BOT</t>
  </si>
  <si>
    <t>ရွှေမြင်း</t>
  </si>
  <si>
    <t>Golden Horse</t>
  </si>
  <si>
    <t>မိတ္ထီလာ</t>
  </si>
  <si>
    <t>Meikhtila</t>
  </si>
  <si>
    <t>ContractWholesales</t>
  </si>
  <si>
    <t>Summer-1</t>
  </si>
  <si>
    <t>Wholesales</t>
  </si>
  <si>
    <t>Summer-2</t>
  </si>
  <si>
    <t>ဦးအေးခင်မောင်</t>
  </si>
  <si>
    <t>U Aye Khin Maung</t>
  </si>
  <si>
    <t>ဦးကျော်လှ</t>
  </si>
  <si>
    <t>U Kyaw Hla</t>
  </si>
  <si>
    <t>သာစည်</t>
  </si>
  <si>
    <t>ဦးဝင်းအောင်ကြွယ်</t>
  </si>
  <si>
    <t>U Win Aung Kyawe</t>
  </si>
  <si>
    <t>ပျော်ဘွယ်</t>
  </si>
  <si>
    <t>ဦးဝင်းနိုင်</t>
  </si>
  <si>
    <t>U Win Naing</t>
  </si>
  <si>
    <t>လျှော်ပင်</t>
  </si>
  <si>
    <t>Wundwin</t>
  </si>
  <si>
    <t>ကျော်ကြား</t>
  </si>
  <si>
    <t>Kyaw Kyar</t>
  </si>
  <si>
    <t>မလှိုင်</t>
  </si>
  <si>
    <t>မယဉ်ယဉ်အေး</t>
  </si>
  <si>
    <t>Ma Yin Yin Aye</t>
  </si>
  <si>
    <t>ဦးအောင်မိုး</t>
  </si>
  <si>
    <t>U Aung Moe</t>
  </si>
  <si>
    <t>ရမည်းသင်း</t>
  </si>
  <si>
    <t>စံချိန်</t>
  </si>
  <si>
    <t>Sanchin</t>
  </si>
  <si>
    <t>ဦးရဲမြင့်</t>
  </si>
  <si>
    <t>U Ye Myint</t>
  </si>
  <si>
    <t>လွင်</t>
  </si>
  <si>
    <t>Lwin</t>
  </si>
  <si>
    <t>ကျောက်ပန်းတောင်း</t>
  </si>
  <si>
    <t>ဦးစိုးဝင်း</t>
  </si>
  <si>
    <t>U Soe Win</t>
  </si>
  <si>
    <t>ဒေါ်ခင်စန်းမြင့်</t>
  </si>
  <si>
    <t>Daw Khin San Myint</t>
  </si>
  <si>
    <t>ဦးသိန်းစိုး</t>
  </si>
  <si>
    <t>U Thein Soe</t>
  </si>
  <si>
    <t>ကောင်းထက်သူ</t>
  </si>
  <si>
    <t xml:space="preserve">Kaung Htet Thu </t>
  </si>
  <si>
    <t>ကောင်းဆုဝေ</t>
  </si>
  <si>
    <t>Kaung Su Wai</t>
  </si>
  <si>
    <t>မြို့မ</t>
  </si>
  <si>
    <t>MyoMa</t>
  </si>
  <si>
    <t>တောင်သာ</t>
  </si>
  <si>
    <t>Taungtha</t>
  </si>
  <si>
    <t>ဦးတင်မောင်</t>
  </si>
  <si>
    <t>U Tin Maung</t>
  </si>
  <si>
    <t>ပခုက္ကူ</t>
  </si>
  <si>
    <t>ရတနာ</t>
  </si>
  <si>
    <t>Yadana</t>
  </si>
  <si>
    <t>ပုဂံ</t>
  </si>
  <si>
    <t>ရွှေခြင်္သေ့</t>
  </si>
  <si>
    <t>Golden Lion</t>
  </si>
  <si>
    <t>ကောင်းသန့်</t>
  </si>
  <si>
    <t>Kaung Thant</t>
  </si>
  <si>
    <t>ရွှေတောင်</t>
  </si>
  <si>
    <t>Shwe Taung</t>
  </si>
  <si>
    <t>ကောင်းဟိန်း</t>
  </si>
  <si>
    <t>Kaung Hein</t>
  </si>
  <si>
    <t>Total Wholesales</t>
  </si>
  <si>
    <t>ရွှေကမ္ဘာ</t>
  </si>
  <si>
    <t>Golden World</t>
  </si>
  <si>
    <t>SemiWS</t>
  </si>
  <si>
    <t>ကိုချစ်ကို</t>
  </si>
  <si>
    <t>Ko Chit Ko</t>
  </si>
  <si>
    <t>ပြည်ချစ်</t>
  </si>
  <si>
    <t>Pyi Chit</t>
  </si>
  <si>
    <t>ဦးမောင်ငယ်</t>
  </si>
  <si>
    <t>U Mg Ngwe</t>
  </si>
  <si>
    <t>ကိုဧရာ</t>
  </si>
  <si>
    <t>Ko Ayar</t>
  </si>
  <si>
    <t>ကိုလှဌေးအောင်</t>
  </si>
  <si>
    <t>Ko Hla Htay Aung</t>
  </si>
  <si>
    <t>မြင်းခြံ</t>
  </si>
  <si>
    <t>ပြည့်ဖြိုးကြွယ်</t>
  </si>
  <si>
    <t>Pyae Phyo Kywe</t>
  </si>
  <si>
    <t>ဇင်ယော်မေ</t>
  </si>
  <si>
    <t>Zin Yaw May</t>
  </si>
  <si>
    <t>ဝတိံယံ</t>
  </si>
  <si>
    <t>Wattainyan</t>
  </si>
  <si>
    <t>ပျားနက်</t>
  </si>
  <si>
    <t>Black Bee</t>
  </si>
  <si>
    <t>ရွှေရောင်စင်</t>
  </si>
  <si>
    <t>Shwe Yaung Sin</t>
  </si>
  <si>
    <t>ဟိန်းသူ</t>
  </si>
  <si>
    <t>Hein Thu</t>
  </si>
  <si>
    <t>A1</t>
  </si>
  <si>
    <t>ရွှေခေတ်</t>
  </si>
  <si>
    <t>Shwe Khit</t>
  </si>
  <si>
    <t>ဟိန်းမြန်မာ</t>
  </si>
  <si>
    <t>Hein Myanmar</t>
  </si>
  <si>
    <t xml:space="preserve">Total SemiWholesales </t>
  </si>
  <si>
    <t>Mini+Van Sales Follow Up - (Region)</t>
  </si>
  <si>
    <t>Sr .No</t>
  </si>
  <si>
    <t xml:space="preserve">Van </t>
  </si>
  <si>
    <t>ASM</t>
  </si>
  <si>
    <t xml:space="preserve">Total Outlet </t>
  </si>
  <si>
    <t xml:space="preserve">Frequancy </t>
  </si>
  <si>
    <t>Van 1</t>
  </si>
  <si>
    <t xml:space="preserve">Ko Kyaw Po Po Win </t>
  </si>
  <si>
    <t>YMT,PB,KPT,BG,PKKU,MG</t>
  </si>
  <si>
    <t>F1&amp;F2</t>
  </si>
  <si>
    <t>Van 2</t>
  </si>
  <si>
    <t>MTL,MH,TZ,WD</t>
  </si>
  <si>
    <t xml:space="preserve">Total Mini+Van Sales Follow Up </t>
  </si>
  <si>
    <t>Remarks</t>
  </si>
  <si>
    <t>Must Grow</t>
  </si>
  <si>
    <t>Jan-Nov AVG 2024</t>
  </si>
  <si>
    <t>Jan-Nov 2024 AVG</t>
  </si>
  <si>
    <t>2024 Jan-Nov AVG</t>
  </si>
  <si>
    <t>Jan-Dec Total</t>
  </si>
  <si>
    <t>Jan-Dec AVG 2025</t>
  </si>
  <si>
    <t>2 in 1 Magi</t>
  </si>
  <si>
    <t>Jan to Dec 2025</t>
  </si>
  <si>
    <t>Jan-Dec 2025 AVG</t>
  </si>
  <si>
    <t>Town wise Contribution Jan-Dec'25</t>
  </si>
  <si>
    <t>2026 Total</t>
  </si>
  <si>
    <t>GOLY Jan-Dec 25 Vs 26</t>
  </si>
  <si>
    <t>Shwe Man</t>
  </si>
  <si>
    <t>AVERAGE Monthly Required till Dec'26  ( In Litre)</t>
  </si>
  <si>
    <t>2026 Exit Growth Expected 108%</t>
  </si>
  <si>
    <t>GAP to Cover by End of December</t>
  </si>
  <si>
    <t>Year 2025 AVG</t>
  </si>
  <si>
    <t xml:space="preserve">Master File Meikhtila  </t>
  </si>
  <si>
    <t>Total-2026</t>
  </si>
  <si>
    <t>Remark</t>
  </si>
  <si>
    <t>Jan 2025 Vs 2026</t>
  </si>
  <si>
    <t>Jan-Dec 2025 Vs 2026</t>
  </si>
  <si>
    <t>Wholesale</t>
  </si>
  <si>
    <t>Contract</t>
  </si>
  <si>
    <t>မိုးယံ</t>
  </si>
  <si>
    <t>Moe Yan</t>
  </si>
  <si>
    <t>2026 Contribution</t>
  </si>
  <si>
    <t>Region</t>
  </si>
  <si>
    <t>Township</t>
  </si>
  <si>
    <t>Dagon Magi</t>
  </si>
  <si>
    <t>Dagon Pineapple</t>
  </si>
  <si>
    <t>Dagon Pure</t>
  </si>
  <si>
    <t>White Orange</t>
  </si>
  <si>
    <t>Myanmar Shoukpyar</t>
  </si>
  <si>
    <t>Moe Nae Kon Ki</t>
  </si>
  <si>
    <t>Black cat</t>
  </si>
  <si>
    <t>SKU Total %</t>
  </si>
  <si>
    <t>Tarzi</t>
  </si>
  <si>
    <t xml:space="preserve">Wantwin	</t>
  </si>
  <si>
    <t xml:space="preserve">Mahlaing	</t>
  </si>
  <si>
    <t xml:space="preserve">Yamethin	</t>
  </si>
  <si>
    <t xml:space="preserve">Kyaukpandaung	</t>
  </si>
  <si>
    <t xml:space="preserve">Taugthar	</t>
  </si>
  <si>
    <t xml:space="preserve">Myingan	</t>
  </si>
  <si>
    <t xml:space="preserve">Bagan	</t>
  </si>
  <si>
    <t xml:space="preserve">Pakoku	</t>
  </si>
  <si>
    <t>Secondary Focus Products</t>
  </si>
  <si>
    <t>Primary Focus Products</t>
  </si>
  <si>
    <t xml:space="preserve">မိထ္တီလာ  VAN - 1 (2026)
တာဝန်ခံ - ကောင်းဆက်သန့် ၊ နန္ဒဖြိုး
</t>
  </si>
  <si>
    <t xml:space="preserve">မိထ္တီလာ  VAN - 2 (2026)
တာဝန်ခံ - ကောင်းဆက်သန့် ၊ နန္ဒဖြိုး
</t>
  </si>
  <si>
    <t xml:space="preserve">မိထ္တီလာ  VAN - 3 Yame Thin New Market (2026)
တာဝန်ခံ - ကောင်းဆက်သန့် ၊ နန္ဒဖြိုး
</t>
  </si>
  <si>
    <t>စဉ်</t>
  </si>
  <si>
    <t xml:space="preserve">Way </t>
  </si>
  <si>
    <t xml:space="preserve">Acutal Way Name </t>
  </si>
  <si>
    <t xml:space="preserve">Number of Outlets </t>
  </si>
  <si>
    <t>A</t>
  </si>
  <si>
    <t>B</t>
  </si>
  <si>
    <t>C</t>
  </si>
  <si>
    <t>D</t>
  </si>
  <si>
    <t>S</t>
  </si>
  <si>
    <t>Van 1-1</t>
  </si>
  <si>
    <t>ယင်းမာပင်-ပြည်ညောင်</t>
  </si>
  <si>
    <t>Van 2-1</t>
  </si>
  <si>
    <t>ထနောင်းကုန်း-ထနောင်းကန်(သာစည်)</t>
  </si>
  <si>
    <t>Van 3-1</t>
  </si>
  <si>
    <t xml:space="preserve">ကံသာအေး၊ထူးကုန်း၊ဘွတ်ရွာ၊ဗျဥ်းကတ် </t>
  </si>
  <si>
    <t>Van 1-2</t>
  </si>
  <si>
    <t>တက်မ-ငါးမင်းမေ့(ညောင်ဦး)</t>
  </si>
  <si>
    <t>Van 2-2</t>
  </si>
  <si>
    <t>ဟံဇား-ကျောက်ပနား-သာဂရ(ဝမ်းတွင်း)</t>
  </si>
  <si>
    <t>Van 3-2</t>
  </si>
  <si>
    <t>ထီးလှိုင်၊ကင်ပွန်းချုံ၊ဘွတ်ရွာ၊ထူးကုန်း၊သပြေပင်</t>
  </si>
  <si>
    <t>Van 1-3</t>
  </si>
  <si>
    <t>ပုဂံမြို့-သူကောင်း (ညောင်ဦး)</t>
  </si>
  <si>
    <t>Van 2-3</t>
  </si>
  <si>
    <t>ရွှေတောင်-ဒိုင်ကောင်းကုန်း(ဝမ်းတွင်း)</t>
  </si>
  <si>
    <t>Van 3-3</t>
  </si>
  <si>
    <t>မြို့လှ၊ဌက်ပျောတော၊သရက်ပင်၊ပင်းစု၊အင်ပေါင်း</t>
  </si>
  <si>
    <t>Van 1-4</t>
  </si>
  <si>
    <t>ရန်နောင်-စံကျော်နက်(ပျော်ဘွယ်)</t>
  </si>
  <si>
    <t>Van 2-4</t>
  </si>
  <si>
    <t>ခင်ကြီး-ခင်ဘန်း-ကန်စွယ်-သဲတော</t>
  </si>
  <si>
    <t>Van 3-4</t>
  </si>
  <si>
    <t>ပြတိုက်၊ဈေးကုန်းကြီး၊အင်းကုန်း၊အလယ်ကုန်း</t>
  </si>
  <si>
    <t>Van 1-5</t>
  </si>
  <si>
    <t>ရွာတန်း-ကံဦး-ဘိုကုန်း(ရမည်းသင်း)</t>
  </si>
  <si>
    <t>Van 2-5</t>
  </si>
  <si>
    <t>သဖန်း-အိုမတွေ့-သစ်ပလွေ(ဝမ်းတွင်း)</t>
  </si>
  <si>
    <t>Van 3-5</t>
  </si>
  <si>
    <t>နံချွန်၊ဝကုန်း၊ကျီစု၊ခံဘူး၊ရွှေဘူး၊သိမ်ကုန်း</t>
  </si>
  <si>
    <t>Van 1-6</t>
  </si>
  <si>
    <t>လက်ပံပျား-တောင်ဦး-ဝက်ချုပ်ကုန်း</t>
  </si>
  <si>
    <t>Van 2-6</t>
  </si>
  <si>
    <t>တဲစု-ပင်းတလဲ-အင်းကုန်း (ဝမ်းတွင်း)</t>
  </si>
  <si>
    <t>Van 3-6</t>
  </si>
  <si>
    <t>ရွာတန်း၊မာန်ကြီးကုန်း၊အနောက်သပြေပင်</t>
  </si>
  <si>
    <t>Van 1-7</t>
  </si>
  <si>
    <t xml:space="preserve">ပန်းပဲကြီး-ပန်းပဲလေး-ရိုးခြား </t>
  </si>
  <si>
    <t>Van 2-7</t>
  </si>
  <si>
    <t>အုတ်တွင်း-နန်းတော်ကုန်း-မြောင်းဦး-ဇဝင်း</t>
  </si>
  <si>
    <t>Van 1-8</t>
  </si>
  <si>
    <t>ရေထွက်-ပုပ္ပါး-သန်းကြီးကုန်း</t>
  </si>
  <si>
    <t>Van 2-8</t>
  </si>
  <si>
    <t>နှမ်းကန်-ကုက္ကိုပေါက်-ညောင်ရမ်း(သာစည်)</t>
  </si>
  <si>
    <t>Van 1-9</t>
  </si>
  <si>
    <t>သီးပင်ကုန်း-ကျေးသာအိုင့်(KPD)</t>
  </si>
  <si>
    <t>Van 2-9</t>
  </si>
  <si>
    <t>ကျောက်ကာ-ကုက္ကိုကုန်း-ညောင်အိုင့်(PB)</t>
  </si>
  <si>
    <t>Van 1-10</t>
  </si>
  <si>
    <t>ခံဘူး-ဝကုန်း-ရှမ်းရွာ(ပျော်ဘွယ်)</t>
  </si>
  <si>
    <t>Van 2-10</t>
  </si>
  <si>
    <t>ရွှေတုတ်ကုန်း-နတ်မြောင်း(သာစည်)</t>
  </si>
  <si>
    <t>Van 1-11</t>
  </si>
  <si>
    <t>အောက်တောက်-ပြတိုက်(ရမည်းသင်း)</t>
  </si>
  <si>
    <t xml:space="preserve">Whole Sales / Agents </t>
  </si>
  <si>
    <t xml:space="preserve">Retails / Store </t>
  </si>
  <si>
    <t>ဖေါက်ရောင်း/cs2A</t>
  </si>
  <si>
    <t>လိုင်စင်မဲ့ဆိုင်/ကွမ်းယာဆိုင်</t>
  </si>
  <si>
    <t>Super Mart / Convenience Store</t>
  </si>
  <si>
    <t xml:space="preserve"> နိုင်ငံရေးနှင့် မိုးတွင်းရာသီဥတုကာလများတွင်လမ်းကြောင်းအခြေအနေကြောင့်  Way Change ၍သွားလာနေရပါသည်ခင်ဗျာ။
လမ်းကြောင်းအပြောင်းအလဲ ရှိနိုင်ပါသည်။</t>
  </si>
  <si>
    <t>Date</t>
  </si>
  <si>
    <t>Day</t>
  </si>
  <si>
    <t xml:space="preserve">Actual Way Name </t>
  </si>
  <si>
    <t>ToTal</t>
  </si>
  <si>
    <t>FRI</t>
  </si>
  <si>
    <t>SAT</t>
  </si>
  <si>
    <t>SUN</t>
  </si>
  <si>
    <t>MON</t>
  </si>
  <si>
    <t>ကန်သာအေး၊ထူးကုန်း၊ဘွတ်ရွာ၊‌ဗျဥ်းကတ်</t>
  </si>
  <si>
    <t>TUE</t>
  </si>
  <si>
    <t>ကင်မွန်းခြုံ၊ဇီးဖြူးကုန်း၊ညောင်အိုင်၊ထီးလှိုင်</t>
  </si>
  <si>
    <t>WED</t>
  </si>
  <si>
    <t>မြို့လှ၊အင်းပေါင်၊ဝါးရုံ၊သရက်ပင်</t>
  </si>
  <si>
    <t>THU</t>
  </si>
  <si>
    <t>ခံဘူး၊နန်းလုံ၊ကျီစု၊ရွှေညောင်ဖူး</t>
  </si>
  <si>
    <t>ဈေးကုန်းကြီး၊အင်းကုန်း၊အလယ်ကုန်း</t>
  </si>
  <si>
    <t xml:space="preserve">MHL - Outlet List </t>
  </si>
  <si>
    <t>ဆိုင်အမည်</t>
  </si>
  <si>
    <t>TYPE</t>
  </si>
  <si>
    <t>လိပ်စာ</t>
  </si>
  <si>
    <t>Way</t>
  </si>
  <si>
    <t>ဖုန်းနံပါတ်</t>
  </si>
  <si>
    <t>ဘယ်သူ့ Outletလဲ</t>
  </si>
  <si>
    <t>ရင်းနှင်းမှု့</t>
  </si>
  <si>
    <t>ဖူးပွင့်</t>
  </si>
  <si>
    <t>ယင်းမာပင်</t>
  </si>
  <si>
    <t>သာစည်မြို့</t>
  </si>
  <si>
    <t>09-961848872</t>
  </si>
  <si>
    <t>မြစံပယ်</t>
  </si>
  <si>
    <t>09-255196980</t>
  </si>
  <si>
    <t>မသန်းသန်းဇော်</t>
  </si>
  <si>
    <t>ကြပ်စခန်း</t>
  </si>
  <si>
    <t>ရတနာလှိုင်</t>
  </si>
  <si>
    <t>ပါရမီ</t>
  </si>
  <si>
    <t>09-2050864</t>
  </si>
  <si>
    <t>ရွှေနန်းတော်</t>
  </si>
  <si>
    <t>ရေပေါင်းစုံ</t>
  </si>
  <si>
    <t>09-452292914</t>
  </si>
  <si>
    <t>အမိုး</t>
  </si>
  <si>
    <t>09-650007167</t>
  </si>
  <si>
    <t>SMM</t>
  </si>
  <si>
    <t>မဝင်းအေး</t>
  </si>
  <si>
    <t>မယဥ်အေး</t>
  </si>
  <si>
    <t>ပီတိလျှံ</t>
  </si>
  <si>
    <t>သွန်းဆက်</t>
  </si>
  <si>
    <t>ဦးသောင်းလှ</t>
  </si>
  <si>
    <t>7မိုင်</t>
  </si>
  <si>
    <t>မေနှင်းလွင်</t>
  </si>
  <si>
    <t>နန်ပန်တက်</t>
  </si>
  <si>
    <t>09-970692072</t>
  </si>
  <si>
    <t>ဦးရွှေမန်း</t>
  </si>
  <si>
    <t>ငါးမင်းမေ့</t>
  </si>
  <si>
    <t>ညောင်ဦးမြို့</t>
  </si>
  <si>
    <t>09-767171172</t>
  </si>
  <si>
    <t>ကောင်စုဝေ</t>
  </si>
  <si>
    <t>ကိုဝင်းလှိုင်</t>
  </si>
  <si>
    <t>09-690546030</t>
  </si>
  <si>
    <t>ကိုကျော်ဇင်ငြိမ်း</t>
  </si>
  <si>
    <t>09-780335297</t>
  </si>
  <si>
    <t>မစန်းမော်</t>
  </si>
  <si>
    <t>တက်မ</t>
  </si>
  <si>
    <t>09-401671384</t>
  </si>
  <si>
    <t>မမိုးမိုး</t>
  </si>
  <si>
    <t>09-425136802</t>
  </si>
  <si>
    <t>မစန်းစန်းခိုင်</t>
  </si>
  <si>
    <t>09-400099842</t>
  </si>
  <si>
    <t>ကိုဇော်ဝင်း</t>
  </si>
  <si>
    <t>စပါးသင်း</t>
  </si>
  <si>
    <t>09-421097267</t>
  </si>
  <si>
    <t>ဦးမြင့်ဆွေ</t>
  </si>
  <si>
    <t>09-763253453</t>
  </si>
  <si>
    <t>ကိုလှိုင်မင်း</t>
  </si>
  <si>
    <t>09-961414798</t>
  </si>
  <si>
    <t>ကိုအောင်ထိုက်</t>
  </si>
  <si>
    <t>ထနောင်းပင်</t>
  </si>
  <si>
    <t>ကိုမြင့်ဦး</t>
  </si>
  <si>
    <t>စုတည်</t>
  </si>
  <si>
    <t>ရာပြည့်မိုး</t>
  </si>
  <si>
    <t>ညောင်ဦး</t>
  </si>
  <si>
    <t>09-457077479</t>
  </si>
  <si>
    <t>ဦးထိန်</t>
  </si>
  <si>
    <t>သူကောင်း</t>
  </si>
  <si>
    <t>09-43178053</t>
  </si>
  <si>
    <t>နန်းတော်သစ်</t>
  </si>
  <si>
    <t>Triple -7</t>
  </si>
  <si>
    <t>ရွာသစ်</t>
  </si>
  <si>
    <t>09-975446797</t>
  </si>
  <si>
    <t>ရွှေရောင်စဉ်</t>
  </si>
  <si>
    <t>ကိုအောင်မျိုးသန့်</t>
  </si>
  <si>
    <t>မိတ်ဆက်</t>
  </si>
  <si>
    <t>09-444004644</t>
  </si>
  <si>
    <t>ဒေါ်သန်းထွား</t>
  </si>
  <si>
    <t>09-444333011</t>
  </si>
  <si>
    <t>မော်</t>
  </si>
  <si>
    <t>09-444004744</t>
  </si>
  <si>
    <t>MDY</t>
  </si>
  <si>
    <t>ကောင်းစံ</t>
  </si>
  <si>
    <t>ပုဂံမြို့သစ်</t>
  </si>
  <si>
    <t>09-401559020</t>
  </si>
  <si>
    <t>ထွေးထွေး</t>
  </si>
  <si>
    <t>09-790164918</t>
  </si>
  <si>
    <t>ကိုဟိန်းသူ</t>
  </si>
  <si>
    <t>09-2043175</t>
  </si>
  <si>
    <t>ရှင်းရှင်းလေး</t>
  </si>
  <si>
    <t>ဓူဝံကြယ်</t>
  </si>
  <si>
    <t>စန်းထက်အောင်</t>
  </si>
  <si>
    <t>09-428312275</t>
  </si>
  <si>
    <t>ကိုဖိုးသက်</t>
  </si>
  <si>
    <t>မြေသင်းတွင်းရွာ</t>
  </si>
  <si>
    <t>ကိုသက်</t>
  </si>
  <si>
    <t>ရန်နောင်</t>
  </si>
  <si>
    <t>ပျော်ဘွယ်မြို့</t>
  </si>
  <si>
    <t>09-770439691</t>
  </si>
  <si>
    <t>မိတ်ဆွေစစ်</t>
  </si>
  <si>
    <t>ခင်</t>
  </si>
  <si>
    <t>09-790157962</t>
  </si>
  <si>
    <t>ကိုသိန်းဇော်</t>
  </si>
  <si>
    <t>ပဲ့ကန်</t>
  </si>
  <si>
    <t>09-693300346</t>
  </si>
  <si>
    <t>ကိုမျိုးဇော်</t>
  </si>
  <si>
    <t>စံကျော်နက်</t>
  </si>
  <si>
    <t>09-662547209</t>
  </si>
  <si>
    <t>ရွှေနွယ်ရိပ်</t>
  </si>
  <si>
    <t>ချဉ်ပစ်ကျီး</t>
  </si>
  <si>
    <t>ကိုဂတုံး</t>
  </si>
  <si>
    <t>ကိုမောင်နိုင်</t>
  </si>
  <si>
    <t>တောင်ကန်ကြီး</t>
  </si>
  <si>
    <t>မသန်းသန်းဦး</t>
  </si>
  <si>
    <t>ကိုဇော်ကြီး</t>
  </si>
  <si>
    <t>ကိုငြိမ်းလွင်</t>
  </si>
  <si>
    <t>မသင်းသင်းဆွေ</t>
  </si>
  <si>
    <t>စံပယ်ကုန်း</t>
  </si>
  <si>
    <t>09-254807742</t>
  </si>
  <si>
    <t>မစိုး</t>
  </si>
  <si>
    <t>တလင်းကုန်း</t>
  </si>
  <si>
    <t>မမိုး</t>
  </si>
  <si>
    <t>ကိုစိုးတင့်</t>
  </si>
  <si>
    <t>သစ်လှကျင်း</t>
  </si>
  <si>
    <t>ဦးဥာဏ်အောင်</t>
  </si>
  <si>
    <t>သဖန်းချောင်း</t>
  </si>
  <si>
    <t>09-978242142</t>
  </si>
  <si>
    <t>ရွှေအုန်းပင်</t>
  </si>
  <si>
    <t>ရွာတန်း</t>
  </si>
  <si>
    <t>ရမည်းသင်းမြို့</t>
  </si>
  <si>
    <t>-</t>
  </si>
  <si>
    <t>စံချိန်(ရမသ)</t>
  </si>
  <si>
    <t>စိုးမိုး</t>
  </si>
  <si>
    <t>09-257777902</t>
  </si>
  <si>
    <t>တက်လူ</t>
  </si>
  <si>
    <t>09-43044698</t>
  </si>
  <si>
    <t>09-951268040</t>
  </si>
  <si>
    <t>ပိုင်ဖြိုး</t>
  </si>
  <si>
    <t>09-2173684</t>
  </si>
  <si>
    <t>မသီတာဝင်း</t>
  </si>
  <si>
    <t>ဘိုကုန်း</t>
  </si>
  <si>
    <t>09-689254334</t>
  </si>
  <si>
    <t>ကိုပါကြီး</t>
  </si>
  <si>
    <t>09-650198491</t>
  </si>
  <si>
    <t>မခင်မာဆွေ</t>
  </si>
  <si>
    <t>09-669722639</t>
  </si>
  <si>
    <t>ကိုထွန်းထွန်း</t>
  </si>
  <si>
    <t>09-965010557</t>
  </si>
  <si>
    <t>မစိန်</t>
  </si>
  <si>
    <t>ကံဦး</t>
  </si>
  <si>
    <t>09-691765321</t>
  </si>
  <si>
    <t>မစိုးသီတာ</t>
  </si>
  <si>
    <t>ကိုစိုးရာဇာ</t>
  </si>
  <si>
    <t>လျော်ဖြူကိုင်း</t>
  </si>
  <si>
    <t>ကိုအောင်ကိုဝင်း</t>
  </si>
  <si>
    <t>ရွှေတောင်ကုန်း</t>
  </si>
  <si>
    <t>ကိုသိန်းလွင်</t>
  </si>
  <si>
    <t>09-677728188</t>
  </si>
  <si>
    <t>မသီတာထွန်း</t>
  </si>
  <si>
    <t>09-650507887</t>
  </si>
  <si>
    <t>ဝမ်းဝမ်း</t>
  </si>
  <si>
    <t>မအေးမြင့်</t>
  </si>
  <si>
    <t>ရေငံရွာ</t>
  </si>
  <si>
    <t>ကျောက်ပန်းတောင်းမြို့</t>
  </si>
  <si>
    <t>09-454997563</t>
  </si>
  <si>
    <t>မဌေးမြင့်</t>
  </si>
  <si>
    <t>09-682268605</t>
  </si>
  <si>
    <t>စိန်ဟင်္သာ</t>
  </si>
  <si>
    <t>လက်ပံပျား</t>
  </si>
  <si>
    <t>ရွာသားကြီး</t>
  </si>
  <si>
    <t>ကိုညွှန့်ဝင်း</t>
  </si>
  <si>
    <t>ဝက်ချုပ်ကုန်း</t>
  </si>
  <si>
    <t>09-445398247</t>
  </si>
  <si>
    <t>ကောင်းသဇင်</t>
  </si>
  <si>
    <t>09-252554085</t>
  </si>
  <si>
    <t>ကိုစိုးဦး</t>
  </si>
  <si>
    <t>09-444803541</t>
  </si>
  <si>
    <t>မခင်မာစန်း</t>
  </si>
  <si>
    <t>ညောင်ပင်ဝိုင်း</t>
  </si>
  <si>
    <t>မဥမ္မာချို</t>
  </si>
  <si>
    <t>ဖက်တောရ</t>
  </si>
  <si>
    <t>09-426882746</t>
  </si>
  <si>
    <t>မဌေး</t>
  </si>
  <si>
    <t>မိုးနံကျင်း</t>
  </si>
  <si>
    <t>09-400441621</t>
  </si>
  <si>
    <t>မစန္ဒာလွင်</t>
  </si>
  <si>
    <t>ကံရွာ</t>
  </si>
  <si>
    <t>09-451820173</t>
  </si>
  <si>
    <t>ကိုလွှမ်းမိုးအောင်</t>
  </si>
  <si>
    <t>09-263043379</t>
  </si>
  <si>
    <t>ကိုအေးမွန်</t>
  </si>
  <si>
    <t>ပန်းပဲလေး</t>
  </si>
  <si>
    <t>09-797722275</t>
  </si>
  <si>
    <t>ကောင်ထက်သူ</t>
  </si>
  <si>
    <t>ကိုပြည်သူအောင်</t>
  </si>
  <si>
    <t>ရေထွက်</t>
  </si>
  <si>
    <t>09-967019490</t>
  </si>
  <si>
    <t>ကိုလှကြိုင်</t>
  </si>
  <si>
    <t>09-943376919</t>
  </si>
  <si>
    <t>ကိုစိုးမင်းနှိုင်</t>
  </si>
  <si>
    <t>ကိုမှတ်ကြီး</t>
  </si>
  <si>
    <t>ကျောက်စစ်ကန်</t>
  </si>
  <si>
    <t>09-761577794</t>
  </si>
  <si>
    <t>ကိုသန်းထိုက်</t>
  </si>
  <si>
    <t>09-451536998</t>
  </si>
  <si>
    <t>ကိုဌေးအောင်</t>
  </si>
  <si>
    <t>09-650208000</t>
  </si>
  <si>
    <t>ကိုမာလုံ</t>
  </si>
  <si>
    <t>ရိုးခြား</t>
  </si>
  <si>
    <t>09-400727619</t>
  </si>
  <si>
    <t>ကိုဥာဏ်လင်း</t>
  </si>
  <si>
    <t>ရှစ်ဝမ်းတူး</t>
  </si>
  <si>
    <t>ဆွေလဲခိုင်</t>
  </si>
  <si>
    <t>09-43012246</t>
  </si>
  <si>
    <t>မရွှေရည်</t>
  </si>
  <si>
    <t>ပုပ္ပါး</t>
  </si>
  <si>
    <t>ပုပ္ပါးမြို့</t>
  </si>
  <si>
    <t>09-403715290</t>
  </si>
  <si>
    <t>မကြူ</t>
  </si>
  <si>
    <t>09-941984656</t>
  </si>
  <si>
    <t>မသူ</t>
  </si>
  <si>
    <t>09-790179945</t>
  </si>
  <si>
    <t>မတင်တင်အေး</t>
  </si>
  <si>
    <t>တောင်ပေါ်ရွာ</t>
  </si>
  <si>
    <t>09-699418999</t>
  </si>
  <si>
    <t>ငွေလမင်း</t>
  </si>
  <si>
    <t>09-696461939</t>
  </si>
  <si>
    <t>အောင်ချမ်းသာ</t>
  </si>
  <si>
    <t>09-696468000</t>
  </si>
  <si>
    <t>ကိုမြင့်ဇော်</t>
  </si>
  <si>
    <t>နဒီအောင်</t>
  </si>
  <si>
    <t>ကိုဖိုးထောင်</t>
  </si>
  <si>
    <t>ကံဓာတ်ကုန်း</t>
  </si>
  <si>
    <t>09-402752064</t>
  </si>
  <si>
    <t>ဦးတင်နွယ်ဦး</t>
  </si>
  <si>
    <t>09-265299133</t>
  </si>
  <si>
    <t>ဟိန်းထက်အောင်</t>
  </si>
  <si>
    <t>09-775519770</t>
  </si>
  <si>
    <t>ဒေါ်ခင်ဝင်း</t>
  </si>
  <si>
    <t>အိုင့်ကုန်း</t>
  </si>
  <si>
    <t>မစန်းမြင့်အေး</t>
  </si>
  <si>
    <t>09-674670252</t>
  </si>
  <si>
    <t>မစန်းစန်းဝင်း</t>
  </si>
  <si>
    <t>ကျေးသာအိုင့်</t>
  </si>
  <si>
    <t>09-698989388</t>
  </si>
  <si>
    <t>09-258335095</t>
  </si>
  <si>
    <t>မလှဝင်းရီ</t>
  </si>
  <si>
    <t>09-664361374</t>
  </si>
  <si>
    <t>ဦးစံမိုး</t>
  </si>
  <si>
    <t>ကျီကုန်း</t>
  </si>
  <si>
    <t>09-651800733</t>
  </si>
  <si>
    <t>ကိုဆန်းဦး</t>
  </si>
  <si>
    <t>ကျောက်ဖူး</t>
  </si>
  <si>
    <t>09-676806081</t>
  </si>
  <si>
    <t>ကိုမျိုး</t>
  </si>
  <si>
    <t>သီးပင်ကုန်း</t>
  </si>
  <si>
    <t>09-459899190</t>
  </si>
  <si>
    <t>09-769553122</t>
  </si>
  <si>
    <t>ဆရာသန်းလွင်</t>
  </si>
  <si>
    <t>ရှမ်းရွာ</t>
  </si>
  <si>
    <t>09-663035717</t>
  </si>
  <si>
    <t>ဖိုးသာထူး</t>
  </si>
  <si>
    <t>ကိုဝေ</t>
  </si>
  <si>
    <t>09-672435488</t>
  </si>
  <si>
    <t>မဥမ္မာလွင်/ထက်</t>
  </si>
  <si>
    <t>09-429494825</t>
  </si>
  <si>
    <t>မမာခိုင်</t>
  </si>
  <si>
    <t>အန်တီမိုး</t>
  </si>
  <si>
    <t>09-252300730</t>
  </si>
  <si>
    <t>ကိုကိုညီညီ</t>
  </si>
  <si>
    <t>ရွှေညောင်ဖူး</t>
  </si>
  <si>
    <t>09-889151297</t>
  </si>
  <si>
    <t>လပြည့်စံ</t>
  </si>
  <si>
    <t>ကိုချစ်ဖွယ်</t>
  </si>
  <si>
    <t>ကိုဇော်လွင်</t>
  </si>
  <si>
    <t>ဝကုန်း</t>
  </si>
  <si>
    <t>09-699828854</t>
  </si>
  <si>
    <t>ရွှေဇီးပင်</t>
  </si>
  <si>
    <t>ခံဘူး</t>
  </si>
  <si>
    <t>09-797311040</t>
  </si>
  <si>
    <t>ရွှေမြင်းပျံ</t>
  </si>
  <si>
    <t>မိဘမေတ္တာ</t>
  </si>
  <si>
    <t>09-402737336</t>
  </si>
  <si>
    <t>မသင်ဇာမိုး</t>
  </si>
  <si>
    <t>အောက်တောက်</t>
  </si>
  <si>
    <t>09-793176808</t>
  </si>
  <si>
    <t>မသက်ထူးစံ</t>
  </si>
  <si>
    <t>09-666904671</t>
  </si>
  <si>
    <t>ဌေးကမ္ဘာ</t>
  </si>
  <si>
    <t>ပြတိုက်</t>
  </si>
  <si>
    <t>09-961419302</t>
  </si>
  <si>
    <t>မပြုံးပြုံး</t>
  </si>
  <si>
    <t>09-790159711</t>
  </si>
  <si>
    <t>ဒေါ်ခင်ညို</t>
  </si>
  <si>
    <t>09-764182702</t>
  </si>
  <si>
    <t>ဒေါ်လှကြည်</t>
  </si>
  <si>
    <t>ဈေးကုန်းကြီး</t>
  </si>
  <si>
    <t>09-957746409</t>
  </si>
  <si>
    <t>မတင်တင်ညို</t>
  </si>
  <si>
    <t>09-960406416</t>
  </si>
  <si>
    <t>ကိုမြင့်အောင်</t>
  </si>
  <si>
    <t>အလည်ကုန်း</t>
  </si>
  <si>
    <t>09-402793386</t>
  </si>
  <si>
    <t>ကိုဖိုးဖာ</t>
  </si>
  <si>
    <t>09-670605328</t>
  </si>
  <si>
    <t>ကိုလေးငယ်</t>
  </si>
  <si>
    <t>အင်းကုန်း</t>
  </si>
  <si>
    <t>09-256101637</t>
  </si>
  <si>
    <t>ကိုစိုးနိုင်</t>
  </si>
  <si>
    <t>09-685936399</t>
  </si>
  <si>
    <t>မစန်းနုဝေ</t>
  </si>
  <si>
    <t>09-400452178</t>
  </si>
  <si>
    <t>09-668040235</t>
  </si>
  <si>
    <t>ကိုသိန်းထွန်းဦး</t>
  </si>
  <si>
    <t>ထနောင်းကုန်း</t>
  </si>
  <si>
    <t>09-953538942</t>
  </si>
  <si>
    <t>ကိုဝင်းဇော်</t>
  </si>
  <si>
    <t>09-673185667</t>
  </si>
  <si>
    <t>မခင်မာဌေး</t>
  </si>
  <si>
    <t>ကြာပစ်ကန်</t>
  </si>
  <si>
    <t>09-798918475</t>
  </si>
  <si>
    <t>ကိုအောင်ကိုလင်း</t>
  </si>
  <si>
    <t>မဖြူဖြူဝင်း</t>
  </si>
  <si>
    <t>ထနောင်းကန်</t>
  </si>
  <si>
    <t>09-974512448</t>
  </si>
  <si>
    <t>ကိုကျော်ဟိန်း</t>
  </si>
  <si>
    <t>09-777436779</t>
  </si>
  <si>
    <t>မမိုးသူ</t>
  </si>
  <si>
    <t>မခင်မာဆန်း</t>
  </si>
  <si>
    <t>မောင်းမဆည်</t>
  </si>
  <si>
    <t>09-773409230</t>
  </si>
  <si>
    <t>မင်းစုဝေ/နိုင်</t>
  </si>
  <si>
    <t>ကိုသိန်းတန်</t>
  </si>
  <si>
    <t>09-958100730</t>
  </si>
  <si>
    <t>မဖြူဖြူသင်း</t>
  </si>
  <si>
    <t>09-663372996</t>
  </si>
  <si>
    <t>ဦးဝင်းပို</t>
  </si>
  <si>
    <t>09-682668200</t>
  </si>
  <si>
    <t>ကိုသိန်းငွေ</t>
  </si>
  <si>
    <t>09-668894642</t>
  </si>
  <si>
    <t>မအေးမြထွေး</t>
  </si>
  <si>
    <t>ကျောက်ပနား</t>
  </si>
  <si>
    <t>ဝမ်းတွင်းမြို့</t>
  </si>
  <si>
    <t>09-881043390</t>
  </si>
  <si>
    <t>ဟိဏ်းထက်</t>
  </si>
  <si>
    <t>ကိုထွန်းဝင်းမြိုင်</t>
  </si>
  <si>
    <t>သာဂရ</t>
  </si>
  <si>
    <t>09-693042103</t>
  </si>
  <si>
    <t>မတင်စန်းမူ</t>
  </si>
  <si>
    <t>09-40333375</t>
  </si>
  <si>
    <t>ကိုသိန်းကျော်ဌေး</t>
  </si>
  <si>
    <t>09-687499939</t>
  </si>
  <si>
    <t>ကိုစိုးမင်းအောင်</t>
  </si>
  <si>
    <t>09-444579571</t>
  </si>
  <si>
    <t>ဦးခင်မောင်ချို</t>
  </si>
  <si>
    <t>09-666064790</t>
  </si>
  <si>
    <t>ဦးကံရှိန်</t>
  </si>
  <si>
    <t>09-671502787</t>
  </si>
  <si>
    <t>ဒေါ်ကြည်ဌေး</t>
  </si>
  <si>
    <t>ဦးအောင်သင်း</t>
  </si>
  <si>
    <t>သုံးပတ်လည်</t>
  </si>
  <si>
    <t>09-447938841</t>
  </si>
  <si>
    <t>ကိုနေထက်လင်း</t>
  </si>
  <si>
    <t>ကိုကျော်အောင်</t>
  </si>
  <si>
    <t>09-785788274</t>
  </si>
  <si>
    <t>ကိုဇော်ထက်အောင်</t>
  </si>
  <si>
    <t>09-980808559</t>
  </si>
  <si>
    <t>ရှိုင်းဖုန်းသန့်</t>
  </si>
  <si>
    <t>မအေးချာ</t>
  </si>
  <si>
    <t>သဲပုံ</t>
  </si>
  <si>
    <t>09-455206388</t>
  </si>
  <si>
    <t>ဒေါ်တင်တင်ယု</t>
  </si>
  <si>
    <t>ဟံဇား</t>
  </si>
  <si>
    <t>မရွှေရင်</t>
  </si>
  <si>
    <t>ဆပ်ခင်း</t>
  </si>
  <si>
    <t>09-675736624</t>
  </si>
  <si>
    <t>ရွှေမြင်း/ဦးဝင်းနိုင်</t>
  </si>
  <si>
    <t>ကိုမောင်လေး</t>
  </si>
  <si>
    <t>ဖလန်းကန်</t>
  </si>
  <si>
    <t>09-781408274</t>
  </si>
  <si>
    <t>09-790877193</t>
  </si>
  <si>
    <t>ကိုကျော်စိန်ဝင်း</t>
  </si>
  <si>
    <t>09-250339702</t>
  </si>
  <si>
    <t>ကိုနေမျိုးအောင်</t>
  </si>
  <si>
    <t>09-696804026</t>
  </si>
  <si>
    <t>ဦးဝင်းတင့်</t>
  </si>
  <si>
    <t>ဘုရားစု</t>
  </si>
  <si>
    <t>09-402719857</t>
  </si>
  <si>
    <t>နှင်းပုလဲ</t>
  </si>
  <si>
    <t>09-402517192</t>
  </si>
  <si>
    <t>ကိုကျော်သူ</t>
  </si>
  <si>
    <t>သီးကုန်း</t>
  </si>
  <si>
    <t>09-256000903</t>
  </si>
  <si>
    <t>09-799106577</t>
  </si>
  <si>
    <t>ကောင်းကင်မိုး</t>
  </si>
  <si>
    <t>09-452973686</t>
  </si>
  <si>
    <t>ဝေလုအောင်</t>
  </si>
  <si>
    <t>မအိသူအောင်</t>
  </si>
  <si>
    <t>ကိုကျောက်ခဲ</t>
  </si>
  <si>
    <t>09-683877641</t>
  </si>
  <si>
    <t>ကိုဆန်းပွင့်</t>
  </si>
  <si>
    <t>ညောင်ပင်လှ</t>
  </si>
  <si>
    <t>09-695063955</t>
  </si>
  <si>
    <t>မနှင်းနှင်းခိုင်</t>
  </si>
  <si>
    <t>09-674869581</t>
  </si>
  <si>
    <t>ခင်ကြီး</t>
  </si>
  <si>
    <t>09-402294900</t>
  </si>
  <si>
    <t>ဦးမြင့်အောင်</t>
  </si>
  <si>
    <t>09-402559772</t>
  </si>
  <si>
    <t>ကိုချစ်လှ</t>
  </si>
  <si>
    <t>ဆူးပန်း</t>
  </si>
  <si>
    <t>09-762666022</t>
  </si>
  <si>
    <t>ကိုသန့်ဇင်</t>
  </si>
  <si>
    <t>ကံစွယ်</t>
  </si>
  <si>
    <t>ကိုနိုင်လင်း</t>
  </si>
  <si>
    <t>ဂုဏ်ရွာ</t>
  </si>
  <si>
    <t>09-677627999</t>
  </si>
  <si>
    <t>မကျီးအုပ်</t>
  </si>
  <si>
    <t>09-797226983</t>
  </si>
  <si>
    <t>မိုးကောင်းကင်</t>
  </si>
  <si>
    <t>သဲတော</t>
  </si>
  <si>
    <t>09-402634209</t>
  </si>
  <si>
    <t>တောသားကြီး</t>
  </si>
  <si>
    <t>09-444270440</t>
  </si>
  <si>
    <t>ကိုအောင်မင်းလွင်</t>
  </si>
  <si>
    <t>ရိုးစုံ</t>
  </si>
  <si>
    <t>09-681820960</t>
  </si>
  <si>
    <t>အမွှာညီမ</t>
  </si>
  <si>
    <t>ရွှေတမာတန်း</t>
  </si>
  <si>
    <t>ကိုရင်ကြီး</t>
  </si>
  <si>
    <t>ဒေါ်ကြူ</t>
  </si>
  <si>
    <t>ခင်ပန်း</t>
  </si>
  <si>
    <t>09-669200283</t>
  </si>
  <si>
    <t>ကိုပေါက်ကျိုင်း</t>
  </si>
  <si>
    <t>သဖန်း</t>
  </si>
  <si>
    <t>09-880220294</t>
  </si>
  <si>
    <t>မစန်းမြင့်</t>
  </si>
  <si>
    <t>09-402273339</t>
  </si>
  <si>
    <t>ဒေါ်ပေါရီ</t>
  </si>
  <si>
    <t>အိုမတွေ့</t>
  </si>
  <si>
    <t>09-762304093</t>
  </si>
  <si>
    <t>မသူဇာ</t>
  </si>
  <si>
    <t>သစ်ပုလွေကန်</t>
  </si>
  <si>
    <t>09-943156429</t>
  </si>
  <si>
    <t>မဝေဝေလွင်</t>
  </si>
  <si>
    <t>09-761363173</t>
  </si>
  <si>
    <t>ဝမ်းတွင်း</t>
  </si>
  <si>
    <t>09-790807538</t>
  </si>
  <si>
    <t>မနှင်းဝေအောင်</t>
  </si>
  <si>
    <t>ကျောင်းကုန်း</t>
  </si>
  <si>
    <t>09-789901252</t>
  </si>
  <si>
    <t>မမူမူခိုင်</t>
  </si>
  <si>
    <t>09-667421139</t>
  </si>
  <si>
    <t>ကိုမြင့်ဇော်ဦး</t>
  </si>
  <si>
    <t>09-440219115</t>
  </si>
  <si>
    <t>မွန်မွန်ကို</t>
  </si>
  <si>
    <t>09-767711960</t>
  </si>
  <si>
    <t>မခင်ဝင်းရီ</t>
  </si>
  <si>
    <t>ကန်အောက်</t>
  </si>
  <si>
    <t>09-677453417</t>
  </si>
  <si>
    <t>ကိုမောင်ကြည်</t>
  </si>
  <si>
    <t>ကုက္ကိုခါးလှ</t>
  </si>
  <si>
    <t>09-772129693</t>
  </si>
  <si>
    <t>မချိုသဲ</t>
  </si>
  <si>
    <t>09-691111605</t>
  </si>
  <si>
    <t>ကိုကျော်သင်း</t>
  </si>
  <si>
    <t>09-756306476</t>
  </si>
  <si>
    <t>မဥ္ဇူ</t>
  </si>
  <si>
    <t>တဲစု</t>
  </si>
  <si>
    <t>09-770362355</t>
  </si>
  <si>
    <t>ရွှေညီမ</t>
  </si>
  <si>
    <t>အုတ်တွင်း</t>
  </si>
  <si>
    <t>09-682274638</t>
  </si>
  <si>
    <t>ဦးဝင်းနိုင်/ဖိုးသာထူး</t>
  </si>
  <si>
    <t>သုခစံ</t>
  </si>
  <si>
    <t>နန်းတော်ကုန်း</t>
  </si>
  <si>
    <t>09-689556854</t>
  </si>
  <si>
    <t>09-664673161</t>
  </si>
  <si>
    <t>ရှိုင်းစတား</t>
  </si>
  <si>
    <t>09-896210585</t>
  </si>
  <si>
    <t>ကိုရဲဇော်</t>
  </si>
  <si>
    <t>09-686665693</t>
  </si>
  <si>
    <t>မခိုင်</t>
  </si>
  <si>
    <t>09-663237043</t>
  </si>
  <si>
    <t>မခင်စိုးဝင်း</t>
  </si>
  <si>
    <t>09-677486532</t>
  </si>
  <si>
    <t>09-670754325</t>
  </si>
  <si>
    <t>စိန်ငွေနှင်း</t>
  </si>
  <si>
    <t>ဇဝင်း</t>
  </si>
  <si>
    <t>09-691198005</t>
  </si>
  <si>
    <t>မြောင်းဦး</t>
  </si>
  <si>
    <t>09-695884801</t>
  </si>
  <si>
    <t>ရွှေမြင်း/ဟိဏ်းထက်</t>
  </si>
  <si>
    <t>ကိုမြတ်စောင်းအောင်</t>
  </si>
  <si>
    <t>09-402508768</t>
  </si>
  <si>
    <t>ကိုမိုးကျော်</t>
  </si>
  <si>
    <t>09-677864440</t>
  </si>
  <si>
    <t>ကိုဇော်ဦး</t>
  </si>
  <si>
    <t>09-688496016</t>
  </si>
  <si>
    <t>ကိုအောင်ဆန်းလင်း</t>
  </si>
  <si>
    <t>09-793362513</t>
  </si>
  <si>
    <t>မဇင်မာဖြိုး</t>
  </si>
  <si>
    <t>09-650413124</t>
  </si>
  <si>
    <t>မဇာခြည်ကျော်</t>
  </si>
  <si>
    <t>09-668150500</t>
  </si>
  <si>
    <t>09-690939123</t>
  </si>
  <si>
    <t>ဦးထွန်းဝေ</t>
  </si>
  <si>
    <t>နှမ်းကန်</t>
  </si>
  <si>
    <t>09-402521404</t>
  </si>
  <si>
    <t>မင်းစုဝေ</t>
  </si>
  <si>
    <t>ဒေါ်သန်းမြင့်</t>
  </si>
  <si>
    <t>ကုက္ကိုပေါက်</t>
  </si>
  <si>
    <t>09-667869666</t>
  </si>
  <si>
    <t>ကျောင်းဆရာ</t>
  </si>
  <si>
    <t>မောင်းတိုင်</t>
  </si>
  <si>
    <t>09-798927983</t>
  </si>
  <si>
    <t>ဒေါ်တင်နီလာ/ဝင်း</t>
  </si>
  <si>
    <t>09-798039912</t>
  </si>
  <si>
    <t>ကိုရဲမင်းအောင်</t>
  </si>
  <si>
    <t>09-670503510</t>
  </si>
  <si>
    <t>ဦးဇော်ဦး</t>
  </si>
  <si>
    <t>ညောင်ရမ်း</t>
  </si>
  <si>
    <t>09-692682084</t>
  </si>
  <si>
    <t>မနိုင်နိုင်မော်</t>
  </si>
  <si>
    <t>ဇီးတောအိုင်</t>
  </si>
  <si>
    <t>09-751739833</t>
  </si>
  <si>
    <t>လပြည့်စံ(ပဗ)</t>
  </si>
  <si>
    <t>မသန်းသန်းဆင့်</t>
  </si>
  <si>
    <t>မကျီးရိုး</t>
  </si>
  <si>
    <t>09-787902090</t>
  </si>
  <si>
    <t>မခင်သန်းနု</t>
  </si>
  <si>
    <t>09-766789224</t>
  </si>
  <si>
    <t>ကိုထွန်းကြည်</t>
  </si>
  <si>
    <t>ဘုန်းတလုတ်</t>
  </si>
  <si>
    <t>09-401957985</t>
  </si>
  <si>
    <t>ဦးဝင်းမြင့်</t>
  </si>
  <si>
    <t>မကျီးခွ</t>
  </si>
  <si>
    <t>09-687218274</t>
  </si>
  <si>
    <t>ကိုကျော်ဆင့်</t>
  </si>
  <si>
    <t>09-670057730</t>
  </si>
  <si>
    <t>ကိုလင်းလင်း</t>
  </si>
  <si>
    <t>09-790292701</t>
  </si>
  <si>
    <t>ဒေါ်ခင်မြင့်</t>
  </si>
  <si>
    <t>ကျောက်ကာ</t>
  </si>
  <si>
    <t>09-693088620</t>
  </si>
  <si>
    <t>ကိုသိန်းသန်းဦး</t>
  </si>
  <si>
    <t>ကြာကန်</t>
  </si>
  <si>
    <t>မတင်တင်မြင့်/မတိုးတိုးမြင့်</t>
  </si>
  <si>
    <t>ကုက္ကိုကုန်း</t>
  </si>
  <si>
    <t>09-453371202</t>
  </si>
  <si>
    <t>09-694988748</t>
  </si>
  <si>
    <t>ကိုဌေး</t>
  </si>
  <si>
    <t>ညောင်အိုင့်</t>
  </si>
  <si>
    <t>09-402754291</t>
  </si>
  <si>
    <t>မအေးကြူ</t>
  </si>
  <si>
    <t>ပေါက်တော</t>
  </si>
  <si>
    <t>09-688308266</t>
  </si>
  <si>
    <t>ကိုမျိုးနိုင်</t>
  </si>
  <si>
    <t>09-256569875</t>
  </si>
  <si>
    <t>ကိုထွန်းမြင့်/ဦးထွေးမြင့်</t>
  </si>
  <si>
    <t>အင်းအုံး</t>
  </si>
  <si>
    <t>09-776394939</t>
  </si>
  <si>
    <t>ကိုထွန်းနိုင်</t>
  </si>
  <si>
    <t>09-696034461</t>
  </si>
  <si>
    <t>ကိုဆွေကျော်/ကိုဆွေ</t>
  </si>
  <si>
    <t>ကိုအေးမင်း</t>
  </si>
  <si>
    <t>အုတ်ဖို</t>
  </si>
  <si>
    <t>ကိုဆွေ</t>
  </si>
  <si>
    <t>မမိုးမိုးခိုင်</t>
  </si>
  <si>
    <t>09-897181005</t>
  </si>
  <si>
    <t>ပြည့်လျှံ</t>
  </si>
  <si>
    <t>ညောင်ကိုင်း</t>
  </si>
  <si>
    <t>မမြဝင်း</t>
  </si>
  <si>
    <t>ရွှေတုတ်ကုန်း</t>
  </si>
  <si>
    <t>09-692828052</t>
  </si>
  <si>
    <t>မသင်ဇာနွယ်</t>
  </si>
  <si>
    <t>09-685429853</t>
  </si>
  <si>
    <t>ကိုမြိုင်</t>
  </si>
  <si>
    <t>အုတ်ကုန်း</t>
  </si>
  <si>
    <t>09-661713559</t>
  </si>
  <si>
    <t>မမြင့်သန္တာကျော်</t>
  </si>
  <si>
    <t>09-425476991</t>
  </si>
  <si>
    <t>ကိုအောင်ကိုလတ်</t>
  </si>
  <si>
    <t>09-978467382</t>
  </si>
  <si>
    <t>နတ်မြောင်း</t>
  </si>
  <si>
    <t>09-678458767</t>
  </si>
  <si>
    <t>ကိုဆွေလှိုင်ဦး</t>
  </si>
  <si>
    <t>ဒဟတ်ကျင်း</t>
  </si>
  <si>
    <t>09-408836859</t>
  </si>
  <si>
    <t>ကိုမင်းမင်း</t>
  </si>
  <si>
    <t>ဇီးပင်တွင်း</t>
  </si>
  <si>
    <t>09-666777310</t>
  </si>
  <si>
    <t>မစန်းစန်းမော်</t>
  </si>
  <si>
    <t>09-402758473</t>
  </si>
  <si>
    <t>မမေသန်းနု</t>
  </si>
  <si>
    <t>09-770445519</t>
  </si>
  <si>
    <t>အန်ကယ်ကြီး</t>
  </si>
  <si>
    <t>ညောင်ကုန်း</t>
  </si>
  <si>
    <t>09-778182293</t>
  </si>
  <si>
    <t>ဦးတင်အေး</t>
  </si>
  <si>
    <t>ကန်သာအေး</t>
  </si>
  <si>
    <t>Van3-1</t>
  </si>
  <si>
    <t>09-792331851</t>
  </si>
  <si>
    <t>ရွှေမြင်းပျံ(ရမသ)</t>
  </si>
  <si>
    <t>ကိုဖိုးချင်</t>
  </si>
  <si>
    <t>‌ဗျဥ်းကတ်</t>
  </si>
  <si>
    <t>မလှလှသင်း</t>
  </si>
  <si>
    <t>မစုခိုင်</t>
  </si>
  <si>
    <t>ထူးကုန်း</t>
  </si>
  <si>
    <t>ဒေါ်ဝင်းတင့်</t>
  </si>
  <si>
    <t>အိရွှေဇင်</t>
  </si>
  <si>
    <t>ဘွတ်ရွာ</t>
  </si>
  <si>
    <t>မထက်ထက်သန်း</t>
  </si>
  <si>
    <t>မမာလာခိုင်</t>
  </si>
  <si>
    <t>မချိုလေး</t>
  </si>
  <si>
    <t>မတရုတ်မ</t>
  </si>
  <si>
    <t>မမာလှိုင်</t>
  </si>
  <si>
    <t>ကင်မွန်းခြုံ</t>
  </si>
  <si>
    <t>Van3-2</t>
  </si>
  <si>
    <t>09-695995977</t>
  </si>
  <si>
    <t>ကိုကျော်ထူး</t>
  </si>
  <si>
    <t>ဇီးဖြူကုန်း</t>
  </si>
  <si>
    <t>09-402718864</t>
  </si>
  <si>
    <t>ကိုထွန်းထွန်းအောင်</t>
  </si>
  <si>
    <t>ညောင်အိုင်</t>
  </si>
  <si>
    <t>09-683810014</t>
  </si>
  <si>
    <t>ကိုဇော်မင်းနိုင်</t>
  </si>
  <si>
    <t>09-678340300</t>
  </si>
  <si>
    <t>09-668876085</t>
  </si>
  <si>
    <t>ကိုစိုင်း</t>
  </si>
  <si>
    <t>မညိုညိုသက်</t>
  </si>
  <si>
    <t>ထီးလှိုင်</t>
  </si>
  <si>
    <t>မိုးယံ(ရမသ)</t>
  </si>
  <si>
    <t>ဦးမြင့်တင်</t>
  </si>
  <si>
    <t>စည်းခုံ</t>
  </si>
  <si>
    <t>09-775126779</t>
  </si>
  <si>
    <t>ဒေါ်အေးခိုင်</t>
  </si>
  <si>
    <t>သရက်ညီနောင်</t>
  </si>
  <si>
    <t>ဒေါ်ဇင်မာဝင်း</t>
  </si>
  <si>
    <t>ကိုဘိုဘို</t>
  </si>
  <si>
    <t>မြို့လှ</t>
  </si>
  <si>
    <t>Van3-3</t>
  </si>
  <si>
    <t>အင်းပေါင်</t>
  </si>
  <si>
    <t>ကိုကျော်မျိုးဆွေ</t>
  </si>
  <si>
    <t>မမာဝင်း</t>
  </si>
  <si>
    <t>ပိုပိုပြည့်စုံ</t>
  </si>
  <si>
    <t>ဦးကံကောင်း</t>
  </si>
  <si>
    <t>09-777681681</t>
  </si>
  <si>
    <t>ဦးနိုင်ဦး</t>
  </si>
  <si>
    <t>09-424749049</t>
  </si>
  <si>
    <t>မဝိုင်းဝိုင်း</t>
  </si>
  <si>
    <t>09-790581390</t>
  </si>
  <si>
    <t>ကိုစိုးသူ</t>
  </si>
  <si>
    <t>ဝါးရုံ</t>
  </si>
  <si>
    <t>မရီဝင်း</t>
  </si>
  <si>
    <t>မတင်မိုးခိုင်</t>
  </si>
  <si>
    <t>09-689005273</t>
  </si>
  <si>
    <t>မတိုးတိုး</t>
  </si>
  <si>
    <t>မကြည်ဖြူ</t>
  </si>
  <si>
    <t>မိဘအရိပ်</t>
  </si>
  <si>
    <t>ကျီစု</t>
  </si>
  <si>
    <t>Van3-4</t>
  </si>
  <si>
    <t>ဒေါ်ကြည်ထွေး</t>
  </si>
  <si>
    <t>တေဇလင်း</t>
  </si>
  <si>
    <t>နန်းလုံ</t>
  </si>
  <si>
    <t>မဖော့</t>
  </si>
  <si>
    <t>ကိုမိုးဝေ</t>
  </si>
  <si>
    <t>မမိသေး</t>
  </si>
  <si>
    <t>Van3-5</t>
  </si>
  <si>
    <t>မညိုသက်</t>
  </si>
  <si>
    <t>ကိုမောင်တုတ်</t>
  </si>
  <si>
    <t>အလယ်ကုန်း</t>
  </si>
  <si>
    <t>ကြံတိုင်းအောင်</t>
  </si>
  <si>
    <t>ရွှေမဟာ</t>
  </si>
  <si>
    <t>Van3-6</t>
  </si>
  <si>
    <t>ကိုစောဂျော်နီ</t>
  </si>
  <si>
    <t>ဂွေးကုန်း</t>
  </si>
  <si>
    <t>မအေးဆင့်</t>
  </si>
  <si>
    <t>ကိုလင်းလက်</t>
  </si>
  <si>
    <t>မစောမူ</t>
  </si>
  <si>
    <t>မမြင့်စန်း</t>
  </si>
  <si>
    <t>ကိုမိုးဝင်း</t>
  </si>
  <si>
    <t>ရွှေကုန်း</t>
  </si>
  <si>
    <t xml:space="preserve">Actual Route Name </t>
  </si>
  <si>
    <t xml:space="preserve">Total Working Day / month </t>
  </si>
  <si>
    <t xml:space="preserve">Call Plan </t>
  </si>
  <si>
    <t xml:space="preserve">Visit Call </t>
  </si>
  <si>
    <t>Strike Rate</t>
  </si>
  <si>
    <t>Zay
(1×14)</t>
  </si>
  <si>
    <t>Lime (1x14)</t>
  </si>
  <si>
    <t>Myanmar Shout  Pyar(1x14)</t>
  </si>
  <si>
    <t>White Orange(1x24)</t>
  </si>
  <si>
    <t>Zayawaddy Red(1x12)</t>
  </si>
  <si>
    <t>Zayawaddy Red(1x14)</t>
  </si>
  <si>
    <t>KK (14)</t>
  </si>
  <si>
    <t>KK
25%
1000 ml</t>
  </si>
  <si>
    <t>Mongnai Kunki(1x14)</t>
  </si>
  <si>
    <t>Mongnai Kunki(1 Liter)</t>
  </si>
  <si>
    <t>Scropion ကင်း(1x14)</t>
  </si>
  <si>
    <t>Shwe Min Thar-Hkung rai(1x24)</t>
  </si>
  <si>
    <t>Shwe Min Thar-Tamarind Hkung rai(1x14)</t>
  </si>
  <si>
    <t>Rum/red
(40%) 
1000 ml</t>
  </si>
  <si>
    <t>Cherry Lime(1 Liter)</t>
  </si>
  <si>
    <t>Cherry (0.6Liter)</t>
  </si>
  <si>
    <t>Moe Nae 1000ml</t>
  </si>
  <si>
    <t>Shwe Min Thar-Tamarind Hkung rai(0.6 Liter)</t>
  </si>
  <si>
    <t>Cherry Lime(0.6 Liter)</t>
  </si>
  <si>
    <t>Shwe Min Thar-Hkung rai(0.6 Liter)</t>
  </si>
  <si>
    <t>Formula Rum 
700ml</t>
  </si>
  <si>
    <t>Formula Rum 
350ml</t>
  </si>
  <si>
    <t>Dagon Pineapple (1x24)</t>
  </si>
  <si>
    <t>Shwe Man 1000 ml</t>
  </si>
  <si>
    <t>MHL</t>
  </si>
  <si>
    <t xml:space="preserve">Bot </t>
  </si>
  <si>
    <t xml:space="preserve">Van 1 </t>
  </si>
  <si>
    <t>2 Days</t>
  </si>
  <si>
    <t>3 Days</t>
  </si>
  <si>
    <t>Van 3(Yamethin New Market)</t>
  </si>
  <si>
    <t>4 Days</t>
  </si>
  <si>
    <t>ရွာတန်း၊ရွှေတောင်ကုန်း၊ဂွေးကုန်း၊ရွှေကုန်း</t>
  </si>
  <si>
    <t>Competition Report</t>
  </si>
  <si>
    <t>DB Margin/Profit</t>
  </si>
  <si>
    <t>FOCUS/ Budget</t>
  </si>
  <si>
    <t>ALCOHOL</t>
  </si>
  <si>
    <t>W/S</t>
  </si>
  <si>
    <t>FINAL BUYING PRICE</t>
  </si>
  <si>
    <t>Customer</t>
  </si>
  <si>
    <t>Estimated Sec</t>
  </si>
  <si>
    <t>Town</t>
  </si>
  <si>
    <t>Company Name</t>
  </si>
  <si>
    <t>Distributor</t>
  </si>
  <si>
    <t>DB Landing Price</t>
  </si>
  <si>
    <t>DB Selling Price</t>
  </si>
  <si>
    <t>Selling- landing</t>
  </si>
  <si>
    <t>Product</t>
  </si>
  <si>
    <t>Size/ ML</t>
  </si>
  <si>
    <t>Packing Size</t>
  </si>
  <si>
    <t>ABV %age</t>
  </si>
  <si>
    <t>Buying Price</t>
  </si>
  <si>
    <t>Freight+Labour</t>
  </si>
  <si>
    <t>Trade promotion( If Any)</t>
  </si>
  <si>
    <t>Buying-(Freight+Promotion)</t>
  </si>
  <si>
    <t>Selling price</t>
  </si>
  <si>
    <t>in cartons</t>
  </si>
  <si>
    <t>မိထ္တီလာ</t>
  </si>
  <si>
    <t>ဆင်မင်း</t>
  </si>
  <si>
    <t>ရွှေဇင်ယော်</t>
  </si>
  <si>
    <t>မန်း BE</t>
  </si>
  <si>
    <t>FOCUS</t>
  </si>
  <si>
    <t>640ml</t>
  </si>
  <si>
    <t>500 By 1Ctn=140Ks</t>
  </si>
  <si>
    <t>ဂျင်သံပုရာ</t>
  </si>
  <si>
    <t>700 By 1Ctn=140Ks</t>
  </si>
  <si>
    <t>SKK</t>
  </si>
  <si>
    <t>စံချိန်(ရွှာတန်း)</t>
  </si>
  <si>
    <t>ဆန်းရှိုင်း</t>
  </si>
  <si>
    <t>Budget</t>
  </si>
  <si>
    <t>1000ml</t>
  </si>
  <si>
    <t>ကားခ=500ခံ</t>
  </si>
  <si>
    <t>ပန်ဒါ</t>
  </si>
  <si>
    <t>ကိုအောင်မိုး</t>
  </si>
  <si>
    <t>ပွင့်သစ်ရွှေ</t>
  </si>
  <si>
    <t xml:space="preserve"> Bu</t>
  </si>
  <si>
    <t>600ml</t>
  </si>
  <si>
    <t>Shwe Yi</t>
  </si>
  <si>
    <t>ကျားခေါင်း</t>
  </si>
  <si>
    <t>ကိုအောင်မိုး/စံချိန်</t>
  </si>
  <si>
    <t>RO</t>
  </si>
  <si>
    <t>ဆေးပေါင်းခ</t>
  </si>
  <si>
    <t>ဇိမ်</t>
  </si>
  <si>
    <t>ရွှေတော</t>
  </si>
  <si>
    <t>မြဟင်္သာ</t>
  </si>
  <si>
    <t>မေမြို့ ဝိုင်</t>
  </si>
  <si>
    <t>Leader</t>
  </si>
  <si>
    <t>ဂျော်ကီ</t>
  </si>
  <si>
    <t>Gold အရက်သန့်</t>
  </si>
  <si>
    <t>ဖြိုး မိသာစု</t>
  </si>
  <si>
    <t>အားတစ်ရာ</t>
  </si>
  <si>
    <t>ICICLE</t>
  </si>
  <si>
    <t>ကောင်သန့်</t>
  </si>
  <si>
    <t>စစ်မြင်း</t>
  </si>
  <si>
    <t>100pk By 1pk=500</t>
  </si>
  <si>
    <t>နဂါး</t>
  </si>
  <si>
    <t>စံအရက်</t>
  </si>
  <si>
    <t>ကမ္ဘောဇ</t>
  </si>
  <si>
    <t>အားတရာ</t>
  </si>
  <si>
    <t>ဟိန်ုးသူ</t>
  </si>
  <si>
    <t>မန်း အာမီ</t>
  </si>
  <si>
    <t>700ml</t>
  </si>
  <si>
    <t>ထွေးညို</t>
  </si>
  <si>
    <t>စတားသံပုရာ</t>
  </si>
  <si>
    <t>ပျွိင့်</t>
  </si>
  <si>
    <t>100By=4Pk</t>
  </si>
  <si>
    <t>ဦးသန်းဝင်း</t>
  </si>
  <si>
    <t>အားမာန် သံပုရာ</t>
  </si>
  <si>
    <t>100By=3Pk</t>
  </si>
  <si>
    <t>ဖြိုး  အရက်သန့်</t>
  </si>
  <si>
    <t>Jan-Feb 2025 AVG</t>
  </si>
  <si>
    <t>Jan-Feb 2026 AVG</t>
  </si>
  <si>
    <t>Jan-Feb AVG 2025</t>
  </si>
  <si>
    <t>Jan-Feb AVG 2026</t>
  </si>
  <si>
    <t>GOLY Jan-Feb 25 Vs 26</t>
  </si>
  <si>
    <t>YTD Jan-Feb</t>
  </si>
  <si>
    <t>Actual Sales Gain/ Loss in Carton (last 2 Months)</t>
  </si>
  <si>
    <t>မြန်မာရှောက်ပျား(1 Liter)</t>
  </si>
  <si>
    <t>Town wise Contribution Jan-Feb'26</t>
  </si>
  <si>
    <t>YTD (Jan-Feb)</t>
  </si>
  <si>
    <t>Gain/Loss  in 2 Months</t>
  </si>
  <si>
    <t>AVG. To Do monthly in next 10 months</t>
  </si>
  <si>
    <t>Van Wise SKU Report (February-2026)</t>
  </si>
  <si>
    <t>Effective Call</t>
  </si>
  <si>
    <t>Zay VODKA(1*12)</t>
  </si>
  <si>
    <t>Myanmar Shout  Pyar(1 Liter)</t>
  </si>
  <si>
    <t>Shwe Min Thar-Tamarind Hkung rai(06 Liter)</t>
  </si>
  <si>
    <t>Zay, White Orange &amp; Kaung Kyi, Myanmar Shoukpyar</t>
  </si>
  <si>
    <t>Zayawaddy, cherry, Lime, Moe Nae Kon 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</si>
</sst>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10000455]0"/>
    <numFmt numFmtId="168" formatCode="_-* #,##0_-;\-* #,##0_-;_-* &quot;-&quot;??_-;_-@_-"/>
    <numFmt numFmtId="169" formatCode="_-* #,##0_-;\-* #,##0_-;_-* &quot;-&quot;_-;_-@"/>
    <numFmt numFmtId="170" formatCode="_(* #,##0.0_);_(* \(#,##0.0\);_(* &quot;-&quot;??_);_(@_)"/>
    <numFmt numFmtId="171" formatCode="_-* #,##0.0_-;\-* #,##0.0_-;_-* &quot;-&quot;??_-;_-@_-"/>
    <numFmt numFmtId="172" formatCode="0.0000"/>
    <numFmt numFmtId="173" formatCode="0.000"/>
  </numFmts>
  <fonts count="49">
    <font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b/>
      <sz val="10"/>
      <name val="Pyidaungsu"/>
      <family val="2"/>
    </font>
    <font>
      <sz val="11"/>
      <color theme="1"/>
      <name val="Zawgyi-One"/>
      <family val="2"/>
    </font>
    <font>
      <sz val="10"/>
      <name val="Pyidaungsu"/>
      <family val="2"/>
    </font>
    <font>
      <sz val="10"/>
      <color rgb="FFFF0000"/>
      <name val="Pyidaungsu"/>
      <family val="2"/>
    </font>
    <font>
      <sz val="11"/>
      <name val="Pyidaungsu"/>
      <family val="2"/>
    </font>
    <font>
      <b/>
      <sz val="13"/>
      <name val="Pyidaungsu"/>
      <family val="2"/>
    </font>
    <font>
      <b/>
      <sz val="13"/>
      <color rgb="FFFF0000"/>
      <name val="Pyidaungsu"/>
      <family val="2"/>
    </font>
    <font>
      <sz val="13"/>
      <name val="Pyidaungsu"/>
      <family val="2"/>
    </font>
    <font>
      <b/>
      <sz val="11"/>
      <name val="Pyidaungsu"/>
      <family val="2"/>
    </font>
    <font>
      <sz val="11"/>
      <color theme="1"/>
      <name val="Pyidaungsu"/>
      <family val="2"/>
    </font>
    <font>
      <sz val="13"/>
      <color theme="1"/>
      <name val="Pyidaungsu"/>
      <family val="2"/>
    </font>
    <font>
      <b/>
      <sz val="11"/>
      <color theme="1"/>
      <name val="Pyidaungsu"/>
      <family val="2"/>
    </font>
    <font>
      <b/>
      <sz val="10"/>
      <color rgb="FFC00000"/>
      <name val="Pyidaungsu"/>
      <family val="2"/>
    </font>
    <font>
      <sz val="13"/>
      <color theme="1"/>
      <name val="Aptos Narrow"/>
      <family val="2"/>
      <scheme val="minor"/>
    </font>
    <font>
      <b/>
      <sz val="11"/>
      <color rgb="FF0070C0"/>
      <name val="Pyidaungsu"/>
      <family val="2"/>
    </font>
    <font>
      <b/>
      <sz val="10"/>
      <color rgb="FF0070C0"/>
      <name val="Pyidaungsu"/>
      <family val="2"/>
    </font>
    <font>
      <b/>
      <sz val="11"/>
      <color rgb="FFFF0000"/>
      <name val="Pyidaungsu"/>
      <family val="2"/>
    </font>
    <font>
      <sz val="11"/>
      <color rgb="FFFF0000"/>
      <name val="Pyidaungsu"/>
      <family val="2"/>
    </font>
    <font>
      <b/>
      <sz val="12"/>
      <name val="Pyidaungsu"/>
      <family val="2"/>
    </font>
    <font>
      <sz val="12"/>
      <color theme="1"/>
      <name val="Aptos Narrow"/>
      <family val="2"/>
      <scheme val="minor"/>
    </font>
    <font>
      <b/>
      <sz val="10"/>
      <color rgb="FF0000FF"/>
      <name val="Pyidaungsu"/>
      <family val="2"/>
    </font>
    <font>
      <b/>
      <sz val="14"/>
      <color theme="1"/>
      <name val="Pyidaungsu"/>
      <family val="2"/>
    </font>
    <font>
      <u/>
      <sz val="11"/>
      <color theme="1"/>
      <name val="Pyidaungsu"/>
      <family val="2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2"/>
      <color theme="1"/>
      <name val="Pyidaungsu"/>
      <family val="2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FF0000"/>
      <name val="Pyidaungsu"/>
      <family val="2"/>
    </font>
    <font>
      <b/>
      <sz val="12"/>
      <color rgb="FF00B050"/>
      <name val="Pyidaungsu"/>
      <family val="2"/>
    </font>
    <font>
      <b/>
      <sz val="11"/>
      <color rgb="FF00B050"/>
      <name val="Pyidaungsu"/>
      <family val="2"/>
    </font>
    <font>
      <b/>
      <sz val="12"/>
      <color theme="1"/>
      <name val="Aptos Narrow"/>
      <family val="2"/>
      <scheme val="minor"/>
    </font>
    <font>
      <b/>
      <sz val="10"/>
      <color rgb="FF212121"/>
      <name val="Pyidaungsu"/>
      <family val="2"/>
    </font>
    <font>
      <sz val="12"/>
      <color theme="1"/>
      <name val="Pyidaungsu"/>
      <family val="2"/>
    </font>
    <font>
      <b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1">
    <xf numFmtId="0" fontId="0" fillId="0" borderId="0"/>
    <xf numFmtId="43" fontId="13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9" fontId="21" fillId="0" borderId="0" applyFont="0" applyFill="0" applyBorder="0" applyAlignment="0" applyProtection="0"/>
    <xf numFmtId="0" fontId="31" fillId="0" borderId="0"/>
    <xf numFmtId="164" fontId="3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0" fillId="20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1" fillId="21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9">
    <xf numFmtId="0" fontId="0" fillId="0" borderId="0" xfId="0"/>
    <xf numFmtId="0" fontId="11" fillId="0" borderId="0" xfId="2" applyFont="1"/>
    <xf numFmtId="17" fontId="10" fillId="0" borderId="3" xfId="2" applyNumberFormat="1" applyFont="1" applyBorder="1" applyAlignment="1">
      <alignment horizontal="center"/>
    </xf>
    <xf numFmtId="17" fontId="9" fillId="0" borderId="3" xfId="2" applyNumberFormat="1" applyFont="1" applyBorder="1" applyAlignment="1">
      <alignment horizontal="center"/>
    </xf>
    <xf numFmtId="17" fontId="10" fillId="2" borderId="3" xfId="2" applyNumberFormat="1" applyFont="1" applyFill="1" applyBorder="1" applyAlignment="1">
      <alignment horizontal="center"/>
    </xf>
    <xf numFmtId="17" fontId="9" fillId="2" borderId="3" xfId="2" applyNumberFormat="1" applyFont="1" applyFill="1" applyBorder="1" applyAlignment="1">
      <alignment horizontal="center"/>
    </xf>
    <xf numFmtId="166" fontId="9" fillId="0" borderId="3" xfId="1" applyNumberFormat="1" applyFont="1" applyFill="1" applyBorder="1" applyAlignment="1">
      <alignment horizontal="center"/>
    </xf>
    <xf numFmtId="0" fontId="14" fillId="0" borderId="3" xfId="3" applyFont="1" applyBorder="1" applyAlignment="1">
      <alignment horizontal="center" vertical="center"/>
    </xf>
    <xf numFmtId="0" fontId="14" fillId="0" borderId="3" xfId="3" applyFont="1" applyBorder="1" applyAlignment="1">
      <alignment horizontal="left" vertical="center"/>
    </xf>
    <xf numFmtId="166" fontId="11" fillId="0" borderId="3" xfId="1" applyNumberFormat="1" applyFont="1" applyFill="1" applyBorder="1"/>
    <xf numFmtId="166" fontId="15" fillId="0" borderId="3" xfId="1" applyNumberFormat="1" applyFont="1" applyFill="1" applyBorder="1"/>
    <xf numFmtId="166" fontId="11" fillId="2" borderId="3" xfId="1" applyNumberFormat="1" applyFont="1" applyFill="1" applyBorder="1"/>
    <xf numFmtId="166" fontId="15" fillId="2" borderId="3" xfId="1" applyNumberFormat="1" applyFont="1" applyFill="1" applyBorder="1"/>
    <xf numFmtId="166" fontId="14" fillId="0" borderId="3" xfId="1" applyNumberFormat="1" applyFont="1" applyBorder="1" applyAlignment="1">
      <alignment horizontal="center" vertical="center"/>
    </xf>
    <xf numFmtId="166" fontId="11" fillId="0" borderId="3" xfId="4" applyNumberFormat="1" applyFont="1" applyFill="1" applyBorder="1"/>
    <xf numFmtId="43" fontId="15" fillId="0" borderId="3" xfId="4" applyFont="1" applyFill="1" applyBorder="1"/>
    <xf numFmtId="166" fontId="14" fillId="0" borderId="3" xfId="4" applyNumberFormat="1" applyFont="1" applyFill="1" applyBorder="1"/>
    <xf numFmtId="166" fontId="15" fillId="0" borderId="3" xfId="4" applyNumberFormat="1" applyFont="1" applyFill="1" applyBorder="1"/>
    <xf numFmtId="166" fontId="11" fillId="0" borderId="3" xfId="5" applyNumberFormat="1" applyFont="1" applyFill="1" applyBorder="1" applyAlignment="1">
      <alignment vertical="center"/>
    </xf>
    <xf numFmtId="166" fontId="14" fillId="0" borderId="3" xfId="1" applyNumberFormat="1" applyFont="1" applyFill="1" applyBorder="1"/>
    <xf numFmtId="0" fontId="11" fillId="0" borderId="3" xfId="2" applyFont="1" applyBorder="1" applyAlignment="1">
      <alignment vertical="center"/>
    </xf>
    <xf numFmtId="43" fontId="11" fillId="0" borderId="3" xfId="4" applyFont="1" applyFill="1" applyBorder="1" applyAlignment="1">
      <alignment horizontal="center" vertical="center"/>
    </xf>
    <xf numFmtId="167" fontId="12" fillId="3" borderId="3" xfId="3" applyNumberFormat="1" applyFont="1" applyFill="1" applyBorder="1" applyAlignment="1">
      <alignment horizontal="center" vertical="center"/>
    </xf>
    <xf numFmtId="0" fontId="10" fillId="0" borderId="3" xfId="2" applyFont="1" applyBorder="1" applyAlignment="1">
      <alignment vertical="center"/>
    </xf>
    <xf numFmtId="0" fontId="9" fillId="0" borderId="3" xfId="3" applyFont="1" applyBorder="1" applyAlignment="1">
      <alignment vertical="center" wrapText="1"/>
    </xf>
    <xf numFmtId="43" fontId="10" fillId="0" borderId="3" xfId="4" applyFont="1" applyFill="1" applyBorder="1" applyAlignment="1">
      <alignment horizontal="center" vertical="center"/>
    </xf>
    <xf numFmtId="166" fontId="12" fillId="3" borderId="3" xfId="1" applyNumberFormat="1" applyFont="1" applyFill="1" applyBorder="1"/>
    <xf numFmtId="166" fontId="9" fillId="3" borderId="3" xfId="1" applyNumberFormat="1" applyFont="1" applyFill="1" applyBorder="1"/>
    <xf numFmtId="166" fontId="12" fillId="2" borderId="3" xfId="1" applyNumberFormat="1" applyFont="1" applyFill="1" applyBorder="1"/>
    <xf numFmtId="166" fontId="9" fillId="2" borderId="3" xfId="1" applyNumberFormat="1" applyFont="1" applyFill="1" applyBorder="1"/>
    <xf numFmtId="43" fontId="11" fillId="0" borderId="3" xfId="6" applyFont="1" applyFill="1" applyBorder="1" applyAlignment="1">
      <alignment horizontal="center" vertical="center"/>
    </xf>
    <xf numFmtId="1" fontId="11" fillId="0" borderId="3" xfId="6" applyNumberFormat="1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vertical="center"/>
    </xf>
    <xf numFmtId="43" fontId="11" fillId="0" borderId="3" xfId="4" applyFont="1" applyFill="1" applyBorder="1"/>
    <xf numFmtId="0" fontId="10" fillId="3" borderId="3" xfId="2" applyFont="1" applyFill="1" applyBorder="1" applyAlignment="1">
      <alignment horizontal="center" vertical="center"/>
    </xf>
    <xf numFmtId="0" fontId="9" fillId="4" borderId="3" xfId="3" applyFont="1" applyFill="1" applyBorder="1" applyAlignment="1">
      <alignment vertical="center"/>
    </xf>
    <xf numFmtId="166" fontId="10" fillId="5" borderId="3" xfId="1" applyNumberFormat="1" applyFont="1" applyFill="1" applyBorder="1"/>
    <xf numFmtId="166" fontId="9" fillId="5" borderId="3" xfId="1" applyNumberFormat="1" applyFont="1" applyFill="1" applyBorder="1"/>
    <xf numFmtId="166" fontId="10" fillId="2" borderId="3" xfId="1" applyNumberFormat="1" applyFont="1" applyFill="1" applyBorder="1"/>
    <xf numFmtId="0" fontId="11" fillId="0" borderId="0" xfId="2" applyFont="1" applyAlignment="1">
      <alignment horizontal="left" vertical="center"/>
    </xf>
    <xf numFmtId="166" fontId="15" fillId="0" borderId="0" xfId="1" applyNumberFormat="1" applyFont="1" applyFill="1"/>
    <xf numFmtId="0" fontId="15" fillId="0" borderId="0" xfId="2" applyFont="1"/>
    <xf numFmtId="166" fontId="11" fillId="0" borderId="0" xfId="2" applyNumberFormat="1" applyFont="1"/>
    <xf numFmtId="166" fontId="15" fillId="0" borderId="0" xfId="2" applyNumberFormat="1" applyFont="1"/>
    <xf numFmtId="167" fontId="11" fillId="0" borderId="0" xfId="2" applyNumberFormat="1" applyFont="1"/>
    <xf numFmtId="167" fontId="15" fillId="0" borderId="0" xfId="2" applyNumberFormat="1" applyFont="1"/>
    <xf numFmtId="0" fontId="11" fillId="0" borderId="3" xfId="2" applyFont="1" applyBorder="1"/>
    <xf numFmtId="0" fontId="10" fillId="7" borderId="3" xfId="2" applyFont="1" applyFill="1" applyBorder="1" applyAlignment="1">
      <alignment horizontal="center"/>
    </xf>
    <xf numFmtId="0" fontId="10" fillId="6" borderId="3" xfId="2" applyFont="1" applyFill="1" applyBorder="1"/>
    <xf numFmtId="17" fontId="12" fillId="6" borderId="3" xfId="2" applyNumberFormat="1" applyFont="1" applyFill="1" applyBorder="1" applyAlignment="1">
      <alignment horizontal="center"/>
    </xf>
    <xf numFmtId="0" fontId="10" fillId="6" borderId="3" xfId="2" applyFont="1" applyFill="1" applyBorder="1" applyAlignment="1">
      <alignment horizontal="center"/>
    </xf>
    <xf numFmtId="2" fontId="11" fillId="0" borderId="0" xfId="2" applyNumberFormat="1" applyFont="1"/>
    <xf numFmtId="167" fontId="14" fillId="0" borderId="2" xfId="3" applyNumberFormat="1" applyFont="1" applyBorder="1" applyAlignment="1">
      <alignment horizontal="center" vertical="center"/>
    </xf>
    <xf numFmtId="0" fontId="11" fillId="0" borderId="2" xfId="2" applyFont="1" applyBorder="1" applyAlignment="1">
      <alignment vertical="center"/>
    </xf>
    <xf numFmtId="43" fontId="11" fillId="0" borderId="2" xfId="4" applyFont="1" applyFill="1" applyBorder="1" applyAlignment="1">
      <alignment horizontal="center" vertical="center"/>
    </xf>
    <xf numFmtId="166" fontId="11" fillId="0" borderId="2" xfId="1" applyNumberFormat="1" applyFont="1" applyFill="1" applyBorder="1"/>
    <xf numFmtId="166" fontId="15" fillId="0" borderId="2" xfId="1" applyNumberFormat="1" applyFont="1" applyFill="1" applyBorder="1"/>
    <xf numFmtId="166" fontId="11" fillId="2" borderId="2" xfId="1" applyNumberFormat="1" applyFont="1" applyFill="1" applyBorder="1"/>
    <xf numFmtId="166" fontId="15" fillId="2" borderId="2" xfId="1" applyNumberFormat="1" applyFont="1" applyFill="1" applyBorder="1"/>
    <xf numFmtId="166" fontId="14" fillId="0" borderId="2" xfId="1" applyNumberFormat="1" applyFont="1" applyFill="1" applyBorder="1"/>
    <xf numFmtId="166" fontId="11" fillId="0" borderId="2" xfId="4" applyNumberFormat="1" applyFont="1" applyFill="1" applyBorder="1"/>
    <xf numFmtId="166" fontId="15" fillId="0" borderId="2" xfId="4" applyNumberFormat="1" applyFont="1" applyFill="1" applyBorder="1"/>
    <xf numFmtId="166" fontId="14" fillId="0" borderId="2" xfId="4" applyNumberFormat="1" applyFont="1" applyFill="1" applyBorder="1"/>
    <xf numFmtId="0" fontId="9" fillId="0" borderId="3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/>
    </xf>
    <xf numFmtId="17" fontId="10" fillId="6" borderId="3" xfId="2" applyNumberFormat="1" applyFont="1" applyFill="1" applyBorder="1" applyAlignment="1">
      <alignment horizontal="center"/>
    </xf>
    <xf numFmtId="17" fontId="9" fillId="6" borderId="3" xfId="2" applyNumberFormat="1" applyFont="1" applyFill="1" applyBorder="1" applyAlignment="1">
      <alignment horizontal="center"/>
    </xf>
    <xf numFmtId="168" fontId="11" fillId="0" borderId="3" xfId="2" applyNumberFormat="1" applyFont="1" applyBorder="1"/>
    <xf numFmtId="2" fontId="11" fillId="0" borderId="3" xfId="2" applyNumberFormat="1" applyFont="1" applyBorder="1"/>
    <xf numFmtId="43" fontId="11" fillId="0" borderId="3" xfId="2" applyNumberFormat="1" applyFont="1" applyBorder="1"/>
    <xf numFmtId="166" fontId="11" fillId="0" borderId="3" xfId="2" applyNumberFormat="1" applyFont="1" applyBorder="1"/>
    <xf numFmtId="1" fontId="11" fillId="0" borderId="3" xfId="2" applyNumberFormat="1" applyFont="1" applyBorder="1"/>
    <xf numFmtId="0" fontId="14" fillId="0" borderId="1" xfId="3" applyFont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166" fontId="11" fillId="0" borderId="1" xfId="1" applyNumberFormat="1" applyFont="1" applyFill="1" applyBorder="1"/>
    <xf numFmtId="166" fontId="15" fillId="0" borderId="1" xfId="1" applyNumberFormat="1" applyFont="1" applyFill="1" applyBorder="1"/>
    <xf numFmtId="166" fontId="11" fillId="2" borderId="1" xfId="1" applyNumberFormat="1" applyFont="1" applyFill="1" applyBorder="1"/>
    <xf numFmtId="166" fontId="15" fillId="2" borderId="1" xfId="1" applyNumberFormat="1" applyFont="1" applyFill="1" applyBorder="1"/>
    <xf numFmtId="166" fontId="14" fillId="0" borderId="1" xfId="1" applyNumberFormat="1" applyFont="1" applyFill="1" applyBorder="1"/>
    <xf numFmtId="166" fontId="14" fillId="0" borderId="1" xfId="1" applyNumberFormat="1" applyFont="1" applyBorder="1" applyAlignment="1">
      <alignment horizontal="center" vertical="center"/>
    </xf>
    <xf numFmtId="165" fontId="15" fillId="0" borderId="1" xfId="1" applyNumberFormat="1" applyFont="1" applyFill="1" applyBorder="1"/>
    <xf numFmtId="166" fontId="11" fillId="0" borderId="1" xfId="4" applyNumberFormat="1" applyFont="1" applyFill="1" applyBorder="1"/>
    <xf numFmtId="43" fontId="15" fillId="0" borderId="1" xfId="4" applyFont="1" applyFill="1" applyBorder="1"/>
    <xf numFmtId="166" fontId="14" fillId="0" borderId="1" xfId="4" applyNumberFormat="1" applyFont="1" applyFill="1" applyBorder="1"/>
    <xf numFmtId="166" fontId="15" fillId="0" borderId="1" xfId="4" applyNumberFormat="1" applyFont="1" applyFill="1" applyBorder="1"/>
    <xf numFmtId="168" fontId="11" fillId="0" borderId="1" xfId="2" applyNumberFormat="1" applyFont="1" applyBorder="1"/>
    <xf numFmtId="2" fontId="11" fillId="0" borderId="1" xfId="2" applyNumberFormat="1" applyFont="1" applyBorder="1"/>
    <xf numFmtId="43" fontId="11" fillId="0" borderId="1" xfId="2" applyNumberFormat="1" applyFont="1" applyBorder="1"/>
    <xf numFmtId="166" fontId="11" fillId="0" borderId="1" xfId="2" applyNumberFormat="1" applyFont="1" applyBorder="1"/>
    <xf numFmtId="1" fontId="11" fillId="0" borderId="1" xfId="2" applyNumberFormat="1" applyFont="1" applyBorder="1"/>
    <xf numFmtId="166" fontId="11" fillId="0" borderId="1" xfId="5" applyNumberFormat="1" applyFont="1" applyFill="1" applyBorder="1" applyAlignment="1">
      <alignment vertical="center"/>
    </xf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 applyAlignment="1">
      <alignment horizontal="left" vertical="center"/>
    </xf>
    <xf numFmtId="166" fontId="14" fillId="0" borderId="2" xfId="1" applyNumberFormat="1" applyFont="1" applyBorder="1" applyAlignment="1">
      <alignment horizontal="center" vertical="center"/>
    </xf>
    <xf numFmtId="43" fontId="15" fillId="0" borderId="2" xfId="4" applyFont="1" applyFill="1" applyBorder="1"/>
    <xf numFmtId="168" fontId="11" fillId="0" borderId="2" xfId="2" applyNumberFormat="1" applyFont="1" applyBorder="1"/>
    <xf numFmtId="2" fontId="11" fillId="0" borderId="2" xfId="2" applyNumberFormat="1" applyFont="1" applyBorder="1"/>
    <xf numFmtId="43" fontId="11" fillId="0" borderId="2" xfId="2" applyNumberFormat="1" applyFont="1" applyBorder="1"/>
    <xf numFmtId="166" fontId="11" fillId="0" borderId="2" xfId="2" applyNumberFormat="1" applyFont="1" applyBorder="1"/>
    <xf numFmtId="1" fontId="11" fillId="0" borderId="2" xfId="2" applyNumberFormat="1" applyFont="1" applyBorder="1"/>
    <xf numFmtId="0" fontId="14" fillId="0" borderId="4" xfId="3" applyFont="1" applyBorder="1" applyAlignment="1">
      <alignment horizontal="center" vertical="center"/>
    </xf>
    <xf numFmtId="0" fontId="14" fillId="0" borderId="4" xfId="3" applyFont="1" applyBorder="1" applyAlignment="1">
      <alignment horizontal="left" vertical="center"/>
    </xf>
    <xf numFmtId="166" fontId="11" fillId="0" borderId="4" xfId="1" applyNumberFormat="1" applyFont="1" applyFill="1" applyBorder="1"/>
    <xf numFmtId="166" fontId="15" fillId="0" borderId="4" xfId="1" applyNumberFormat="1" applyFont="1" applyFill="1" applyBorder="1"/>
    <xf numFmtId="166" fontId="11" fillId="2" borderId="4" xfId="1" applyNumberFormat="1" applyFont="1" applyFill="1" applyBorder="1"/>
    <xf numFmtId="166" fontId="15" fillId="2" borderId="4" xfId="1" applyNumberFormat="1" applyFont="1" applyFill="1" applyBorder="1"/>
    <xf numFmtId="166" fontId="14" fillId="0" borderId="4" xfId="1" applyNumberFormat="1" applyFont="1" applyFill="1" applyBorder="1"/>
    <xf numFmtId="166" fontId="14" fillId="0" borderId="4" xfId="1" applyNumberFormat="1" applyFont="1" applyBorder="1" applyAlignment="1">
      <alignment horizontal="center" vertical="center"/>
    </xf>
    <xf numFmtId="166" fontId="11" fillId="0" borderId="4" xfId="4" applyNumberFormat="1" applyFont="1" applyFill="1" applyBorder="1"/>
    <xf numFmtId="43" fontId="15" fillId="0" borderId="4" xfId="4" applyFont="1" applyFill="1" applyBorder="1"/>
    <xf numFmtId="166" fontId="14" fillId="0" borderId="4" xfId="4" applyNumberFormat="1" applyFont="1" applyFill="1" applyBorder="1"/>
    <xf numFmtId="166" fontId="15" fillId="0" borderId="4" xfId="4" applyNumberFormat="1" applyFont="1" applyFill="1" applyBorder="1"/>
    <xf numFmtId="168" fontId="11" fillId="0" borderId="4" xfId="2" applyNumberFormat="1" applyFont="1" applyBorder="1"/>
    <xf numFmtId="2" fontId="11" fillId="0" borderId="4" xfId="2" applyNumberFormat="1" applyFont="1" applyBorder="1"/>
    <xf numFmtId="43" fontId="11" fillId="0" borderId="4" xfId="2" applyNumberFormat="1" applyFont="1" applyBorder="1"/>
    <xf numFmtId="166" fontId="11" fillId="0" borderId="4" xfId="2" applyNumberFormat="1" applyFont="1" applyBorder="1"/>
    <xf numFmtId="1" fontId="11" fillId="0" borderId="4" xfId="2" applyNumberFormat="1" applyFont="1" applyBorder="1"/>
    <xf numFmtId="166" fontId="11" fillId="0" borderId="2" xfId="5" applyNumberFormat="1" applyFont="1" applyFill="1" applyBorder="1" applyAlignment="1">
      <alignment vertical="center"/>
    </xf>
    <xf numFmtId="0" fontId="14" fillId="8" borderId="5" xfId="3" applyFont="1" applyFill="1" applyBorder="1" applyAlignment="1">
      <alignment horizontal="center" vertical="center"/>
    </xf>
    <xf numFmtId="0" fontId="14" fillId="8" borderId="6" xfId="3" applyFont="1" applyFill="1" applyBorder="1" applyAlignment="1">
      <alignment horizontal="left" vertical="center"/>
    </xf>
    <xf numFmtId="0" fontId="14" fillId="8" borderId="6" xfId="3" applyFont="1" applyFill="1" applyBorder="1" applyAlignment="1">
      <alignment horizontal="center" vertical="center"/>
    </xf>
    <xf numFmtId="166" fontId="11" fillId="8" borderId="6" xfId="1" applyNumberFormat="1" applyFont="1" applyFill="1" applyBorder="1"/>
    <xf numFmtId="166" fontId="15" fillId="8" borderId="6" xfId="1" applyNumberFormat="1" applyFont="1" applyFill="1" applyBorder="1"/>
    <xf numFmtId="166" fontId="14" fillId="8" borderId="6" xfId="1" applyNumberFormat="1" applyFont="1" applyFill="1" applyBorder="1"/>
    <xf numFmtId="0" fontId="11" fillId="8" borderId="7" xfId="2" applyFont="1" applyFill="1" applyBorder="1"/>
    <xf numFmtId="0" fontId="16" fillId="0" borderId="0" xfId="11" applyFont="1" applyAlignment="1">
      <alignment vertical="center"/>
    </xf>
    <xf numFmtId="0" fontId="14" fillId="9" borderId="3" xfId="11" applyFont="1" applyFill="1" applyBorder="1" applyAlignment="1">
      <alignment horizontal="left" vertical="center"/>
    </xf>
    <xf numFmtId="166" fontId="14" fillId="9" borderId="3" xfId="12" applyNumberFormat="1" applyFont="1" applyFill="1" applyBorder="1" applyAlignment="1">
      <alignment horizontal="center" vertical="center"/>
    </xf>
    <xf numFmtId="0" fontId="16" fillId="9" borderId="0" xfId="11" applyFont="1" applyFill="1" applyAlignment="1">
      <alignment vertical="center"/>
    </xf>
    <xf numFmtId="0" fontId="14" fillId="0" borderId="3" xfId="11" applyFont="1" applyBorder="1" applyAlignment="1">
      <alignment horizontal="left" vertical="center"/>
    </xf>
    <xf numFmtId="166" fontId="14" fillId="0" borderId="3" xfId="12" applyNumberFormat="1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0" fillId="2" borderId="3" xfId="11" applyFont="1" applyFill="1" applyBorder="1" applyAlignment="1">
      <alignment horizontal="center" vertical="center" wrapText="1"/>
    </xf>
    <xf numFmtId="0" fontId="20" fillId="2" borderId="3" xfId="11" applyFont="1" applyFill="1" applyBorder="1" applyAlignment="1">
      <alignment horizontal="center" vertical="center"/>
    </xf>
    <xf numFmtId="0" fontId="20" fillId="2" borderId="3" xfId="11" quotePrefix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/>
    </xf>
    <xf numFmtId="0" fontId="17" fillId="2" borderId="16" xfId="11" applyFont="1" applyFill="1" applyBorder="1" applyAlignment="1">
      <alignment vertical="center" wrapText="1"/>
    </xf>
    <xf numFmtId="43" fontId="14" fillId="9" borderId="3" xfId="12" applyFont="1" applyFill="1" applyBorder="1" applyAlignment="1">
      <alignment horizontal="center" vertical="center"/>
    </xf>
    <xf numFmtId="168" fontId="14" fillId="9" borderId="3" xfId="12" applyNumberFormat="1" applyFont="1" applyFill="1" applyBorder="1" applyAlignment="1">
      <alignment horizontal="center" vertical="center"/>
    </xf>
    <xf numFmtId="2" fontId="14" fillId="0" borderId="3" xfId="11" applyNumberFormat="1" applyFont="1" applyBorder="1" applyAlignment="1">
      <alignment horizontal="center" vertical="center"/>
    </xf>
    <xf numFmtId="0" fontId="20" fillId="2" borderId="12" xfId="11" applyFont="1" applyFill="1" applyBorder="1" applyAlignment="1">
      <alignment horizontal="center" vertical="center" wrapText="1"/>
    </xf>
    <xf numFmtId="0" fontId="14" fillId="9" borderId="12" xfId="11" applyFont="1" applyFill="1" applyBorder="1" applyAlignment="1">
      <alignment horizontal="center" vertical="center"/>
    </xf>
    <xf numFmtId="0" fontId="17" fillId="0" borderId="0" xfId="11" applyFont="1" applyAlignment="1">
      <alignment vertical="center"/>
    </xf>
    <xf numFmtId="0" fontId="19" fillId="0" borderId="0" xfId="11" applyFont="1" applyAlignment="1">
      <alignment vertical="center"/>
    </xf>
    <xf numFmtId="0" fontId="22" fillId="0" borderId="0" xfId="11" applyFont="1"/>
    <xf numFmtId="0" fontId="21" fillId="0" borderId="0" xfId="11" applyFont="1"/>
    <xf numFmtId="0" fontId="20" fillId="0" borderId="0" xfId="11" applyFont="1"/>
    <xf numFmtId="0" fontId="16" fillId="0" borderId="0" xfId="11" applyFont="1"/>
    <xf numFmtId="0" fontId="23" fillId="10" borderId="3" xfId="11" applyFont="1" applyFill="1" applyBorder="1" applyAlignment="1">
      <alignment horizontal="center" vertical="center"/>
    </xf>
    <xf numFmtId="0" fontId="21" fillId="0" borderId="3" xfId="11" applyFont="1" applyBorder="1"/>
    <xf numFmtId="0" fontId="21" fillId="0" borderId="3" xfId="11" applyFont="1" applyBorder="1" applyAlignment="1">
      <alignment horizontal="center" vertical="center"/>
    </xf>
    <xf numFmtId="0" fontId="11" fillId="0" borderId="3" xfId="11" applyFont="1" applyBorder="1" applyAlignment="1">
      <alignment vertical="center"/>
    </xf>
    <xf numFmtId="166" fontId="11" fillId="0" borderId="3" xfId="12" applyNumberFormat="1" applyFont="1" applyBorder="1" applyAlignment="1">
      <alignment vertical="center"/>
    </xf>
    <xf numFmtId="43" fontId="11" fillId="0" borderId="3" xfId="11" applyNumberFormat="1" applyFont="1" applyBorder="1" applyAlignment="1">
      <alignment vertical="center"/>
    </xf>
    <xf numFmtId="43" fontId="11" fillId="0" borderId="3" xfId="12" applyFont="1" applyBorder="1" applyAlignment="1">
      <alignment vertical="center"/>
    </xf>
    <xf numFmtId="1" fontId="11" fillId="0" borderId="3" xfId="11" applyNumberFormat="1" applyFont="1" applyBorder="1" applyAlignment="1">
      <alignment vertical="center"/>
    </xf>
    <xf numFmtId="166" fontId="10" fillId="12" borderId="3" xfId="12" applyNumberFormat="1" applyFont="1" applyFill="1" applyBorder="1" applyAlignment="1">
      <alignment vertical="center"/>
    </xf>
    <xf numFmtId="0" fontId="25" fillId="0" borderId="0" xfId="11" applyFont="1"/>
    <xf numFmtId="0" fontId="17" fillId="0" borderId="0" xfId="11" applyFont="1"/>
    <xf numFmtId="0" fontId="19" fillId="0" borderId="0" xfId="11" applyFont="1"/>
    <xf numFmtId="0" fontId="6" fillId="0" borderId="0" xfId="11"/>
    <xf numFmtId="0" fontId="11" fillId="9" borderId="3" xfId="11" applyFont="1" applyFill="1" applyBorder="1" applyAlignment="1">
      <alignment vertical="center"/>
    </xf>
    <xf numFmtId="0" fontId="21" fillId="0" borderId="3" xfId="11" applyFont="1" applyBorder="1" applyAlignment="1">
      <alignment vertical="center"/>
    </xf>
    <xf numFmtId="166" fontId="21" fillId="0" borderId="3" xfId="12" applyNumberFormat="1" applyFont="1" applyBorder="1" applyAlignment="1">
      <alignment vertical="center"/>
    </xf>
    <xf numFmtId="43" fontId="21" fillId="0" borderId="3" xfId="12" applyFont="1" applyBorder="1" applyAlignment="1">
      <alignment vertical="center"/>
    </xf>
    <xf numFmtId="166" fontId="23" fillId="12" borderId="3" xfId="12" applyNumberFormat="1" applyFont="1" applyFill="1" applyBorder="1" applyAlignment="1">
      <alignment vertical="center"/>
    </xf>
    <xf numFmtId="166" fontId="21" fillId="0" borderId="3" xfId="12" applyNumberFormat="1" applyFont="1" applyBorder="1"/>
    <xf numFmtId="43" fontId="21" fillId="0" borderId="3" xfId="12" applyFont="1" applyBorder="1"/>
    <xf numFmtId="166" fontId="23" fillId="12" borderId="3" xfId="12" applyNumberFormat="1" applyFont="1" applyFill="1" applyBorder="1"/>
    <xf numFmtId="0" fontId="23" fillId="12" borderId="3" xfId="11" applyFont="1" applyFill="1" applyBorder="1"/>
    <xf numFmtId="166" fontId="23" fillId="13" borderId="3" xfId="11" applyNumberFormat="1" applyFont="1" applyFill="1" applyBorder="1"/>
    <xf numFmtId="0" fontId="21" fillId="0" borderId="3" xfId="11" applyFont="1" applyBorder="1" applyAlignment="1">
      <alignment horizontal="center"/>
    </xf>
    <xf numFmtId="0" fontId="21" fillId="0" borderId="0" xfId="11" applyFont="1" applyAlignment="1">
      <alignment horizontal="center"/>
    </xf>
    <xf numFmtId="169" fontId="26" fillId="14" borderId="3" xfId="11" applyNumberFormat="1" applyFont="1" applyFill="1" applyBorder="1" applyAlignment="1">
      <alignment horizontal="center" vertical="center"/>
    </xf>
    <xf numFmtId="169" fontId="26" fillId="14" borderId="18" xfId="11" applyNumberFormat="1" applyFont="1" applyFill="1" applyBorder="1" applyAlignment="1">
      <alignment horizontal="center" vertical="center"/>
    </xf>
    <xf numFmtId="169" fontId="26" fillId="14" borderId="8" xfId="11" applyNumberFormat="1" applyFont="1" applyFill="1" applyBorder="1" applyAlignment="1">
      <alignment horizontal="center" vertical="center"/>
    </xf>
    <xf numFmtId="166" fontId="21" fillId="0" borderId="0" xfId="1" applyNumberFormat="1" applyFont="1" applyBorder="1"/>
    <xf numFmtId="0" fontId="22" fillId="0" borderId="0" xfId="11" applyFont="1" applyAlignment="1">
      <alignment horizontal="center" vertical="center"/>
    </xf>
    <xf numFmtId="169" fontId="26" fillId="14" borderId="9" xfId="11" applyNumberFormat="1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66" fontId="21" fillId="0" borderId="0" xfId="11" applyNumberFormat="1" applyFont="1"/>
    <xf numFmtId="2" fontId="21" fillId="0" borderId="0" xfId="11" applyNumberFormat="1" applyFont="1"/>
    <xf numFmtId="0" fontId="23" fillId="4" borderId="3" xfId="2" applyFont="1" applyFill="1" applyBorder="1" applyAlignment="1">
      <alignment vertical="center"/>
    </xf>
    <xf numFmtId="166" fontId="21" fillId="0" borderId="3" xfId="1" applyNumberFormat="1" applyFont="1" applyBorder="1"/>
    <xf numFmtId="166" fontId="21" fillId="0" borderId="3" xfId="11" applyNumberFormat="1" applyFont="1" applyBorder="1"/>
    <xf numFmtId="166" fontId="6" fillId="0" borderId="0" xfId="1" applyNumberFormat="1" applyFont="1"/>
    <xf numFmtId="2" fontId="6" fillId="0" borderId="0" xfId="11" applyNumberFormat="1"/>
    <xf numFmtId="0" fontId="25" fillId="0" borderId="0" xfId="11" applyFont="1" applyAlignment="1">
      <alignment horizontal="center" vertical="center"/>
    </xf>
    <xf numFmtId="0" fontId="6" fillId="0" borderId="0" xfId="11" applyAlignment="1">
      <alignment horizontal="center" vertical="center"/>
    </xf>
    <xf numFmtId="0" fontId="23" fillId="10" borderId="1" xfId="11" applyFont="1" applyFill="1" applyBorder="1" applyAlignment="1">
      <alignment horizontal="center" vertical="center"/>
    </xf>
    <xf numFmtId="169" fontId="26" fillId="14" borderId="14" xfId="11" applyNumberFormat="1" applyFont="1" applyFill="1" applyBorder="1" applyAlignment="1">
      <alignment horizontal="center" vertical="center"/>
    </xf>
    <xf numFmtId="166" fontId="6" fillId="0" borderId="3" xfId="1" applyNumberFormat="1" applyFont="1" applyBorder="1"/>
    <xf numFmtId="2" fontId="6" fillId="0" borderId="3" xfId="11" applyNumberFormat="1" applyBorder="1"/>
    <xf numFmtId="0" fontId="0" fillId="0" borderId="3" xfId="11" applyFont="1" applyBorder="1"/>
    <xf numFmtId="0" fontId="6" fillId="0" borderId="3" xfId="11" applyBorder="1"/>
    <xf numFmtId="167" fontId="20" fillId="3" borderId="3" xfId="3" applyNumberFormat="1" applyFont="1" applyFill="1" applyBorder="1" applyAlignment="1">
      <alignment horizontal="center" vertical="center"/>
    </xf>
    <xf numFmtId="0" fontId="23" fillId="0" borderId="3" xfId="2" applyFont="1" applyBorder="1" applyAlignment="1">
      <alignment vertical="center"/>
    </xf>
    <xf numFmtId="0" fontId="28" fillId="0" borderId="3" xfId="3" applyFont="1" applyBorder="1" applyAlignment="1">
      <alignment vertical="center" wrapText="1"/>
    </xf>
    <xf numFmtId="43" fontId="23" fillId="0" borderId="3" xfId="4" applyFont="1" applyFill="1" applyBorder="1" applyAlignment="1">
      <alignment horizontal="center" vertical="center"/>
    </xf>
    <xf numFmtId="166" fontId="20" fillId="3" borderId="3" xfId="1" applyNumberFormat="1" applyFont="1" applyFill="1" applyBorder="1"/>
    <xf numFmtId="166" fontId="28" fillId="3" borderId="3" xfId="1" applyNumberFormat="1" applyFont="1" applyFill="1" applyBorder="1"/>
    <xf numFmtId="166" fontId="20" fillId="2" borderId="3" xfId="1" applyNumberFormat="1" applyFont="1" applyFill="1" applyBorder="1"/>
    <xf numFmtId="166" fontId="28" fillId="2" borderId="3" xfId="1" applyNumberFormat="1" applyFont="1" applyFill="1" applyBorder="1"/>
    <xf numFmtId="166" fontId="20" fillId="0" borderId="3" xfId="1" applyNumberFormat="1" applyFont="1" applyFill="1" applyBorder="1"/>
    <xf numFmtId="166" fontId="28" fillId="0" borderId="3" xfId="1" applyNumberFormat="1" applyFont="1" applyFill="1" applyBorder="1"/>
    <xf numFmtId="43" fontId="28" fillId="0" borderId="3" xfId="4" applyFont="1" applyFill="1" applyBorder="1"/>
    <xf numFmtId="168" fontId="23" fillId="0" borderId="3" xfId="2" applyNumberFormat="1" applyFont="1" applyBorder="1"/>
    <xf numFmtId="2" fontId="23" fillId="0" borderId="3" xfId="2" applyNumberFormat="1" applyFont="1" applyBorder="1"/>
    <xf numFmtId="43" fontId="23" fillId="0" borderId="3" xfId="2" applyNumberFormat="1" applyFont="1" applyBorder="1"/>
    <xf numFmtId="166" fontId="23" fillId="0" borderId="3" xfId="2" applyNumberFormat="1" applyFont="1" applyBorder="1"/>
    <xf numFmtId="1" fontId="23" fillId="0" borderId="3" xfId="2" applyNumberFormat="1" applyFont="1" applyBorder="1"/>
    <xf numFmtId="0" fontId="23" fillId="0" borderId="0" xfId="2" applyFont="1"/>
    <xf numFmtId="43" fontId="14" fillId="8" borderId="6" xfId="1" applyFont="1" applyFill="1" applyBorder="1"/>
    <xf numFmtId="1" fontId="14" fillId="8" borderId="6" xfId="1" applyNumberFormat="1" applyFont="1" applyFill="1" applyBorder="1"/>
    <xf numFmtId="1" fontId="23" fillId="6" borderId="3" xfId="2" applyNumberFormat="1" applyFont="1" applyFill="1" applyBorder="1"/>
    <xf numFmtId="166" fontId="6" fillId="0" borderId="0" xfId="11" applyNumberFormat="1"/>
    <xf numFmtId="1" fontId="6" fillId="0" borderId="0" xfId="11" applyNumberFormat="1"/>
    <xf numFmtId="0" fontId="21" fillId="0" borderId="2" xfId="11" applyFont="1" applyBorder="1" applyAlignment="1">
      <alignment horizontal="center" vertical="center"/>
    </xf>
    <xf numFmtId="0" fontId="21" fillId="0" borderId="1" xfId="11" applyFont="1" applyBorder="1" applyAlignment="1">
      <alignment horizontal="center" vertical="center"/>
    </xf>
    <xf numFmtId="0" fontId="23" fillId="7" borderId="3" xfId="11" applyFont="1" applyFill="1" applyBorder="1" applyAlignment="1">
      <alignment horizontal="center" vertical="center"/>
    </xf>
    <xf numFmtId="0" fontId="10" fillId="0" borderId="3" xfId="2" applyFont="1" applyBorder="1"/>
    <xf numFmtId="0" fontId="14" fillId="9" borderId="21" xfId="11" applyFont="1" applyFill="1" applyBorder="1" applyAlignment="1">
      <alignment horizontal="center" vertical="center"/>
    </xf>
    <xf numFmtId="0" fontId="14" fillId="0" borderId="1" xfId="11" applyFont="1" applyBorder="1" applyAlignment="1">
      <alignment horizontal="left" vertical="center"/>
    </xf>
    <xf numFmtId="43" fontId="14" fillId="9" borderId="1" xfId="12" applyFont="1" applyFill="1" applyBorder="1" applyAlignment="1">
      <alignment horizontal="center" vertical="center"/>
    </xf>
    <xf numFmtId="166" fontId="14" fillId="9" borderId="1" xfId="12" applyNumberFormat="1" applyFont="1" applyFill="1" applyBorder="1" applyAlignment="1">
      <alignment horizontal="center" vertical="center"/>
    </xf>
    <xf numFmtId="166" fontId="14" fillId="0" borderId="1" xfId="12" applyNumberFormat="1" applyFont="1" applyBorder="1" applyAlignment="1">
      <alignment horizontal="center" vertical="center"/>
    </xf>
    <xf numFmtId="2" fontId="14" fillId="0" borderId="1" xfId="11" applyNumberFormat="1" applyFont="1" applyBorder="1" applyAlignment="1">
      <alignment horizontal="center" vertical="center"/>
    </xf>
    <xf numFmtId="0" fontId="21" fillId="0" borderId="0" xfId="0" applyFont="1"/>
    <xf numFmtId="0" fontId="23" fillId="7" borderId="20" xfId="0" applyFont="1" applyFill="1" applyBorder="1" applyAlignment="1">
      <alignment horizontal="center" vertical="center"/>
    </xf>
    <xf numFmtId="0" fontId="21" fillId="0" borderId="2" xfId="11" applyFont="1" applyBorder="1" applyAlignment="1">
      <alignment vertical="center"/>
    </xf>
    <xf numFmtId="166" fontId="21" fillId="0" borderId="3" xfId="1" applyNumberFormat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1" fillId="0" borderId="1" xfId="11" applyFont="1" applyBorder="1" applyAlignment="1">
      <alignment vertical="center"/>
    </xf>
    <xf numFmtId="0" fontId="21" fillId="0" borderId="9" xfId="11" applyFont="1" applyBorder="1" applyAlignment="1">
      <alignment horizontal="center" vertical="center"/>
    </xf>
    <xf numFmtId="0" fontId="23" fillId="7" borderId="3" xfId="11" applyFont="1" applyFill="1" applyBorder="1" applyAlignment="1">
      <alignment vertical="center"/>
    </xf>
    <xf numFmtId="166" fontId="23" fillId="7" borderId="3" xfId="1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3" fillId="7" borderId="3" xfId="0" applyFont="1" applyFill="1" applyBorder="1" applyAlignment="1">
      <alignment vertical="center"/>
    </xf>
    <xf numFmtId="166" fontId="23" fillId="3" borderId="3" xfId="1" applyNumberFormat="1" applyFont="1" applyFill="1" applyBorder="1" applyAlignment="1">
      <alignment vertical="center"/>
    </xf>
    <xf numFmtId="43" fontId="15" fillId="3" borderId="3" xfId="4" applyFont="1" applyFill="1" applyBorder="1"/>
    <xf numFmtId="165" fontId="11" fillId="0" borderId="0" xfId="2" applyNumberFormat="1" applyFont="1"/>
    <xf numFmtId="165" fontId="15" fillId="0" borderId="3" xfId="1" applyNumberFormat="1" applyFont="1" applyFill="1" applyBorder="1"/>
    <xf numFmtId="166" fontId="14" fillId="3" borderId="3" xfId="1" applyNumberFormat="1" applyFont="1" applyFill="1" applyBorder="1"/>
    <xf numFmtId="166" fontId="15" fillId="3" borderId="3" xfId="1" applyNumberFormat="1" applyFont="1" applyFill="1" applyBorder="1"/>
    <xf numFmtId="0" fontId="14" fillId="7" borderId="3" xfId="3" applyFont="1" applyFill="1" applyBorder="1" applyAlignment="1">
      <alignment horizontal="center" vertical="center"/>
    </xf>
    <xf numFmtId="0" fontId="14" fillId="7" borderId="3" xfId="3" applyFont="1" applyFill="1" applyBorder="1" applyAlignment="1">
      <alignment horizontal="left" vertical="center"/>
    </xf>
    <xf numFmtId="166" fontId="11" fillId="7" borderId="3" xfId="1" applyNumberFormat="1" applyFont="1" applyFill="1" applyBorder="1"/>
    <xf numFmtId="166" fontId="15" fillId="7" borderId="3" xfId="1" applyNumberFormat="1" applyFont="1" applyFill="1" applyBorder="1"/>
    <xf numFmtId="166" fontId="14" fillId="7" borderId="3" xfId="1" applyNumberFormat="1" applyFont="1" applyFill="1" applyBorder="1"/>
    <xf numFmtId="0" fontId="11" fillId="7" borderId="0" xfId="2" applyFont="1" applyFill="1"/>
    <xf numFmtId="0" fontId="14" fillId="7" borderId="1" xfId="3" applyFont="1" applyFill="1" applyBorder="1" applyAlignment="1">
      <alignment horizontal="center" vertical="center"/>
    </xf>
    <xf numFmtId="0" fontId="14" fillId="7" borderId="1" xfId="3" applyFont="1" applyFill="1" applyBorder="1" applyAlignment="1">
      <alignment horizontal="left" vertical="center"/>
    </xf>
    <xf numFmtId="166" fontId="11" fillId="7" borderId="1" xfId="1" applyNumberFormat="1" applyFont="1" applyFill="1" applyBorder="1"/>
    <xf numFmtId="166" fontId="15" fillId="7" borderId="1" xfId="1" applyNumberFormat="1" applyFont="1" applyFill="1" applyBorder="1"/>
    <xf numFmtId="166" fontId="14" fillId="7" borderId="1" xfId="1" applyNumberFormat="1" applyFont="1" applyFill="1" applyBorder="1"/>
    <xf numFmtId="0" fontId="17" fillId="2" borderId="16" xfId="11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166" fontId="21" fillId="0" borderId="3" xfId="1" applyNumberFormat="1" applyFont="1" applyFill="1" applyBorder="1" applyAlignment="1">
      <alignment horizontal="right" vertical="center"/>
    </xf>
    <xf numFmtId="166" fontId="29" fillId="0" borderId="3" xfId="1" applyNumberFormat="1" applyFont="1" applyFill="1" applyBorder="1" applyAlignment="1">
      <alignment horizontal="right" vertical="center"/>
    </xf>
    <xf numFmtId="166" fontId="21" fillId="0" borderId="3" xfId="1" applyNumberFormat="1" applyFont="1" applyBorder="1" applyAlignment="1">
      <alignment vertical="center"/>
    </xf>
    <xf numFmtId="166" fontId="29" fillId="0" borderId="3" xfId="1" applyNumberFormat="1" applyFont="1" applyBorder="1" applyAlignment="1">
      <alignment vertical="center"/>
    </xf>
    <xf numFmtId="166" fontId="21" fillId="0" borderId="3" xfId="1" applyNumberFormat="1" applyFont="1" applyBorder="1" applyAlignment="1">
      <alignment horizontal="right" vertical="center"/>
    </xf>
    <xf numFmtId="166" fontId="29" fillId="0" borderId="3" xfId="1" applyNumberFormat="1" applyFont="1" applyBorder="1" applyAlignment="1">
      <alignment horizontal="right" vertical="center"/>
    </xf>
    <xf numFmtId="166" fontId="21" fillId="9" borderId="3" xfId="1" applyNumberFormat="1" applyFont="1" applyFill="1" applyBorder="1" applyAlignment="1">
      <alignment horizontal="right" vertical="center"/>
    </xf>
    <xf numFmtId="166" fontId="29" fillId="9" borderId="3" xfId="1" applyNumberFormat="1" applyFont="1" applyFill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9" fillId="0" borderId="1" xfId="0" applyFont="1" applyBorder="1" applyAlignment="1">
      <alignment horizontal="center" vertical="center"/>
    </xf>
    <xf numFmtId="166" fontId="16" fillId="0" borderId="3" xfId="1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0" borderId="16" xfId="11" applyFont="1" applyBorder="1" applyAlignment="1">
      <alignment vertical="center" wrapText="1"/>
    </xf>
    <xf numFmtId="0" fontId="20" fillId="0" borderId="3" xfId="11" applyFont="1" applyBorder="1" applyAlignment="1">
      <alignment horizontal="center" vertical="center"/>
    </xf>
    <xf numFmtId="166" fontId="14" fillId="0" borderId="3" xfId="12" applyNumberFormat="1" applyFont="1" applyFill="1" applyBorder="1" applyAlignment="1">
      <alignment horizontal="center" vertical="center"/>
    </xf>
    <xf numFmtId="166" fontId="14" fillId="0" borderId="1" xfId="12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166" fontId="15" fillId="0" borderId="3" xfId="12" applyNumberFormat="1" applyFont="1" applyFill="1" applyBorder="1" applyAlignment="1">
      <alignment horizontal="center" vertical="center"/>
    </xf>
    <xf numFmtId="166" fontId="15" fillId="0" borderId="1" xfId="12" applyNumberFormat="1" applyFont="1" applyFill="1" applyBorder="1" applyAlignment="1">
      <alignment horizontal="center" vertical="center"/>
    </xf>
    <xf numFmtId="168" fontId="15" fillId="9" borderId="3" xfId="12" applyNumberFormat="1" applyFont="1" applyFill="1" applyBorder="1" applyAlignment="1">
      <alignment horizontal="center" vertical="center"/>
    </xf>
    <xf numFmtId="0" fontId="21" fillId="7" borderId="4" xfId="1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166" fontId="21" fillId="0" borderId="3" xfId="1" applyNumberFormat="1" applyFont="1" applyBorder="1" applyAlignment="1">
      <alignment horizontal="center" vertical="center"/>
    </xf>
    <xf numFmtId="166" fontId="23" fillId="7" borderId="2" xfId="11" applyNumberFormat="1" applyFont="1" applyFill="1" applyBorder="1" applyAlignment="1">
      <alignment horizontal="center" vertical="center"/>
    </xf>
    <xf numFmtId="166" fontId="21" fillId="15" borderId="3" xfId="1" applyNumberFormat="1" applyFont="1" applyFill="1" applyBorder="1" applyAlignment="1">
      <alignment vertical="center"/>
    </xf>
    <xf numFmtId="166" fontId="23" fillId="15" borderId="3" xfId="1" applyNumberFormat="1" applyFont="1" applyFill="1" applyBorder="1" applyAlignment="1">
      <alignment vertical="center"/>
    </xf>
    <xf numFmtId="0" fontId="21" fillId="15" borderId="0" xfId="0" applyFont="1" applyFill="1"/>
    <xf numFmtId="166" fontId="16" fillId="0" borderId="3" xfId="1" applyNumberFormat="1" applyFont="1" applyFill="1" applyBorder="1" applyAlignment="1">
      <alignment vertical="center"/>
    </xf>
    <xf numFmtId="166" fontId="21" fillId="0" borderId="3" xfId="1" applyNumberFormat="1" applyFont="1" applyFill="1" applyBorder="1" applyAlignment="1">
      <alignment horizontal="center" vertical="center"/>
    </xf>
    <xf numFmtId="168" fontId="15" fillId="0" borderId="3" xfId="2" applyNumberFormat="1" applyFont="1" applyBorder="1"/>
    <xf numFmtId="166" fontId="0" fillId="0" borderId="0" xfId="1" applyNumberFormat="1" applyFont="1"/>
    <xf numFmtId="0" fontId="21" fillId="7" borderId="2" xfId="11" applyFont="1" applyFill="1" applyBorder="1" applyAlignment="1">
      <alignment horizontal="center" vertical="center"/>
    </xf>
    <xf numFmtId="0" fontId="21" fillId="7" borderId="2" xfId="11" applyFont="1" applyFill="1" applyBorder="1" applyAlignment="1">
      <alignment vertical="center"/>
    </xf>
    <xf numFmtId="166" fontId="21" fillId="7" borderId="3" xfId="1" applyNumberFormat="1" applyFont="1" applyFill="1" applyBorder="1" applyAlignment="1">
      <alignment horizontal="center" vertical="center"/>
    </xf>
    <xf numFmtId="0" fontId="21" fillId="7" borderId="0" xfId="0" applyFont="1" applyFill="1"/>
    <xf numFmtId="0" fontId="21" fillId="7" borderId="3" xfId="11" applyFont="1" applyFill="1" applyBorder="1" applyAlignment="1">
      <alignment vertical="center"/>
    </xf>
    <xf numFmtId="0" fontId="21" fillId="7" borderId="3" xfId="11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vertical="center"/>
    </xf>
    <xf numFmtId="0" fontId="21" fillId="7" borderId="1" xfId="11" applyFont="1" applyFill="1" applyBorder="1" applyAlignment="1">
      <alignment vertical="center"/>
    </xf>
    <xf numFmtId="0" fontId="21" fillId="7" borderId="1" xfId="11" applyFont="1" applyFill="1" applyBorder="1" applyAlignment="1">
      <alignment horizontal="center" vertical="center"/>
    </xf>
    <xf numFmtId="0" fontId="21" fillId="7" borderId="8" xfId="11" applyFont="1" applyFill="1" applyBorder="1" applyAlignment="1">
      <alignment horizontal="center" vertical="center"/>
    </xf>
    <xf numFmtId="166" fontId="21" fillId="7" borderId="2" xfId="1" applyNumberFormat="1" applyFont="1" applyFill="1" applyBorder="1" applyAlignment="1">
      <alignment horizontal="center" vertical="center"/>
    </xf>
    <xf numFmtId="0" fontId="21" fillId="3" borderId="1" xfId="11" applyFont="1" applyFill="1" applyBorder="1" applyAlignment="1">
      <alignment vertical="center"/>
    </xf>
    <xf numFmtId="0" fontId="21" fillId="3" borderId="1" xfId="11" applyFont="1" applyFill="1" applyBorder="1" applyAlignment="1">
      <alignment horizontal="center" vertical="center"/>
    </xf>
    <xf numFmtId="166" fontId="21" fillId="3" borderId="3" xfId="1" applyNumberFormat="1" applyFont="1" applyFill="1" applyBorder="1" applyAlignment="1">
      <alignment vertical="center"/>
    </xf>
    <xf numFmtId="0" fontId="21" fillId="3" borderId="0" xfId="0" applyFont="1" applyFill="1"/>
    <xf numFmtId="0" fontId="21" fillId="3" borderId="2" xfId="11" applyFont="1" applyFill="1" applyBorder="1" applyAlignment="1">
      <alignment horizontal="center" vertical="center"/>
    </xf>
    <xf numFmtId="166" fontId="21" fillId="3" borderId="3" xfId="1" applyNumberFormat="1" applyFont="1" applyFill="1" applyBorder="1" applyAlignment="1">
      <alignment horizontal="center" vertical="center"/>
    </xf>
    <xf numFmtId="0" fontId="21" fillId="3" borderId="3" xfId="11" applyFont="1" applyFill="1" applyBorder="1" applyAlignment="1">
      <alignment vertical="center"/>
    </xf>
    <xf numFmtId="0" fontId="21" fillId="3" borderId="3" xfId="11" applyFont="1" applyFill="1" applyBorder="1" applyAlignment="1">
      <alignment horizontal="center" vertical="center"/>
    </xf>
    <xf numFmtId="0" fontId="21" fillId="3" borderId="2" xfId="11" applyFont="1" applyFill="1" applyBorder="1" applyAlignment="1">
      <alignment vertical="center"/>
    </xf>
    <xf numFmtId="0" fontId="21" fillId="3" borderId="3" xfId="0" applyFont="1" applyFill="1" applyBorder="1" applyAlignment="1">
      <alignment vertical="center"/>
    </xf>
    <xf numFmtId="168" fontId="16" fillId="0" borderId="0" xfId="11" applyNumberFormat="1" applyFont="1" applyAlignment="1">
      <alignment vertical="center"/>
    </xf>
    <xf numFmtId="166" fontId="23" fillId="6" borderId="3" xfId="1" applyNumberFormat="1" applyFont="1" applyFill="1" applyBorder="1" applyAlignment="1">
      <alignment vertical="center"/>
    </xf>
    <xf numFmtId="166" fontId="32" fillId="2" borderId="3" xfId="1" applyNumberFormat="1" applyFont="1" applyFill="1" applyBorder="1" applyAlignment="1">
      <alignment vertical="center"/>
    </xf>
    <xf numFmtId="166" fontId="32" fillId="7" borderId="3" xfId="1" applyNumberFormat="1" applyFont="1" applyFill="1" applyBorder="1" applyAlignment="1">
      <alignment vertical="center"/>
    </xf>
    <xf numFmtId="166" fontId="32" fillId="4" borderId="3" xfId="1" applyNumberFormat="1" applyFont="1" applyFill="1" applyBorder="1" applyAlignment="1">
      <alignment vertical="center"/>
    </xf>
    <xf numFmtId="166" fontId="32" fillId="17" borderId="3" xfId="1" applyNumberFormat="1" applyFont="1" applyFill="1" applyBorder="1" applyAlignment="1">
      <alignment vertical="center"/>
    </xf>
    <xf numFmtId="164" fontId="14" fillId="2" borderId="3" xfId="18" applyFont="1" applyFill="1" applyBorder="1" applyAlignment="1">
      <alignment vertical="center"/>
    </xf>
    <xf numFmtId="164" fontId="14" fillId="7" borderId="3" xfId="17" applyNumberFormat="1" applyFont="1" applyFill="1" applyBorder="1" applyAlignment="1">
      <alignment vertical="center"/>
    </xf>
    <xf numFmtId="164" fontId="12" fillId="4" borderId="3" xfId="17" applyNumberFormat="1" applyFont="1" applyFill="1" applyBorder="1" applyAlignment="1">
      <alignment vertical="center"/>
    </xf>
    <xf numFmtId="0" fontId="14" fillId="7" borderId="3" xfId="17" applyFont="1" applyFill="1" applyBorder="1" applyAlignment="1">
      <alignment vertical="center"/>
    </xf>
    <xf numFmtId="0" fontId="12" fillId="4" borderId="3" xfId="17" applyFont="1" applyFill="1" applyBorder="1" applyAlignment="1">
      <alignment vertical="center"/>
    </xf>
    <xf numFmtId="0" fontId="12" fillId="16" borderId="3" xfId="17" applyFont="1" applyFill="1" applyBorder="1" applyAlignment="1">
      <alignment vertical="center"/>
    </xf>
    <xf numFmtId="166" fontId="9" fillId="2" borderId="3" xfId="1" applyNumberFormat="1" applyFont="1" applyFill="1" applyBorder="1" applyAlignment="1">
      <alignment vertical="center"/>
    </xf>
    <xf numFmtId="166" fontId="9" fillId="7" borderId="3" xfId="1" applyNumberFormat="1" applyFont="1" applyFill="1" applyBorder="1" applyAlignment="1">
      <alignment vertical="center"/>
    </xf>
    <xf numFmtId="166" fontId="9" fillId="4" borderId="3" xfId="1" applyNumberFormat="1" applyFont="1" applyFill="1" applyBorder="1" applyAlignment="1">
      <alignment vertical="center"/>
    </xf>
    <xf numFmtId="166" fontId="9" fillId="16" borderId="3" xfId="1" applyNumberFormat="1" applyFont="1" applyFill="1" applyBorder="1" applyAlignment="1">
      <alignment vertical="center"/>
    </xf>
    <xf numFmtId="164" fontId="32" fillId="2" borderId="3" xfId="18" applyFont="1" applyFill="1" applyBorder="1" applyAlignment="1">
      <alignment vertical="center"/>
    </xf>
    <xf numFmtId="164" fontId="32" fillId="7" borderId="3" xfId="17" applyNumberFormat="1" applyFont="1" applyFill="1" applyBorder="1" applyAlignment="1">
      <alignment vertical="center"/>
    </xf>
    <xf numFmtId="164" fontId="32" fillId="4" borderId="3" xfId="17" applyNumberFormat="1" applyFont="1" applyFill="1" applyBorder="1" applyAlignment="1">
      <alignment vertical="center"/>
    </xf>
    <xf numFmtId="9" fontId="9" fillId="2" borderId="3" xfId="16" applyFont="1" applyFill="1" applyBorder="1" applyAlignment="1">
      <alignment horizontal="center" vertical="center"/>
    </xf>
    <xf numFmtId="9" fontId="9" fillId="7" borderId="3" xfId="16" applyFont="1" applyFill="1" applyBorder="1" applyAlignment="1">
      <alignment horizontal="center" vertical="center"/>
    </xf>
    <xf numFmtId="9" fontId="9" fillId="4" borderId="3" xfId="16" applyFont="1" applyFill="1" applyBorder="1" applyAlignment="1">
      <alignment horizontal="center" vertical="center"/>
    </xf>
    <xf numFmtId="9" fontId="9" fillId="16" borderId="3" xfId="16" applyFont="1" applyFill="1" applyBorder="1" applyAlignment="1">
      <alignment horizontal="center" vertical="center"/>
    </xf>
    <xf numFmtId="0" fontId="32" fillId="0" borderId="3" xfId="17" applyFont="1" applyBorder="1" applyAlignment="1">
      <alignment horizontal="left" vertical="center"/>
    </xf>
    <xf numFmtId="0" fontId="14" fillId="0" borderId="3" xfId="17" applyFont="1" applyBorder="1" applyAlignment="1">
      <alignment horizontal="left" vertical="center"/>
    </xf>
    <xf numFmtId="164" fontId="14" fillId="2" borderId="3" xfId="17" applyNumberFormat="1" applyFont="1" applyFill="1" applyBorder="1" applyAlignment="1">
      <alignment vertical="center"/>
    </xf>
    <xf numFmtId="164" fontId="14" fillId="4" borderId="3" xfId="17" applyNumberFormat="1" applyFont="1" applyFill="1" applyBorder="1" applyAlignment="1">
      <alignment vertical="center"/>
    </xf>
    <xf numFmtId="164" fontId="12" fillId="17" borderId="3" xfId="17" applyNumberFormat="1" applyFont="1" applyFill="1" applyBorder="1" applyAlignment="1">
      <alignment vertical="center"/>
    </xf>
    <xf numFmtId="0" fontId="14" fillId="2" borderId="3" xfId="17" applyFont="1" applyFill="1" applyBorder="1" applyAlignment="1">
      <alignment vertical="center"/>
    </xf>
    <xf numFmtId="0" fontId="14" fillId="4" borderId="3" xfId="17" applyFont="1" applyFill="1" applyBorder="1" applyAlignment="1">
      <alignment vertical="center"/>
    </xf>
    <xf numFmtId="164" fontId="12" fillId="16" borderId="3" xfId="17" applyNumberFormat="1" applyFont="1" applyFill="1" applyBorder="1" applyAlignment="1">
      <alignment vertical="center"/>
    </xf>
    <xf numFmtId="0" fontId="9" fillId="0" borderId="3" xfId="17" applyFont="1" applyBorder="1" applyAlignment="1">
      <alignment horizontal="left" vertical="center"/>
    </xf>
    <xf numFmtId="166" fontId="32" fillId="2" borderId="3" xfId="17" applyNumberFormat="1" applyFont="1" applyFill="1" applyBorder="1" applyAlignment="1">
      <alignment vertical="center"/>
    </xf>
    <xf numFmtId="164" fontId="32" fillId="2" borderId="3" xfId="17" applyNumberFormat="1" applyFont="1" applyFill="1" applyBorder="1" applyAlignment="1">
      <alignment vertical="center"/>
    </xf>
    <xf numFmtId="164" fontId="32" fillId="16" borderId="3" xfId="17" applyNumberFormat="1" applyFont="1" applyFill="1" applyBorder="1" applyAlignment="1">
      <alignment vertical="center"/>
    </xf>
    <xf numFmtId="0" fontId="32" fillId="0" borderId="3" xfId="17" applyFont="1" applyBorder="1" applyAlignment="1">
      <alignment vertical="center"/>
    </xf>
    <xf numFmtId="9" fontId="32" fillId="2" borderId="3" xfId="16" applyFont="1" applyFill="1" applyBorder="1" applyAlignment="1">
      <alignment horizontal="center" vertical="center"/>
    </xf>
    <xf numFmtId="9" fontId="32" fillId="7" borderId="3" xfId="16" applyFont="1" applyFill="1" applyBorder="1" applyAlignment="1">
      <alignment horizontal="center" vertical="center"/>
    </xf>
    <xf numFmtId="9" fontId="32" fillId="4" borderId="3" xfId="16" applyFont="1" applyFill="1" applyBorder="1" applyAlignment="1">
      <alignment horizontal="center" vertical="center"/>
    </xf>
    <xf numFmtId="9" fontId="32" fillId="16" borderId="3" xfId="16" applyFont="1" applyFill="1" applyBorder="1" applyAlignment="1">
      <alignment horizontal="center" vertical="center"/>
    </xf>
    <xf numFmtId="166" fontId="32" fillId="17" borderId="9" xfId="1" applyNumberFormat="1" applyFont="1" applyFill="1" applyBorder="1" applyAlignment="1">
      <alignment vertical="center"/>
    </xf>
    <xf numFmtId="0" fontId="14" fillId="17" borderId="9" xfId="17" applyFont="1" applyFill="1" applyBorder="1" applyAlignment="1">
      <alignment vertical="center"/>
    </xf>
    <xf numFmtId="0" fontId="14" fillId="16" borderId="9" xfId="17" applyFont="1" applyFill="1" applyBorder="1" applyAlignment="1">
      <alignment vertical="center"/>
    </xf>
    <xf numFmtId="166" fontId="9" fillId="16" borderId="9" xfId="1" applyNumberFormat="1" applyFont="1" applyFill="1" applyBorder="1" applyAlignment="1">
      <alignment vertical="center"/>
    </xf>
    <xf numFmtId="0" fontId="32" fillId="16" borderId="9" xfId="17" applyFont="1" applyFill="1" applyBorder="1" applyAlignment="1">
      <alignment vertical="center"/>
    </xf>
    <xf numFmtId="9" fontId="9" fillId="16" borderId="9" xfId="16" applyFont="1" applyFill="1" applyBorder="1" applyAlignment="1">
      <alignment horizontal="center" vertical="center"/>
    </xf>
    <xf numFmtId="9" fontId="32" fillId="16" borderId="9" xfId="16" applyFont="1" applyFill="1" applyBorder="1" applyAlignment="1">
      <alignment horizontal="center" vertical="center"/>
    </xf>
    <xf numFmtId="0" fontId="0" fillId="0" borderId="3" xfId="0" applyBorder="1"/>
    <xf numFmtId="166" fontId="0" fillId="0" borderId="3" xfId="0" applyNumberFormat="1" applyBorder="1"/>
    <xf numFmtId="0" fontId="0" fillId="0" borderId="9" xfId="0" applyBorder="1"/>
    <xf numFmtId="0" fontId="0" fillId="0" borderId="34" xfId="0" applyBorder="1"/>
    <xf numFmtId="0" fontId="0" fillId="0" borderId="35" xfId="0" applyBorder="1"/>
    <xf numFmtId="1" fontId="23" fillId="0" borderId="35" xfId="0" applyNumberFormat="1" applyFont="1" applyBorder="1" applyAlignment="1">
      <alignment horizontal="center"/>
    </xf>
    <xf numFmtId="0" fontId="0" fillId="0" borderId="36" xfId="0" applyBorder="1"/>
    <xf numFmtId="0" fontId="9" fillId="0" borderId="2" xfId="0" applyFont="1" applyBorder="1" applyAlignment="1">
      <alignment horizontal="left" vertical="center"/>
    </xf>
    <xf numFmtId="166" fontId="9" fillId="2" borderId="2" xfId="0" applyNumberFormat="1" applyFont="1" applyFill="1" applyBorder="1" applyAlignment="1">
      <alignment vertical="center"/>
    </xf>
    <xf numFmtId="166" fontId="9" fillId="7" borderId="2" xfId="0" applyNumberFormat="1" applyFont="1" applyFill="1" applyBorder="1" applyAlignment="1">
      <alignment vertical="center"/>
    </xf>
    <xf numFmtId="166" fontId="9" fillId="4" borderId="2" xfId="0" applyNumberFormat="1" applyFont="1" applyFill="1" applyBorder="1" applyAlignment="1">
      <alignment vertical="center"/>
    </xf>
    <xf numFmtId="166" fontId="9" fillId="17" borderId="2" xfId="0" applyNumberFormat="1" applyFont="1" applyFill="1" applyBorder="1" applyAlignment="1">
      <alignment vertical="center"/>
    </xf>
    <xf numFmtId="166" fontId="9" fillId="17" borderId="8" xfId="0" applyNumberFormat="1" applyFont="1" applyFill="1" applyBorder="1" applyAlignment="1">
      <alignment vertical="center"/>
    </xf>
    <xf numFmtId="166" fontId="0" fillId="0" borderId="2" xfId="0" applyNumberFormat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16" xfId="0" applyBorder="1"/>
    <xf numFmtId="0" fontId="0" fillId="0" borderId="19" xfId="0" applyBorder="1"/>
    <xf numFmtId="0" fontId="12" fillId="2" borderId="17" xfId="17" applyFont="1" applyFill="1" applyBorder="1" applyAlignment="1">
      <alignment horizontal="center" vertical="center"/>
    </xf>
    <xf numFmtId="166" fontId="12" fillId="2" borderId="17" xfId="17" applyNumberFormat="1" applyFont="1" applyFill="1" applyBorder="1" applyAlignment="1">
      <alignment horizontal="center" vertical="center"/>
    </xf>
    <xf numFmtId="164" fontId="12" fillId="7" borderId="17" xfId="18" applyFont="1" applyFill="1" applyBorder="1" applyAlignment="1">
      <alignment horizontal="center" vertical="center"/>
    </xf>
    <xf numFmtId="0" fontId="12" fillId="4" borderId="17" xfId="17" applyFont="1" applyFill="1" applyBorder="1" applyAlignment="1">
      <alignment horizontal="center" vertical="center"/>
    </xf>
    <xf numFmtId="0" fontId="12" fillId="17" borderId="17" xfId="17" applyFont="1" applyFill="1" applyBorder="1" applyAlignment="1">
      <alignment horizontal="center" vertical="center"/>
    </xf>
    <xf numFmtId="0" fontId="12" fillId="17" borderId="41" xfId="17" applyFont="1" applyFill="1" applyBorder="1" applyAlignment="1">
      <alignment horizontal="center" vertical="center"/>
    </xf>
    <xf numFmtId="0" fontId="12" fillId="17" borderId="36" xfId="17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166" fontId="21" fillId="9" borderId="3" xfId="1" applyNumberFormat="1" applyFont="1" applyFill="1" applyBorder="1" applyAlignment="1">
      <alignment horizontal="center" vertical="center"/>
    </xf>
    <xf numFmtId="166" fontId="23" fillId="16" borderId="3" xfId="1" applyNumberFormat="1" applyFont="1" applyFill="1" applyBorder="1" applyAlignment="1">
      <alignment horizontal="center" vertical="center"/>
    </xf>
    <xf numFmtId="166" fontId="23" fillId="0" borderId="3" xfId="1" applyNumberFormat="1" applyFont="1" applyBorder="1" applyAlignment="1">
      <alignment horizontal="center" vertical="center"/>
    </xf>
    <xf numFmtId="166" fontId="28" fillId="9" borderId="3" xfId="1" applyNumberFormat="1" applyFont="1" applyFill="1" applyBorder="1" applyAlignment="1">
      <alignment horizontal="center" vertical="center"/>
    </xf>
    <xf numFmtId="166" fontId="28" fillId="16" borderId="3" xfId="1" applyNumberFormat="1" applyFont="1" applyFill="1" applyBorder="1" applyAlignment="1">
      <alignment horizontal="center" vertical="center"/>
    </xf>
    <xf numFmtId="166" fontId="28" fillId="0" borderId="3" xfId="1" applyNumberFormat="1" applyFont="1" applyBorder="1" applyAlignment="1">
      <alignment horizontal="center" vertical="center"/>
    </xf>
    <xf numFmtId="166" fontId="28" fillId="0" borderId="3" xfId="1" applyNumberFormat="1" applyFont="1" applyFill="1" applyBorder="1" applyAlignment="1">
      <alignment horizontal="center" vertical="center"/>
    </xf>
    <xf numFmtId="166" fontId="34" fillId="0" borderId="3" xfId="1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6" fontId="21" fillId="9" borderId="9" xfId="1" applyNumberFormat="1" applyFont="1" applyFill="1" applyBorder="1" applyAlignment="1">
      <alignment horizontal="center" vertical="center"/>
    </xf>
    <xf numFmtId="166" fontId="28" fillId="9" borderId="9" xfId="1" applyNumberFormat="1" applyFont="1" applyFill="1" applyBorder="1" applyAlignment="1">
      <alignment horizontal="center" vertical="center"/>
    </xf>
    <xf numFmtId="166" fontId="28" fillId="0" borderId="9" xfId="1" applyNumberFormat="1" applyFont="1" applyFill="1" applyBorder="1" applyAlignment="1">
      <alignment horizontal="center" vertical="center"/>
    </xf>
    <xf numFmtId="166" fontId="34" fillId="0" borderId="9" xfId="1" applyNumberFormat="1" applyFont="1" applyBorder="1" applyAlignment="1">
      <alignment horizontal="center" vertical="center"/>
    </xf>
    <xf numFmtId="166" fontId="23" fillId="16" borderId="9" xfId="1" applyNumberFormat="1" applyFont="1" applyFill="1" applyBorder="1" applyAlignment="1">
      <alignment horizontal="center" vertical="center"/>
    </xf>
    <xf numFmtId="166" fontId="21" fillId="9" borderId="10" xfId="1" applyNumberFormat="1" applyFont="1" applyFill="1" applyBorder="1" applyAlignment="1">
      <alignment horizontal="center" vertical="center"/>
    </xf>
    <xf numFmtId="166" fontId="28" fillId="9" borderId="10" xfId="1" applyNumberFormat="1" applyFont="1" applyFill="1" applyBorder="1" applyAlignment="1">
      <alignment horizontal="center" vertical="center"/>
    </xf>
    <xf numFmtId="166" fontId="28" fillId="0" borderId="10" xfId="1" applyNumberFormat="1" applyFont="1" applyFill="1" applyBorder="1" applyAlignment="1">
      <alignment horizontal="center" vertical="center"/>
    </xf>
    <xf numFmtId="166" fontId="34" fillId="0" borderId="10" xfId="1" applyNumberFormat="1" applyFont="1" applyBorder="1" applyAlignment="1">
      <alignment horizontal="center" vertical="center"/>
    </xf>
    <xf numFmtId="166" fontId="23" fillId="16" borderId="10" xfId="1" applyNumberFormat="1" applyFont="1" applyFill="1" applyBorder="1" applyAlignment="1">
      <alignment horizontal="center" vertical="center"/>
    </xf>
    <xf numFmtId="166" fontId="23" fillId="0" borderId="9" xfId="1" applyNumberFormat="1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6" fontId="23" fillId="6" borderId="50" xfId="1" applyNumberFormat="1" applyFont="1" applyFill="1" applyBorder="1" applyAlignment="1">
      <alignment horizontal="center" vertical="center"/>
    </xf>
    <xf numFmtId="166" fontId="23" fillId="6" borderId="51" xfId="1" applyNumberFormat="1" applyFont="1" applyFill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1" fontId="23" fillId="0" borderId="43" xfId="0" applyNumberFormat="1" applyFont="1" applyBorder="1" applyAlignment="1">
      <alignment horizontal="center" vertical="center"/>
    </xf>
    <xf numFmtId="0" fontId="35" fillId="2" borderId="15" xfId="0" applyFont="1" applyFill="1" applyBorder="1"/>
    <xf numFmtId="0" fontId="35" fillId="2" borderId="16" xfId="0" applyFont="1" applyFill="1" applyBorder="1"/>
    <xf numFmtId="0" fontId="36" fillId="2" borderId="30" xfId="0" applyFont="1" applyFill="1" applyBorder="1"/>
    <xf numFmtId="0" fontId="37" fillId="2" borderId="21" xfId="0" applyFont="1" applyFill="1" applyBorder="1" applyAlignment="1">
      <alignment horizontal="center" vertical="center" wrapText="1"/>
    </xf>
    <xf numFmtId="0" fontId="37" fillId="2" borderId="1" xfId="14" applyFont="1" applyFill="1" applyBorder="1" applyAlignment="1">
      <alignment horizontal="center" vertical="center" wrapText="1"/>
    </xf>
    <xf numFmtId="167" fontId="20" fillId="2" borderId="5" xfId="11" applyNumberFormat="1" applyFont="1" applyFill="1" applyBorder="1" applyAlignment="1">
      <alignment horizontal="center" vertical="center"/>
    </xf>
    <xf numFmtId="0" fontId="20" fillId="2" borderId="6" xfId="11" applyFont="1" applyFill="1" applyBorder="1" applyAlignment="1">
      <alignment horizontal="center" vertical="center" wrapText="1"/>
    </xf>
    <xf numFmtId="166" fontId="28" fillId="2" borderId="6" xfId="1" applyNumberFormat="1" applyFont="1" applyFill="1" applyBorder="1" applyAlignment="1">
      <alignment horizontal="center" vertical="center" wrapText="1"/>
    </xf>
    <xf numFmtId="166" fontId="20" fillId="2" borderId="6" xfId="1" applyNumberFormat="1" applyFont="1" applyFill="1" applyBorder="1" applyAlignment="1">
      <alignment horizontal="center" vertical="center"/>
    </xf>
    <xf numFmtId="166" fontId="28" fillId="2" borderId="6" xfId="1" applyNumberFormat="1" applyFont="1" applyFill="1" applyBorder="1" applyAlignment="1">
      <alignment horizontal="center" vertical="center"/>
    </xf>
    <xf numFmtId="166" fontId="20" fillId="2" borderId="6" xfId="1" applyNumberFormat="1" applyFont="1" applyFill="1" applyBorder="1" applyAlignment="1">
      <alignment horizontal="center" vertical="center" wrapText="1"/>
    </xf>
    <xf numFmtId="166" fontId="20" fillId="2" borderId="6" xfId="12" applyNumberFormat="1" applyFont="1" applyFill="1" applyBorder="1" applyAlignment="1">
      <alignment horizontal="center" vertical="center" wrapText="1"/>
    </xf>
    <xf numFmtId="166" fontId="20" fillId="2" borderId="6" xfId="12" applyNumberFormat="1" applyFont="1" applyFill="1" applyBorder="1" applyAlignment="1">
      <alignment horizontal="center" vertical="center"/>
    </xf>
    <xf numFmtId="1" fontId="20" fillId="2" borderId="6" xfId="11" applyNumberFormat="1" applyFont="1" applyFill="1" applyBorder="1" applyAlignment="1">
      <alignment horizontal="center" vertical="center"/>
    </xf>
    <xf numFmtId="166" fontId="21" fillId="0" borderId="2" xfId="1" applyNumberFormat="1" applyFont="1" applyFill="1" applyBorder="1" applyAlignment="1">
      <alignment vertical="center"/>
    </xf>
    <xf numFmtId="166" fontId="21" fillId="15" borderId="2" xfId="1" applyNumberFormat="1" applyFont="1" applyFill="1" applyBorder="1" applyAlignment="1">
      <alignment vertical="center"/>
    </xf>
    <xf numFmtId="43" fontId="21" fillId="0" borderId="2" xfId="1" applyFont="1" applyBorder="1" applyAlignment="1">
      <alignment horizontal="center" vertical="center"/>
    </xf>
    <xf numFmtId="0" fontId="21" fillId="7" borderId="53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166" fontId="21" fillId="3" borderId="4" xfId="1" applyNumberFormat="1" applyFont="1" applyFill="1" applyBorder="1" applyAlignment="1">
      <alignment horizontal="center" vertical="center"/>
    </xf>
    <xf numFmtId="166" fontId="21" fillId="3" borderId="1" xfId="1" applyNumberFormat="1" applyFont="1" applyFill="1" applyBorder="1" applyAlignment="1">
      <alignment vertical="center"/>
    </xf>
    <xf numFmtId="0" fontId="21" fillId="0" borderId="55" xfId="11" applyFont="1" applyBorder="1" applyAlignment="1">
      <alignment horizontal="center" vertical="center"/>
    </xf>
    <xf numFmtId="0" fontId="23" fillId="7" borderId="16" xfId="11" applyFont="1" applyFill="1" applyBorder="1" applyAlignment="1">
      <alignment vertical="center"/>
    </xf>
    <xf numFmtId="0" fontId="23" fillId="7" borderId="16" xfId="11" applyFont="1" applyFill="1" applyBorder="1" applyAlignment="1">
      <alignment horizontal="center" vertical="center"/>
    </xf>
    <xf numFmtId="166" fontId="21" fillId="15" borderId="16" xfId="1" applyNumberFormat="1" applyFont="1" applyFill="1" applyBorder="1" applyAlignment="1">
      <alignment vertical="center"/>
    </xf>
    <xf numFmtId="166" fontId="23" fillId="6" borderId="16" xfId="1" applyNumberFormat="1" applyFont="1" applyFill="1" applyBorder="1" applyAlignment="1">
      <alignment vertical="center"/>
    </xf>
    <xf numFmtId="166" fontId="23" fillId="7" borderId="30" xfId="11" applyNumberFormat="1" applyFont="1" applyFill="1" applyBorder="1" applyAlignment="1">
      <alignment horizontal="center" vertical="center"/>
    </xf>
    <xf numFmtId="0" fontId="21" fillId="0" borderId="43" xfId="0" applyFont="1" applyBorder="1" applyAlignment="1">
      <alignment vertical="center"/>
    </xf>
    <xf numFmtId="166" fontId="23" fillId="7" borderId="31" xfId="1" applyNumberFormat="1" applyFont="1" applyFill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23" fillId="7" borderId="17" xfId="0" applyFont="1" applyFill="1" applyBorder="1" applyAlignment="1">
      <alignment vertical="center"/>
    </xf>
    <xf numFmtId="166" fontId="23" fillId="7" borderId="17" xfId="1" applyNumberFormat="1" applyFont="1" applyFill="1" applyBorder="1" applyAlignment="1">
      <alignment vertical="center"/>
    </xf>
    <xf numFmtId="166" fontId="23" fillId="15" borderId="17" xfId="1" applyNumberFormat="1" applyFont="1" applyFill="1" applyBorder="1" applyAlignment="1">
      <alignment vertical="center"/>
    </xf>
    <xf numFmtId="166" fontId="23" fillId="3" borderId="17" xfId="1" applyNumberFormat="1" applyFont="1" applyFill="1" applyBorder="1" applyAlignment="1">
      <alignment vertical="center"/>
    </xf>
    <xf numFmtId="166" fontId="23" fillId="7" borderId="32" xfId="1" applyNumberFormat="1" applyFont="1" applyFill="1" applyBorder="1" applyAlignment="1">
      <alignment vertical="center"/>
    </xf>
    <xf numFmtId="0" fontId="21" fillId="7" borderId="56" xfId="11" applyFont="1" applyFill="1" applyBorder="1" applyAlignment="1">
      <alignment horizontal="center" vertical="center"/>
    </xf>
    <xf numFmtId="166" fontId="21" fillId="0" borderId="57" xfId="1" applyNumberFormat="1" applyFont="1" applyFill="1" applyBorder="1" applyAlignment="1">
      <alignment horizontal="center" vertical="center"/>
    </xf>
    <xf numFmtId="166" fontId="21" fillId="3" borderId="10" xfId="1" applyNumberFormat="1" applyFont="1" applyFill="1" applyBorder="1" applyAlignment="1">
      <alignment horizontal="center" vertical="center"/>
    </xf>
    <xf numFmtId="166" fontId="21" fillId="0" borderId="10" xfId="1" applyNumberFormat="1" applyFont="1" applyFill="1" applyBorder="1" applyAlignment="1">
      <alignment horizontal="center" vertical="center"/>
    </xf>
    <xf numFmtId="166" fontId="21" fillId="3" borderId="58" xfId="1" applyNumberFormat="1" applyFont="1" applyFill="1" applyBorder="1" applyAlignment="1">
      <alignment horizontal="center" vertical="center"/>
    </xf>
    <xf numFmtId="166" fontId="23" fillId="7" borderId="22" xfId="11" applyNumberFormat="1" applyFont="1" applyFill="1" applyBorder="1" applyAlignment="1">
      <alignment horizontal="center" vertical="center"/>
    </xf>
    <xf numFmtId="0" fontId="23" fillId="7" borderId="10" xfId="0" applyFont="1" applyFill="1" applyBorder="1" applyAlignment="1">
      <alignment vertical="center"/>
    </xf>
    <xf numFmtId="0" fontId="23" fillId="7" borderId="59" xfId="0" applyFont="1" applyFill="1" applyBorder="1" applyAlignment="1">
      <alignment vertical="center"/>
    </xf>
    <xf numFmtId="0" fontId="21" fillId="0" borderId="50" xfId="11" applyFont="1" applyBorder="1" applyAlignment="1">
      <alignment horizontal="center" vertical="center"/>
    </xf>
    <xf numFmtId="0" fontId="21" fillId="0" borderId="51" xfId="11" applyFont="1" applyBorder="1" applyAlignment="1">
      <alignment horizontal="center" vertical="center"/>
    </xf>
    <xf numFmtId="0" fontId="21" fillId="3" borderId="50" xfId="11" applyFont="1" applyFill="1" applyBorder="1" applyAlignment="1">
      <alignment horizontal="center" vertical="center"/>
    </xf>
    <xf numFmtId="0" fontId="21" fillId="3" borderId="51" xfId="11" applyFont="1" applyFill="1" applyBorder="1" applyAlignment="1">
      <alignment horizontal="center" vertical="center"/>
    </xf>
    <xf numFmtId="0" fontId="21" fillId="0" borderId="31" xfId="11" applyFont="1" applyBorder="1" applyAlignment="1">
      <alignment horizontal="center" vertical="center"/>
    </xf>
    <xf numFmtId="0" fontId="21" fillId="3" borderId="31" xfId="11" applyFont="1" applyFill="1" applyBorder="1" applyAlignment="1">
      <alignment horizontal="center" vertical="center"/>
    </xf>
    <xf numFmtId="0" fontId="21" fillId="3" borderId="52" xfId="11" applyFont="1" applyFill="1" applyBorder="1" applyAlignment="1">
      <alignment horizontal="center" vertical="center"/>
    </xf>
    <xf numFmtId="0" fontId="21" fillId="0" borderId="52" xfId="11" applyFont="1" applyBorder="1" applyAlignment="1">
      <alignment horizontal="center" vertical="center"/>
    </xf>
    <xf numFmtId="0" fontId="21" fillId="3" borderId="43" xfId="11" applyFont="1" applyFill="1" applyBorder="1" applyAlignment="1">
      <alignment horizontal="center" vertical="center"/>
    </xf>
    <xf numFmtId="0" fontId="23" fillId="7" borderId="30" xfId="11" applyFont="1" applyFill="1" applyBorder="1" applyAlignment="1">
      <alignment horizontal="center" vertical="center"/>
    </xf>
    <xf numFmtId="0" fontId="23" fillId="7" borderId="31" xfId="0" applyFont="1" applyFill="1" applyBorder="1" applyAlignment="1">
      <alignment vertical="center"/>
    </xf>
    <xf numFmtId="0" fontId="23" fillId="7" borderId="32" xfId="0" applyFont="1" applyFill="1" applyBorder="1" applyAlignment="1">
      <alignment vertical="center"/>
    </xf>
    <xf numFmtId="168" fontId="23" fillId="6" borderId="2" xfId="0" applyNumberFormat="1" applyFont="1" applyFill="1" applyBorder="1" applyAlignment="1">
      <alignment horizontal="center" vertical="center"/>
    </xf>
    <xf numFmtId="166" fontId="16" fillId="0" borderId="1" xfId="1" applyNumberFormat="1" applyFont="1" applyBorder="1" applyAlignment="1">
      <alignment horizontal="right" vertical="center"/>
    </xf>
    <xf numFmtId="166" fontId="29" fillId="0" borderId="1" xfId="1" applyNumberFormat="1" applyFont="1" applyBorder="1" applyAlignment="1">
      <alignment horizontal="right" vertical="center"/>
    </xf>
    <xf numFmtId="168" fontId="14" fillId="9" borderId="1" xfId="12" applyNumberFormat="1" applyFont="1" applyFill="1" applyBorder="1" applyAlignment="1">
      <alignment horizontal="center" vertical="center"/>
    </xf>
    <xf numFmtId="168" fontId="15" fillId="9" borderId="1" xfId="12" applyNumberFormat="1" applyFont="1" applyFill="1" applyBorder="1" applyAlignment="1">
      <alignment horizontal="center" vertical="center"/>
    </xf>
    <xf numFmtId="166" fontId="20" fillId="2" borderId="6" xfId="1" applyNumberFormat="1" applyFont="1" applyFill="1" applyBorder="1" applyAlignment="1">
      <alignment horizontal="right" vertical="center"/>
    </xf>
    <xf numFmtId="166" fontId="28" fillId="2" borderId="6" xfId="1" applyNumberFormat="1" applyFont="1" applyFill="1" applyBorder="1" applyAlignment="1">
      <alignment horizontal="right" vertical="center"/>
    </xf>
    <xf numFmtId="166" fontId="12" fillId="17" borderId="3" xfId="1" applyNumberFormat="1" applyFont="1" applyFill="1" applyBorder="1" applyAlignment="1">
      <alignment vertical="center"/>
    </xf>
    <xf numFmtId="166" fontId="32" fillId="16" borderId="3" xfId="1" applyNumberFormat="1" applyFont="1" applyFill="1" applyBorder="1" applyAlignment="1">
      <alignment vertical="center"/>
    </xf>
    <xf numFmtId="168" fontId="0" fillId="0" borderId="8" xfId="0" applyNumberFormat="1" applyBorder="1"/>
    <xf numFmtId="0" fontId="38" fillId="2" borderId="32" xfId="14" applyFont="1" applyFill="1" applyBorder="1" applyAlignment="1">
      <alignment horizontal="center" vertical="center" wrapText="1"/>
    </xf>
    <xf numFmtId="168" fontId="28" fillId="6" borderId="2" xfId="0" applyNumberFormat="1" applyFont="1" applyFill="1" applyBorder="1" applyAlignment="1">
      <alignment horizontal="center" vertical="center"/>
    </xf>
    <xf numFmtId="168" fontId="11" fillId="7" borderId="3" xfId="2" applyNumberFormat="1" applyFont="1" applyFill="1" applyBorder="1"/>
    <xf numFmtId="168" fontId="15" fillId="7" borderId="3" xfId="2" applyNumberFormat="1" applyFont="1" applyFill="1" applyBorder="1"/>
    <xf numFmtId="43" fontId="15" fillId="7" borderId="3" xfId="4" applyFont="1" applyFill="1" applyBorder="1"/>
    <xf numFmtId="166" fontId="11" fillId="7" borderId="3" xfId="4" applyNumberFormat="1" applyFont="1" applyFill="1" applyBorder="1"/>
    <xf numFmtId="1" fontId="11" fillId="0" borderId="0" xfId="2" applyNumberFormat="1" applyFont="1"/>
    <xf numFmtId="168" fontId="11" fillId="7" borderId="1" xfId="2" applyNumberFormat="1" applyFont="1" applyFill="1" applyBorder="1"/>
    <xf numFmtId="168" fontId="15" fillId="7" borderId="1" xfId="2" applyNumberFormat="1" applyFont="1" applyFill="1" applyBorder="1"/>
    <xf numFmtId="168" fontId="15" fillId="0" borderId="2" xfId="2" applyNumberFormat="1" applyFont="1" applyBorder="1"/>
    <xf numFmtId="0" fontId="0" fillId="3" borderId="3" xfId="11" applyFont="1" applyFill="1" applyBorder="1" applyAlignment="1">
      <alignment vertical="center"/>
    </xf>
    <xf numFmtId="166" fontId="12" fillId="2" borderId="6" xfId="12" applyNumberFormat="1" applyFont="1" applyFill="1" applyBorder="1" applyAlignment="1">
      <alignment horizontal="center" vertical="center"/>
    </xf>
    <xf numFmtId="166" fontId="9" fillId="2" borderId="6" xfId="12" applyNumberFormat="1" applyFont="1" applyFill="1" applyBorder="1" applyAlignment="1">
      <alignment horizontal="center" vertical="center"/>
    </xf>
    <xf numFmtId="166" fontId="21" fillId="15" borderId="57" xfId="1" applyNumberFormat="1" applyFont="1" applyFill="1" applyBorder="1" applyAlignment="1">
      <alignment vertical="center"/>
    </xf>
    <xf numFmtId="170" fontId="21" fillId="15" borderId="57" xfId="1" applyNumberFormat="1" applyFont="1" applyFill="1" applyBorder="1" applyAlignment="1">
      <alignment vertical="center"/>
    </xf>
    <xf numFmtId="0" fontId="12" fillId="2" borderId="16" xfId="0" applyFont="1" applyFill="1" applyBorder="1" applyAlignment="1">
      <alignment horizontal="center" vertical="center" wrapText="1"/>
    </xf>
    <xf numFmtId="168" fontId="15" fillId="0" borderId="4" xfId="2" applyNumberFormat="1" applyFont="1" applyBorder="1"/>
    <xf numFmtId="168" fontId="15" fillId="0" borderId="1" xfId="2" applyNumberFormat="1" applyFont="1" applyBorder="1"/>
    <xf numFmtId="0" fontId="11" fillId="6" borderId="3" xfId="14" applyFont="1" applyFill="1" applyBorder="1"/>
    <xf numFmtId="0" fontId="12" fillId="6" borderId="3" xfId="2" applyFont="1" applyFill="1" applyBorder="1" applyAlignment="1">
      <alignment horizontal="center"/>
    </xf>
    <xf numFmtId="0" fontId="10" fillId="6" borderId="3" xfId="14" applyFont="1" applyFill="1" applyBorder="1"/>
    <xf numFmtId="0" fontId="12" fillId="6" borderId="3" xfId="14" applyFont="1" applyFill="1" applyBorder="1" applyAlignment="1">
      <alignment horizontal="center"/>
    </xf>
    <xf numFmtId="166" fontId="14" fillId="0" borderId="2" xfId="2" applyNumberFormat="1" applyFont="1" applyBorder="1"/>
    <xf numFmtId="166" fontId="14" fillId="0" borderId="2" xfId="1" applyNumberFormat="1" applyFont="1" applyBorder="1"/>
    <xf numFmtId="167" fontId="12" fillId="2" borderId="27" xfId="3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vertical="center"/>
    </xf>
    <xf numFmtId="0" fontId="10" fillId="2" borderId="6" xfId="2" applyFont="1" applyFill="1" applyBorder="1" applyAlignment="1">
      <alignment vertical="center"/>
    </xf>
    <xf numFmtId="0" fontId="9" fillId="2" borderId="6" xfId="3" applyFont="1" applyFill="1" applyBorder="1" applyAlignment="1">
      <alignment vertical="center" wrapText="1"/>
    </xf>
    <xf numFmtId="43" fontId="10" fillId="2" borderId="6" xfId="4" applyFont="1" applyFill="1" applyBorder="1" applyAlignment="1">
      <alignment horizontal="center" vertical="center"/>
    </xf>
    <xf numFmtId="166" fontId="12" fillId="2" borderId="6" xfId="1" applyNumberFormat="1" applyFont="1" applyFill="1" applyBorder="1"/>
    <xf numFmtId="166" fontId="9" fillId="2" borderId="6" xfId="1" applyNumberFormat="1" applyFont="1" applyFill="1" applyBorder="1"/>
    <xf numFmtId="43" fontId="9" fillId="2" borderId="6" xfId="4" applyFont="1" applyFill="1" applyBorder="1"/>
    <xf numFmtId="166" fontId="12" fillId="2" borderId="6" xfId="4" applyNumberFormat="1" applyFont="1" applyFill="1" applyBorder="1"/>
    <xf numFmtId="168" fontId="9" fillId="2" borderId="6" xfId="2" applyNumberFormat="1" applyFont="1" applyFill="1" applyBorder="1"/>
    <xf numFmtId="2" fontId="10" fillId="2" borderId="6" xfId="2" applyNumberFormat="1" applyFont="1" applyFill="1" applyBorder="1"/>
    <xf numFmtId="171" fontId="15" fillId="0" borderId="3" xfId="2" applyNumberFormat="1" applyFont="1" applyBorder="1"/>
    <xf numFmtId="171" fontId="15" fillId="7" borderId="3" xfId="2" applyNumberFormat="1" applyFont="1" applyFill="1" applyBorder="1"/>
    <xf numFmtId="166" fontId="14" fillId="7" borderId="2" xfId="2" applyNumberFormat="1" applyFont="1" applyFill="1" applyBorder="1"/>
    <xf numFmtId="166" fontId="14" fillId="7" borderId="2" xfId="1" applyNumberFormat="1" applyFont="1" applyFill="1" applyBorder="1"/>
    <xf numFmtId="171" fontId="15" fillId="7" borderId="1" xfId="2" applyNumberFormat="1" applyFont="1" applyFill="1" applyBorder="1"/>
    <xf numFmtId="166" fontId="14" fillId="7" borderId="4" xfId="2" applyNumberFormat="1" applyFont="1" applyFill="1" applyBorder="1"/>
    <xf numFmtId="166" fontId="14" fillId="7" borderId="4" xfId="1" applyNumberFormat="1" applyFont="1" applyFill="1" applyBorder="1"/>
    <xf numFmtId="166" fontId="12" fillId="2" borderId="6" xfId="2" applyNumberFormat="1" applyFont="1" applyFill="1" applyBorder="1"/>
    <xf numFmtId="0" fontId="10" fillId="2" borderId="7" xfId="2" applyFont="1" applyFill="1" applyBorder="1"/>
    <xf numFmtId="166" fontId="15" fillId="9" borderId="3" xfId="12" applyNumberFormat="1" applyFont="1" applyFill="1" applyBorder="1" applyAlignment="1">
      <alignment horizontal="center" vertical="center"/>
    </xf>
    <xf numFmtId="166" fontId="15" fillId="9" borderId="1" xfId="12" applyNumberFormat="1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vertical="center" wrapText="1"/>
    </xf>
    <xf numFmtId="0" fontId="12" fillId="6" borderId="24" xfId="0" applyFont="1" applyFill="1" applyBorder="1" applyAlignment="1">
      <alignment vertical="center" wrapText="1"/>
    </xf>
    <xf numFmtId="0" fontId="10" fillId="6" borderId="3" xfId="14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/>
    <xf numFmtId="166" fontId="14" fillId="0" borderId="3" xfId="15" applyNumberFormat="1" applyFont="1" applyBorder="1" applyAlignment="1">
      <alignment horizontal="center" vertical="center"/>
    </xf>
    <xf numFmtId="166" fontId="14" fillId="9" borderId="3" xfId="14" applyNumberFormat="1" applyFont="1" applyFill="1" applyBorder="1" applyAlignment="1">
      <alignment vertical="center"/>
    </xf>
    <xf numFmtId="168" fontId="14" fillId="9" borderId="3" xfId="14" applyNumberFormat="1" applyFont="1" applyFill="1" applyBorder="1" applyAlignment="1">
      <alignment vertical="center"/>
    </xf>
    <xf numFmtId="166" fontId="14" fillId="0" borderId="3" xfId="15" applyNumberFormat="1" applyFont="1" applyBorder="1" applyAlignment="1">
      <alignment vertical="center"/>
    </xf>
    <xf numFmtId="166" fontId="14" fillId="0" borderId="9" xfId="15" applyNumberFormat="1" applyFont="1" applyBorder="1" applyAlignment="1">
      <alignment vertical="center"/>
    </xf>
    <xf numFmtId="170" fontId="14" fillId="0" borderId="3" xfId="0" applyNumberFormat="1" applyFont="1" applyBorder="1" applyAlignment="1">
      <alignment horizontal="center" vertical="center"/>
    </xf>
    <xf numFmtId="170" fontId="14" fillId="9" borderId="3" xfId="12" applyNumberFormat="1" applyFont="1" applyFill="1" applyBorder="1" applyAlignment="1">
      <alignment horizontal="center" vertical="center"/>
    </xf>
    <xf numFmtId="0" fontId="20" fillId="2" borderId="7" xfId="11" applyFont="1" applyFill="1" applyBorder="1" applyAlignment="1">
      <alignment vertical="center"/>
    </xf>
    <xf numFmtId="170" fontId="14" fillId="9" borderId="1" xfId="12" applyNumberFormat="1" applyFont="1" applyFill="1" applyBorder="1" applyAlignment="1">
      <alignment horizontal="center" vertical="center"/>
    </xf>
    <xf numFmtId="170" fontId="14" fillId="0" borderId="1" xfId="0" applyNumberFormat="1" applyFont="1" applyBorder="1" applyAlignment="1">
      <alignment horizontal="center" vertical="center"/>
    </xf>
    <xf numFmtId="166" fontId="14" fillId="0" borderId="1" xfId="15" applyNumberFormat="1" applyFont="1" applyBorder="1" applyAlignment="1">
      <alignment horizontal="center" vertical="center"/>
    </xf>
    <xf numFmtId="166" fontId="14" fillId="0" borderId="1" xfId="15" applyNumberFormat="1" applyFont="1" applyBorder="1" applyAlignment="1">
      <alignment vertical="center"/>
    </xf>
    <xf numFmtId="166" fontId="14" fillId="0" borderId="23" xfId="15" applyNumberFormat="1" applyFont="1" applyBorder="1" applyAlignment="1">
      <alignment vertical="center"/>
    </xf>
    <xf numFmtId="166" fontId="14" fillId="9" borderId="1" xfId="14" applyNumberFormat="1" applyFont="1" applyFill="1" applyBorder="1" applyAlignment="1">
      <alignment vertical="center"/>
    </xf>
    <xf numFmtId="168" fontId="14" fillId="9" borderId="1" xfId="14" applyNumberFormat="1" applyFont="1" applyFill="1" applyBorder="1" applyAlignment="1">
      <alignment vertical="center"/>
    </xf>
    <xf numFmtId="170" fontId="12" fillId="2" borderId="6" xfId="0" applyNumberFormat="1" applyFont="1" applyFill="1" applyBorder="1" applyAlignment="1">
      <alignment horizontal="center" vertical="center"/>
    </xf>
    <xf numFmtId="166" fontId="12" fillId="2" borderId="6" xfId="15" applyNumberFormat="1" applyFont="1" applyFill="1" applyBorder="1" applyAlignment="1">
      <alignment vertical="center"/>
    </xf>
    <xf numFmtId="166" fontId="12" fillId="2" borderId="26" xfId="15" applyNumberFormat="1" applyFont="1" applyFill="1" applyBorder="1" applyAlignment="1">
      <alignment vertical="center"/>
    </xf>
    <xf numFmtId="166" fontId="12" fillId="2" borderId="6" xfId="14" applyNumberFormat="1" applyFont="1" applyFill="1" applyBorder="1" applyAlignment="1">
      <alignment vertical="center"/>
    </xf>
    <xf numFmtId="0" fontId="10" fillId="9" borderId="0" xfId="20" applyFont="1" applyFill="1" applyAlignment="1">
      <alignment horizontal="center" vertical="center"/>
    </xf>
    <xf numFmtId="0" fontId="21" fillId="0" borderId="0" xfId="19" applyFont="1" applyAlignment="1">
      <alignment horizontal="center" vertical="center"/>
    </xf>
    <xf numFmtId="0" fontId="21" fillId="0" borderId="3" xfId="19" applyFont="1" applyBorder="1" applyAlignment="1">
      <alignment horizontal="center" vertical="center"/>
    </xf>
    <xf numFmtId="0" fontId="21" fillId="3" borderId="3" xfId="19" applyFont="1" applyFill="1" applyBorder="1" applyAlignment="1">
      <alignment horizontal="center" vertical="center"/>
    </xf>
    <xf numFmtId="0" fontId="23" fillId="3" borderId="3" xfId="19" applyFont="1" applyFill="1" applyBorder="1" applyAlignment="1">
      <alignment horizontal="center" vertical="center"/>
    </xf>
    <xf numFmtId="166" fontId="21" fillId="9" borderId="3" xfId="21" applyNumberFormat="1" applyFont="1" applyFill="1" applyBorder="1" applyAlignment="1">
      <alignment horizontal="center" vertical="center"/>
    </xf>
    <xf numFmtId="166" fontId="23" fillId="0" borderId="3" xfId="21" applyNumberFormat="1" applyFont="1" applyFill="1" applyBorder="1" applyAlignment="1">
      <alignment horizontal="center" vertical="center"/>
    </xf>
    <xf numFmtId="166" fontId="21" fillId="0" borderId="3" xfId="21" applyNumberFormat="1" applyFont="1" applyBorder="1" applyAlignment="1">
      <alignment horizontal="center" vertical="center"/>
    </xf>
    <xf numFmtId="166" fontId="21" fillId="0" borderId="3" xfId="21" applyNumberFormat="1" applyFont="1" applyFill="1" applyBorder="1" applyAlignment="1">
      <alignment horizontal="center" vertical="center"/>
    </xf>
    <xf numFmtId="166" fontId="23" fillId="0" borderId="3" xfId="21" applyNumberFormat="1" applyFont="1" applyBorder="1" applyAlignment="1">
      <alignment horizontal="center" vertical="center"/>
    </xf>
    <xf numFmtId="166" fontId="23" fillId="0" borderId="3" xfId="19" applyNumberFormat="1" applyFont="1" applyBorder="1" applyAlignment="1">
      <alignment horizontal="center" vertical="center"/>
    </xf>
    <xf numFmtId="166" fontId="28" fillId="0" borderId="3" xfId="19" applyNumberFormat="1" applyFont="1" applyBorder="1" applyAlignment="1">
      <alignment horizontal="center" vertical="center"/>
    </xf>
    <xf numFmtId="166" fontId="11" fillId="7" borderId="3" xfId="20" applyNumberFormat="1" applyFont="1" applyFill="1" applyBorder="1" applyAlignment="1">
      <alignment vertical="center"/>
    </xf>
    <xf numFmtId="166" fontId="11" fillId="9" borderId="3" xfId="20" applyNumberFormat="1" applyFont="1" applyFill="1" applyBorder="1" applyAlignment="1">
      <alignment vertical="center"/>
    </xf>
    <xf numFmtId="0" fontId="29" fillId="0" borderId="3" xfId="19" applyFont="1" applyBorder="1" applyAlignment="1">
      <alignment horizontal="center" vertical="center"/>
    </xf>
    <xf numFmtId="166" fontId="28" fillId="0" borderId="3" xfId="21" applyNumberFormat="1" applyFont="1" applyFill="1" applyBorder="1" applyAlignment="1">
      <alignment horizontal="center" vertical="center"/>
    </xf>
    <xf numFmtId="166" fontId="28" fillId="0" borderId="3" xfId="21" applyNumberFormat="1" applyFont="1" applyBorder="1" applyAlignment="1">
      <alignment horizontal="center" vertical="center"/>
    </xf>
    <xf numFmtId="0" fontId="28" fillId="0" borderId="0" xfId="19" applyFont="1" applyAlignment="1">
      <alignment horizontal="center" vertical="center"/>
    </xf>
    <xf numFmtId="165" fontId="23" fillId="0" borderId="3" xfId="21" applyNumberFormat="1" applyFont="1" applyBorder="1" applyAlignment="1">
      <alignment horizontal="center" vertical="center"/>
    </xf>
    <xf numFmtId="166" fontId="20" fillId="16" borderId="3" xfId="19" applyNumberFormat="1" applyFont="1" applyFill="1" applyBorder="1" applyAlignment="1">
      <alignment horizontal="center" vertical="center"/>
    </xf>
    <xf numFmtId="166" fontId="20" fillId="16" borderId="3" xfId="21" applyNumberFormat="1" applyFont="1" applyFill="1" applyBorder="1" applyAlignment="1">
      <alignment horizontal="center" vertical="center"/>
    </xf>
    <xf numFmtId="0" fontId="20" fillId="0" borderId="0" xfId="19" applyFont="1" applyAlignment="1">
      <alignment horizontal="center" vertical="center"/>
    </xf>
    <xf numFmtId="166" fontId="10" fillId="6" borderId="3" xfId="20" applyNumberFormat="1" applyFont="1" applyFill="1" applyBorder="1" applyAlignment="1">
      <alignment vertical="center"/>
    </xf>
    <xf numFmtId="166" fontId="12" fillId="6" borderId="6" xfId="2" applyNumberFormat="1" applyFont="1" applyFill="1" applyBorder="1"/>
    <xf numFmtId="166" fontId="12" fillId="6" borderId="6" xfId="15" applyNumberFormat="1" applyFont="1" applyFill="1" applyBorder="1" applyAlignment="1">
      <alignment horizontal="center" vertical="center"/>
    </xf>
    <xf numFmtId="166" fontId="12" fillId="6" borderId="6" xfId="15" applyNumberFormat="1" applyFont="1" applyFill="1" applyBorder="1" applyAlignment="1">
      <alignment vertical="center"/>
    </xf>
    <xf numFmtId="43" fontId="21" fillId="15" borderId="57" xfId="1" applyFont="1" applyFill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left" vertical="center"/>
    </xf>
    <xf numFmtId="2" fontId="21" fillId="2" borderId="3" xfId="0" applyNumberFormat="1" applyFont="1" applyFill="1" applyBorder="1" applyAlignment="1">
      <alignment horizontal="center" vertical="center"/>
    </xf>
    <xf numFmtId="2" fontId="21" fillId="2" borderId="3" xfId="0" applyNumberFormat="1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3" xfId="0" applyFont="1" applyBorder="1" applyAlignment="1">
      <alignment horizontal="left" vertical="center"/>
    </xf>
    <xf numFmtId="172" fontId="21" fillId="0" borderId="3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/>
    </xf>
    <xf numFmtId="2" fontId="21" fillId="0" borderId="3" xfId="0" applyNumberFormat="1" applyFont="1" applyBorder="1" applyAlignment="1">
      <alignment horizontal="center" vertical="center"/>
    </xf>
    <xf numFmtId="173" fontId="21" fillId="0" borderId="3" xfId="0" applyNumberFormat="1" applyFont="1" applyBorder="1" applyAlignment="1">
      <alignment horizontal="center"/>
    </xf>
    <xf numFmtId="173" fontId="21" fillId="0" borderId="3" xfId="0" applyNumberFormat="1" applyFont="1" applyBorder="1" applyAlignment="1">
      <alignment horizontal="center" vertical="center"/>
    </xf>
    <xf numFmtId="1" fontId="21" fillId="2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1" fillId="2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48" fillId="6" borderId="16" xfId="26" applyFont="1" applyFill="1" applyBorder="1"/>
    <xf numFmtId="0" fontId="48" fillId="6" borderId="19" xfId="26" applyFont="1" applyFill="1" applyBorder="1"/>
    <xf numFmtId="0" fontId="48" fillId="6" borderId="34" xfId="26" applyFont="1" applyFill="1" applyBorder="1"/>
    <xf numFmtId="0" fontId="48" fillId="24" borderId="34" xfId="26" applyFont="1" applyFill="1" applyBorder="1"/>
    <xf numFmtId="0" fontId="48" fillId="6" borderId="22" xfId="26" applyFont="1" applyFill="1" applyBorder="1"/>
    <xf numFmtId="0" fontId="48" fillId="6" borderId="16" xfId="26" applyFont="1" applyFill="1" applyBorder="1" applyAlignment="1">
      <alignment horizontal="center" vertical="center"/>
    </xf>
    <xf numFmtId="0" fontId="48" fillId="6" borderId="30" xfId="26" applyFont="1" applyFill="1" applyBorder="1"/>
    <xf numFmtId="0" fontId="2" fillId="0" borderId="0" xfId="26"/>
    <xf numFmtId="0" fontId="48" fillId="6" borderId="13" xfId="26" applyFont="1" applyFill="1" applyBorder="1" applyAlignment="1">
      <alignment horizontal="center"/>
    </xf>
    <xf numFmtId="0" fontId="48" fillId="6" borderId="17" xfId="26" applyFont="1" applyFill="1" applyBorder="1"/>
    <xf numFmtId="0" fontId="48" fillId="6" borderId="41" xfId="26" applyFont="1" applyFill="1" applyBorder="1"/>
    <xf numFmtId="0" fontId="48" fillId="6" borderId="49" xfId="26" applyFont="1" applyFill="1" applyBorder="1"/>
    <xf numFmtId="0" fontId="48" fillId="24" borderId="36" xfId="26" applyFont="1" applyFill="1" applyBorder="1"/>
    <xf numFmtId="0" fontId="48" fillId="6" borderId="59" xfId="26" applyFont="1" applyFill="1" applyBorder="1"/>
    <xf numFmtId="0" fontId="48" fillId="6" borderId="32" xfId="26" applyFont="1" applyFill="1" applyBorder="1"/>
    <xf numFmtId="0" fontId="48" fillId="0" borderId="2" xfId="26" applyFont="1" applyBorder="1" applyAlignment="1">
      <alignment horizontal="center"/>
    </xf>
    <xf numFmtId="0" fontId="23" fillId="0" borderId="10" xfId="26" applyFont="1" applyBorder="1" applyAlignment="1">
      <alignment horizontal="left"/>
    </xf>
    <xf numFmtId="0" fontId="48" fillId="0" borderId="3" xfId="26" applyFont="1" applyBorder="1" applyAlignment="1">
      <alignment horizontal="center" vertical="center"/>
    </xf>
    <xf numFmtId="0" fontId="48" fillId="0" borderId="2" xfId="26" applyFont="1" applyBorder="1"/>
    <xf numFmtId="0" fontId="48" fillId="0" borderId="0" xfId="26" applyFont="1" applyAlignment="1">
      <alignment horizontal="center"/>
    </xf>
    <xf numFmtId="0" fontId="48" fillId="0" borderId="8" xfId="26" applyFont="1" applyBorder="1" applyAlignment="1">
      <alignment horizontal="center"/>
    </xf>
    <xf numFmtId="0" fontId="48" fillId="0" borderId="37" xfId="26" applyFont="1" applyBorder="1" applyAlignment="1">
      <alignment horizontal="center"/>
    </xf>
    <xf numFmtId="0" fontId="48" fillId="0" borderId="37" xfId="26" applyFont="1" applyBorder="1" applyAlignment="1">
      <alignment horizontal="center" vertical="center"/>
    </xf>
    <xf numFmtId="0" fontId="48" fillId="0" borderId="10" xfId="26" applyFont="1" applyBorder="1" applyAlignment="1">
      <alignment horizontal="center"/>
    </xf>
    <xf numFmtId="0" fontId="48" fillId="0" borderId="2" xfId="26" applyFont="1" applyBorder="1" applyAlignment="1">
      <alignment horizontal="center" vertical="center"/>
    </xf>
    <xf numFmtId="9" fontId="48" fillId="0" borderId="2" xfId="26" applyNumberFormat="1" applyFont="1" applyBorder="1" applyAlignment="1">
      <alignment horizontal="center" vertical="center"/>
    </xf>
    <xf numFmtId="0" fontId="48" fillId="0" borderId="0" xfId="26" applyFont="1" applyAlignment="1">
      <alignment horizontal="center" vertical="center"/>
    </xf>
    <xf numFmtId="0" fontId="48" fillId="0" borderId="8" xfId="26" applyFont="1" applyBorder="1" applyAlignment="1">
      <alignment horizontal="center" vertical="center"/>
    </xf>
    <xf numFmtId="0" fontId="48" fillId="0" borderId="57" xfId="26" applyFont="1" applyBorder="1" applyAlignment="1">
      <alignment horizontal="center"/>
    </xf>
    <xf numFmtId="0" fontId="48" fillId="0" borderId="3" xfId="26" applyFont="1" applyBorder="1" applyAlignment="1">
      <alignment horizontal="center"/>
    </xf>
    <xf numFmtId="0" fontId="48" fillId="0" borderId="3" xfId="26" applyFont="1" applyBorder="1"/>
    <xf numFmtId="0" fontId="48" fillId="0" borderId="9" xfId="26" applyFont="1" applyBorder="1" applyAlignment="1">
      <alignment horizontal="center"/>
    </xf>
    <xf numFmtId="0" fontId="48" fillId="0" borderId="35" xfId="26" applyFont="1" applyBorder="1" applyAlignment="1">
      <alignment horizontal="center"/>
    </xf>
    <xf numFmtId="0" fontId="48" fillId="0" borderId="10" xfId="26" applyFont="1" applyBorder="1"/>
    <xf numFmtId="9" fontId="48" fillId="0" borderId="3" xfId="26" applyNumberFormat="1" applyFont="1" applyBorder="1" applyAlignment="1">
      <alignment horizontal="center"/>
    </xf>
    <xf numFmtId="167" fontId="48" fillId="0" borderId="3" xfId="26" applyNumberFormat="1" applyFont="1" applyBorder="1"/>
    <xf numFmtId="0" fontId="2" fillId="0" borderId="3" xfId="26" applyBorder="1"/>
    <xf numFmtId="0" fontId="48" fillId="0" borderId="3" xfId="26" applyFont="1" applyBorder="1" applyAlignment="1">
      <alignment horizontal="left" vertical="center"/>
    </xf>
    <xf numFmtId="0" fontId="48" fillId="0" borderId="3" xfId="26" applyFont="1" applyBorder="1" applyAlignment="1">
      <alignment horizontal="left"/>
    </xf>
    <xf numFmtId="0" fontId="48" fillId="0" borderId="66" xfId="26" applyFont="1" applyBorder="1" applyAlignment="1">
      <alignment horizontal="center"/>
    </xf>
    <xf numFmtId="0" fontId="21" fillId="0" borderId="10" xfId="26" applyFont="1" applyBorder="1" applyAlignment="1">
      <alignment horizontal="left"/>
    </xf>
    <xf numFmtId="0" fontId="2" fillId="0" borderId="3" xfId="26" applyBorder="1" applyAlignment="1">
      <alignment horizontal="left" vertical="center"/>
    </xf>
    <xf numFmtId="0" fontId="2" fillId="0" borderId="9" xfId="26" applyBorder="1"/>
    <xf numFmtId="0" fontId="2" fillId="0" borderId="36" xfId="26" applyBorder="1"/>
    <xf numFmtId="0" fontId="2" fillId="0" borderId="10" xfId="26" applyBorder="1"/>
    <xf numFmtId="0" fontId="2" fillId="0" borderId="0" xfId="26" applyAlignment="1">
      <alignment horizontal="center"/>
    </xf>
    <xf numFmtId="168" fontId="23" fillId="0" borderId="3" xfId="19" applyNumberFormat="1" applyFont="1" applyBorder="1" applyAlignment="1">
      <alignment horizontal="center" vertical="center"/>
    </xf>
    <xf numFmtId="168" fontId="28" fillId="0" borderId="3" xfId="19" applyNumberFormat="1" applyFont="1" applyBorder="1" applyAlignment="1">
      <alignment horizontal="center" vertical="center"/>
    </xf>
    <xf numFmtId="166" fontId="9" fillId="2" borderId="6" xfId="4" applyNumberFormat="1" applyFont="1" applyFill="1" applyBorder="1"/>
    <xf numFmtId="166" fontId="14" fillId="7" borderId="1" xfId="4" applyNumberFormat="1" applyFont="1" applyFill="1" applyBorder="1"/>
    <xf numFmtId="166" fontId="15" fillId="7" borderId="1" xfId="4" applyNumberFormat="1" applyFont="1" applyFill="1" applyBorder="1"/>
    <xf numFmtId="166" fontId="14" fillId="7" borderId="3" xfId="4" applyNumberFormat="1" applyFont="1" applyFill="1" applyBorder="1"/>
    <xf numFmtId="166" fontId="15" fillId="7" borderId="3" xfId="4" applyNumberFormat="1" applyFont="1" applyFill="1" applyBorder="1"/>
    <xf numFmtId="0" fontId="14" fillId="0" borderId="3" xfId="3" applyFont="1" applyBorder="1" applyAlignment="1">
      <alignment vertical="center"/>
    </xf>
    <xf numFmtId="166" fontId="28" fillId="2" borderId="6" xfId="12" applyNumberFormat="1" applyFont="1" applyFill="1" applyBorder="1" applyAlignment="1">
      <alignment horizontal="center" vertical="center"/>
    </xf>
    <xf numFmtId="168" fontId="12" fillId="2" borderId="20" xfId="14" applyNumberFormat="1" applyFont="1" applyFill="1" applyBorder="1" applyAlignment="1">
      <alignment vertical="center"/>
    </xf>
    <xf numFmtId="0" fontId="15" fillId="0" borderId="3" xfId="11" applyFont="1" applyBorder="1" applyAlignment="1">
      <alignment horizontal="left" vertical="center"/>
    </xf>
    <xf numFmtId="0" fontId="1" fillId="0" borderId="0" xfId="27"/>
    <xf numFmtId="0" fontId="23" fillId="0" borderId="2" xfId="27" applyFont="1" applyBorder="1" applyAlignment="1">
      <alignment horizontal="center" vertical="center" wrapText="1"/>
    </xf>
    <xf numFmtId="0" fontId="23" fillId="0" borderId="3" xfId="27" applyFont="1" applyBorder="1" applyAlignment="1">
      <alignment vertical="center" wrapText="1"/>
    </xf>
    <xf numFmtId="0" fontId="23" fillId="0" borderId="3" xfId="27" applyFont="1" applyBorder="1" applyAlignment="1">
      <alignment horizontal="center" vertical="center"/>
    </xf>
    <xf numFmtId="0" fontId="23" fillId="0" borderId="3" xfId="27" applyFont="1" applyBorder="1" applyAlignment="1">
      <alignment horizontal="center"/>
    </xf>
    <xf numFmtId="0" fontId="23" fillId="9" borderId="3" xfId="27" applyFont="1" applyFill="1" applyBorder="1" applyAlignment="1">
      <alignment vertical="center" wrapText="1"/>
    </xf>
    <xf numFmtId="0" fontId="23" fillId="9" borderId="3" xfId="27" applyFont="1" applyFill="1" applyBorder="1" applyAlignment="1">
      <alignment horizontal="center" vertical="center" wrapText="1"/>
    </xf>
    <xf numFmtId="0" fontId="10" fillId="9" borderId="9" xfId="27" applyFont="1" applyFill="1" applyBorder="1" applyAlignment="1">
      <alignment vertical="center"/>
    </xf>
    <xf numFmtId="0" fontId="10" fillId="9" borderId="3" xfId="27" applyFont="1" applyFill="1" applyBorder="1" applyAlignment="1">
      <alignment vertical="center"/>
    </xf>
    <xf numFmtId="0" fontId="10" fillId="9" borderId="3" xfId="27" applyFont="1" applyFill="1" applyBorder="1" applyAlignment="1">
      <alignment horizontal="center" vertical="center"/>
    </xf>
    <xf numFmtId="0" fontId="39" fillId="0" borderId="3" xfId="27" applyFont="1" applyBorder="1" applyAlignment="1">
      <alignment horizontal="center" vertical="center"/>
    </xf>
    <xf numFmtId="0" fontId="23" fillId="9" borderId="3" xfId="27" applyFont="1" applyFill="1" applyBorder="1" applyAlignment="1">
      <alignment horizontal="center" vertical="center"/>
    </xf>
    <xf numFmtId="0" fontId="23" fillId="9" borderId="3" xfId="27" applyFont="1" applyFill="1" applyBorder="1" applyAlignment="1">
      <alignment vertical="center"/>
    </xf>
    <xf numFmtId="0" fontId="23" fillId="6" borderId="3" xfId="27" applyFont="1" applyFill="1" applyBorder="1" applyAlignment="1">
      <alignment horizontal="center" vertical="center"/>
    </xf>
    <xf numFmtId="0" fontId="23" fillId="6" borderId="3" xfId="27" applyFont="1" applyFill="1" applyBorder="1" applyAlignment="1">
      <alignment horizontal="center"/>
    </xf>
    <xf numFmtId="0" fontId="39" fillId="0" borderId="0" xfId="27" applyFont="1" applyAlignment="1">
      <alignment horizontal="center" vertical="center"/>
    </xf>
    <xf numFmtId="0" fontId="42" fillId="0" borderId="0" xfId="27" applyFont="1" applyAlignment="1">
      <alignment horizontal="center"/>
    </xf>
    <xf numFmtId="0" fontId="39" fillId="0" borderId="0" xfId="27" applyFont="1"/>
    <xf numFmtId="0" fontId="39" fillId="0" borderId="0" xfId="27" applyFont="1" applyAlignment="1">
      <alignment horizontal="center"/>
    </xf>
    <xf numFmtId="0" fontId="43" fillId="0" borderId="0" xfId="27" applyFont="1" applyAlignment="1">
      <alignment horizontal="center"/>
    </xf>
    <xf numFmtId="0" fontId="43" fillId="0" borderId="0" xfId="27" applyFont="1"/>
    <xf numFmtId="0" fontId="23" fillId="0" borderId="0" xfId="27" applyFont="1" applyAlignment="1">
      <alignment horizontal="center" vertical="center"/>
    </xf>
    <xf numFmtId="0" fontId="28" fillId="0" borderId="0" xfId="27" applyFont="1" applyAlignment="1">
      <alignment horizontal="center"/>
    </xf>
    <xf numFmtId="0" fontId="23" fillId="0" borderId="0" xfId="27" applyFont="1"/>
    <xf numFmtId="0" fontId="23" fillId="0" borderId="0" xfId="27" applyFont="1" applyAlignment="1">
      <alignment horizontal="center"/>
    </xf>
    <xf numFmtId="0" fontId="44" fillId="0" borderId="0" xfId="27" applyFont="1" applyAlignment="1">
      <alignment horizontal="center"/>
    </xf>
    <xf numFmtId="0" fontId="44" fillId="0" borderId="0" xfId="27" applyFont="1"/>
    <xf numFmtId="0" fontId="33" fillId="0" borderId="3" xfId="27" applyFont="1" applyBorder="1" applyAlignment="1">
      <alignment horizontal="center" vertical="center"/>
    </xf>
    <xf numFmtId="0" fontId="33" fillId="0" borderId="3" xfId="27" applyFont="1" applyBorder="1" applyAlignment="1">
      <alignment horizontal="center"/>
    </xf>
    <xf numFmtId="0" fontId="39" fillId="0" borderId="3" xfId="27" applyFont="1" applyBorder="1" applyAlignment="1">
      <alignment horizontal="center"/>
    </xf>
    <xf numFmtId="0" fontId="1" fillId="0" borderId="0" xfId="27" applyAlignment="1">
      <alignment horizontal="center"/>
    </xf>
    <xf numFmtId="14" fontId="39" fillId="22" borderId="3" xfId="27" applyNumberFormat="1" applyFont="1" applyFill="1" applyBorder="1" applyAlignment="1">
      <alignment horizontal="center" vertical="center"/>
    </xf>
    <xf numFmtId="0" fontId="39" fillId="22" borderId="3" xfId="27" applyFont="1" applyFill="1" applyBorder="1" applyAlignment="1">
      <alignment horizontal="center" vertical="center"/>
    </xf>
    <xf numFmtId="0" fontId="23" fillId="22" borderId="3" xfId="27" applyFont="1" applyFill="1" applyBorder="1" applyAlignment="1">
      <alignment horizontal="center"/>
    </xf>
    <xf numFmtId="0" fontId="23" fillId="22" borderId="3" xfId="27" applyFont="1" applyFill="1" applyBorder="1" applyAlignment="1">
      <alignment vertical="center"/>
    </xf>
    <xf numFmtId="0" fontId="45" fillId="22" borderId="3" xfId="27" applyFont="1" applyFill="1" applyBorder="1" applyAlignment="1">
      <alignment horizontal="right" vertical="top"/>
    </xf>
    <xf numFmtId="0" fontId="23" fillId="22" borderId="3" xfId="27" applyFont="1" applyFill="1" applyBorder="1" applyAlignment="1">
      <alignment horizontal="center" vertical="center"/>
    </xf>
    <xf numFmtId="0" fontId="21" fillId="22" borderId="3" xfId="27" applyFont="1" applyFill="1" applyBorder="1" applyAlignment="1">
      <alignment horizontal="right" vertical="top"/>
    </xf>
    <xf numFmtId="0" fontId="39" fillId="22" borderId="3" xfId="27" applyFont="1" applyFill="1" applyBorder="1" applyAlignment="1">
      <alignment horizontal="right" vertical="top"/>
    </xf>
    <xf numFmtId="0" fontId="23" fillId="22" borderId="3" xfId="27" applyFont="1" applyFill="1" applyBorder="1" applyAlignment="1">
      <alignment vertical="center" wrapText="1"/>
    </xf>
    <xf numFmtId="0" fontId="23" fillId="22" borderId="3" xfId="27" applyFont="1" applyFill="1" applyBorder="1" applyAlignment="1">
      <alignment horizontal="center" vertical="center" wrapText="1"/>
    </xf>
    <xf numFmtId="0" fontId="21" fillId="22" borderId="3" xfId="27" applyFont="1" applyFill="1" applyBorder="1" applyAlignment="1">
      <alignment horizontal="center" vertical="center"/>
    </xf>
    <xf numFmtId="0" fontId="39" fillId="22" borderId="3" xfId="27" applyFont="1" applyFill="1" applyBorder="1"/>
    <xf numFmtId="0" fontId="23" fillId="22" borderId="3" xfId="27" applyFont="1" applyFill="1" applyBorder="1"/>
    <xf numFmtId="14" fontId="39" fillId="0" borderId="3" xfId="27" applyNumberFormat="1" applyFont="1" applyBorder="1" applyAlignment="1">
      <alignment horizontal="center" vertical="center"/>
    </xf>
    <xf numFmtId="0" fontId="39" fillId="0" borderId="3" xfId="27" applyFont="1" applyBorder="1" applyAlignment="1">
      <alignment horizontal="right" vertical="top"/>
    </xf>
    <xf numFmtId="0" fontId="39" fillId="9" borderId="3" xfId="27" applyFont="1" applyFill="1" applyBorder="1"/>
    <xf numFmtId="0" fontId="45" fillId="9" borderId="3" xfId="27" applyFont="1" applyFill="1" applyBorder="1" applyAlignment="1">
      <alignment horizontal="right" vertical="top"/>
    </xf>
    <xf numFmtId="0" fontId="45" fillId="9" borderId="3" xfId="27" applyFont="1" applyFill="1" applyBorder="1"/>
    <xf numFmtId="0" fontId="39" fillId="9" borderId="3" xfId="27" applyFont="1" applyFill="1" applyBorder="1" applyAlignment="1">
      <alignment horizontal="right" vertical="top"/>
    </xf>
    <xf numFmtId="0" fontId="45" fillId="22" borderId="3" xfId="27" applyFont="1" applyFill="1" applyBorder="1"/>
    <xf numFmtId="0" fontId="21" fillId="9" borderId="3" xfId="27" applyFont="1" applyFill="1" applyBorder="1" applyAlignment="1">
      <alignment horizontal="right" vertical="top"/>
    </xf>
    <xf numFmtId="0" fontId="21" fillId="9" borderId="3" xfId="27" applyFont="1" applyFill="1" applyBorder="1" applyAlignment="1">
      <alignment horizontal="center" vertical="center"/>
    </xf>
    <xf numFmtId="0" fontId="23" fillId="0" borderId="43" xfId="27" applyFont="1" applyBorder="1" applyAlignment="1">
      <alignment wrapText="1"/>
    </xf>
    <xf numFmtId="0" fontId="23" fillId="0" borderId="0" xfId="27" applyFont="1" applyAlignment="1">
      <alignment wrapText="1"/>
    </xf>
    <xf numFmtId="0" fontId="21" fillId="0" borderId="3" xfId="27" applyFont="1" applyBorder="1" applyAlignment="1">
      <alignment horizontal="center"/>
    </xf>
    <xf numFmtId="14" fontId="21" fillId="0" borderId="3" xfId="27" applyNumberFormat="1" applyFont="1" applyBorder="1" applyAlignment="1">
      <alignment horizontal="center" vertical="center"/>
    </xf>
    <xf numFmtId="0" fontId="1" fillId="0" borderId="3" xfId="27" applyBorder="1" applyAlignment="1">
      <alignment horizontal="center" vertical="center"/>
    </xf>
    <xf numFmtId="0" fontId="21" fillId="0" borderId="3" xfId="27" applyFont="1" applyBorder="1" applyAlignment="1">
      <alignment horizontal="center" vertical="center"/>
    </xf>
    <xf numFmtId="0" fontId="21" fillId="9" borderId="3" xfId="27" applyFont="1" applyFill="1" applyBorder="1" applyAlignment="1">
      <alignment vertical="center"/>
    </xf>
    <xf numFmtId="0" fontId="21" fillId="9" borderId="3" xfId="27" applyFont="1" applyFill="1" applyBorder="1" applyAlignment="1">
      <alignment horizontal="left"/>
    </xf>
    <xf numFmtId="0" fontId="21" fillId="0" borderId="9" xfId="27" applyFont="1" applyBorder="1" applyAlignment="1">
      <alignment horizontal="center"/>
    </xf>
    <xf numFmtId="0" fontId="21" fillId="9" borderId="3" xfId="27" applyFont="1" applyFill="1" applyBorder="1"/>
    <xf numFmtId="14" fontId="21" fillId="0" borderId="3" xfId="27" applyNumberFormat="1" applyFont="1" applyBorder="1" applyAlignment="1">
      <alignment horizontal="center"/>
    </xf>
    <xf numFmtId="14" fontId="21" fillId="0" borderId="10" xfId="27" applyNumberFormat="1" applyFont="1" applyBorder="1" applyAlignment="1">
      <alignment horizontal="center" vertical="center"/>
    </xf>
    <xf numFmtId="0" fontId="21" fillId="0" borderId="3" xfId="27" applyFont="1" applyBorder="1"/>
    <xf numFmtId="167" fontId="21" fillId="0" borderId="3" xfId="27" applyNumberFormat="1" applyFont="1" applyBorder="1" applyAlignment="1">
      <alignment horizontal="center" vertical="center"/>
    </xf>
    <xf numFmtId="14" fontId="21" fillId="22" borderId="3" xfId="27" applyNumberFormat="1" applyFont="1" applyFill="1" applyBorder="1" applyAlignment="1">
      <alignment horizontal="center" vertical="center"/>
    </xf>
    <xf numFmtId="0" fontId="21" fillId="0" borderId="3" xfId="27" applyFont="1" applyBorder="1" applyAlignment="1">
      <alignment horizontal="left"/>
    </xf>
    <xf numFmtId="14" fontId="21" fillId="0" borderId="2" xfId="27" applyNumberFormat="1" applyFont="1" applyBorder="1" applyAlignment="1">
      <alignment horizontal="center" vertical="center"/>
    </xf>
    <xf numFmtId="0" fontId="21" fillId="0" borderId="2" xfId="27" applyFont="1" applyBorder="1" applyAlignment="1">
      <alignment horizontal="center" vertical="center" wrapText="1"/>
    </xf>
    <xf numFmtId="0" fontId="21" fillId="0" borderId="2" xfId="27" applyFont="1" applyBorder="1" applyAlignment="1">
      <alignment horizontal="center" vertical="center"/>
    </xf>
    <xf numFmtId="0" fontId="21" fillId="0" borderId="2" xfId="27" applyFont="1" applyBorder="1" applyAlignment="1">
      <alignment horizontal="center"/>
    </xf>
    <xf numFmtId="0" fontId="21" fillId="9" borderId="3" xfId="27" applyFont="1" applyFill="1" applyBorder="1" applyAlignment="1">
      <alignment horizontal="center"/>
    </xf>
    <xf numFmtId="0" fontId="1" fillId="9" borderId="0" xfId="27" applyFill="1"/>
    <xf numFmtId="0" fontId="1" fillId="13" borderId="0" xfId="27" applyFill="1"/>
    <xf numFmtId="0" fontId="41" fillId="0" borderId="0" xfId="27" applyFont="1"/>
    <xf numFmtId="0" fontId="21" fillId="0" borderId="9" xfId="27" applyFont="1" applyBorder="1" applyAlignment="1">
      <alignment horizontal="center" vertical="center"/>
    </xf>
    <xf numFmtId="14" fontId="1" fillId="22" borderId="3" xfId="27" applyNumberFormat="1" applyFill="1" applyBorder="1" applyAlignment="1">
      <alignment horizontal="center" vertical="center"/>
    </xf>
    <xf numFmtId="14" fontId="1" fillId="0" borderId="3" xfId="27" applyNumberFormat="1" applyBorder="1" applyAlignment="1">
      <alignment horizontal="center" vertical="center"/>
    </xf>
    <xf numFmtId="14" fontId="21" fillId="9" borderId="3" xfId="27" applyNumberFormat="1" applyFont="1" applyFill="1" applyBorder="1" applyAlignment="1">
      <alignment horizontal="center" vertical="center"/>
    </xf>
    <xf numFmtId="0" fontId="11" fillId="0" borderId="3" xfId="27" applyFont="1" applyBorder="1" applyAlignment="1">
      <alignment horizontal="center" vertical="center"/>
    </xf>
    <xf numFmtId="0" fontId="21" fillId="0" borderId="12" xfId="27" applyFont="1" applyBorder="1" applyAlignment="1">
      <alignment horizontal="center"/>
    </xf>
    <xf numFmtId="0" fontId="35" fillId="0" borderId="3" xfId="27" applyFont="1" applyBorder="1" applyAlignment="1">
      <alignment horizontal="center" vertical="center"/>
    </xf>
    <xf numFmtId="0" fontId="1" fillId="0" borderId="3" xfId="27" applyBorder="1" applyAlignment="1">
      <alignment horizontal="center"/>
    </xf>
    <xf numFmtId="0" fontId="21" fillId="0" borderId="31" xfId="27" applyFont="1" applyBorder="1" applyAlignment="1">
      <alignment horizontal="center"/>
    </xf>
    <xf numFmtId="0" fontId="21" fillId="9" borderId="3" xfId="27" applyFont="1" applyFill="1" applyBorder="1" applyAlignment="1">
      <alignment horizontal="left" vertical="center"/>
    </xf>
    <xf numFmtId="0" fontId="21" fillId="9" borderId="0" xfId="27" applyFont="1" applyFill="1"/>
    <xf numFmtId="0" fontId="11" fillId="0" borderId="3" xfId="27" applyFont="1" applyBorder="1" applyAlignment="1">
      <alignment horizontal="center"/>
    </xf>
    <xf numFmtId="0" fontId="11" fillId="0" borderId="0" xfId="27" applyFont="1" applyAlignment="1">
      <alignment horizontal="center" vertical="center"/>
    </xf>
    <xf numFmtId="14" fontId="11" fillId="0" borderId="3" xfId="27" applyNumberFormat="1" applyFont="1" applyBorder="1" applyAlignment="1">
      <alignment horizontal="center" vertical="center"/>
    </xf>
    <xf numFmtId="0" fontId="21" fillId="0" borderId="3" xfId="27" applyFont="1" applyBorder="1" applyAlignment="1">
      <alignment horizontal="left" vertical="top"/>
    </xf>
    <xf numFmtId="0" fontId="11" fillId="0" borderId="0" xfId="27" applyFont="1"/>
    <xf numFmtId="0" fontId="10" fillId="0" borderId="0" xfId="27" applyFont="1"/>
    <xf numFmtId="0" fontId="10" fillId="0" borderId="15" xfId="27" applyFont="1" applyBorder="1" applyAlignment="1">
      <alignment horizontal="center" vertical="center"/>
    </xf>
    <xf numFmtId="0" fontId="10" fillId="9" borderId="16" xfId="27" applyFont="1" applyFill="1" applyBorder="1" applyAlignment="1">
      <alignment horizontal="center" vertical="center"/>
    </xf>
    <xf numFmtId="0" fontId="10" fillId="9" borderId="16" xfId="27" applyFont="1" applyFill="1" applyBorder="1" applyAlignment="1">
      <alignment horizontal="center" vertical="center" wrapText="1"/>
    </xf>
    <xf numFmtId="166" fontId="10" fillId="9" borderId="29" xfId="29" applyNumberFormat="1" applyFont="1" applyFill="1" applyBorder="1" applyAlignment="1">
      <alignment horizontal="center" vertical="center"/>
    </xf>
    <xf numFmtId="166" fontId="10" fillId="9" borderId="64" xfId="29" applyNumberFormat="1" applyFont="1" applyFill="1" applyBorder="1" applyAlignment="1">
      <alignment horizontal="center" vertical="center"/>
    </xf>
    <xf numFmtId="0" fontId="10" fillId="0" borderId="3" xfId="27" applyFont="1" applyBorder="1" applyAlignment="1">
      <alignment horizontal="center" vertical="center"/>
    </xf>
    <xf numFmtId="0" fontId="10" fillId="9" borderId="57" xfId="27" applyFont="1" applyFill="1" applyBorder="1" applyAlignment="1">
      <alignment horizontal="center" vertical="center"/>
    </xf>
    <xf numFmtId="0" fontId="10" fillId="9" borderId="2" xfId="27" applyFont="1" applyFill="1" applyBorder="1" applyAlignment="1">
      <alignment horizontal="center" vertical="center"/>
    </xf>
    <xf numFmtId="0" fontId="10" fillId="2" borderId="3" xfId="27" applyFont="1" applyFill="1" applyBorder="1" applyAlignment="1">
      <alignment horizontal="center" vertical="center" wrapText="1"/>
    </xf>
    <xf numFmtId="0" fontId="10" fillId="2" borderId="31" xfId="27" applyFont="1" applyFill="1" applyBorder="1" applyAlignment="1">
      <alignment horizontal="center" vertical="center" wrapText="1"/>
    </xf>
    <xf numFmtId="0" fontId="11" fillId="0" borderId="3" xfId="27" applyFont="1" applyBorder="1"/>
    <xf numFmtId="0" fontId="11" fillId="0" borderId="10" xfId="27" applyFont="1" applyBorder="1" applyAlignment="1">
      <alignment horizontal="center" vertical="center"/>
    </xf>
    <xf numFmtId="0" fontId="10" fillId="0" borderId="11" xfId="27" applyFont="1" applyBorder="1" applyAlignment="1">
      <alignment horizontal="center" vertical="center"/>
    </xf>
    <xf numFmtId="166" fontId="10" fillId="0" borderId="31" xfId="29" applyNumberFormat="1" applyFont="1" applyFill="1" applyBorder="1" applyAlignment="1">
      <alignment vertical="center"/>
    </xf>
    <xf numFmtId="0" fontId="11" fillId="0" borderId="10" xfId="27" applyFont="1" applyBorder="1" applyAlignment="1">
      <alignment horizontal="left" vertical="center"/>
    </xf>
    <xf numFmtId="0" fontId="47" fillId="0" borderId="3" xfId="27" applyFont="1" applyBorder="1" applyAlignment="1">
      <alignment horizontal="center"/>
    </xf>
    <xf numFmtId="0" fontId="21" fillId="9" borderId="3" xfId="27" applyFont="1" applyFill="1" applyBorder="1" applyAlignment="1">
      <alignment vertical="center" wrapText="1"/>
    </xf>
    <xf numFmtId="10" fontId="11" fillId="0" borderId="3" xfId="30" applyNumberFormat="1" applyFont="1" applyBorder="1" applyAlignment="1">
      <alignment horizontal="center" vertical="center"/>
    </xf>
    <xf numFmtId="166" fontId="11" fillId="0" borderId="3" xfId="29" applyNumberFormat="1" applyFont="1" applyFill="1" applyBorder="1" applyAlignment="1">
      <alignment horizontal="center" vertical="center"/>
    </xf>
    <xf numFmtId="0" fontId="10" fillId="0" borderId="8" xfId="27" applyFont="1" applyBorder="1" applyAlignment="1">
      <alignment vertical="center"/>
    </xf>
    <xf numFmtId="166" fontId="11" fillId="0" borderId="9" xfId="29" applyNumberFormat="1" applyFont="1" applyFill="1" applyBorder="1" applyAlignment="1">
      <alignment horizontal="center" vertical="center"/>
    </xf>
    <xf numFmtId="166" fontId="10" fillId="0" borderId="9" xfId="29" applyNumberFormat="1" applyFont="1" applyFill="1" applyBorder="1" applyAlignment="1">
      <alignment horizontal="center" vertical="center"/>
    </xf>
    <xf numFmtId="166" fontId="10" fillId="0" borderId="31" xfId="29" applyNumberFormat="1" applyFont="1" applyFill="1" applyBorder="1" applyAlignment="1">
      <alignment horizontal="center" vertical="center"/>
    </xf>
    <xf numFmtId="0" fontId="11" fillId="23" borderId="65" xfId="27" applyFont="1" applyFill="1" applyBorder="1"/>
    <xf numFmtId="0" fontId="11" fillId="23" borderId="3" xfId="27" applyFont="1" applyFill="1" applyBorder="1" applyAlignment="1">
      <alignment horizontal="left" vertical="center"/>
    </xf>
    <xf numFmtId="14" fontId="11" fillId="23" borderId="3" xfId="27" applyNumberFormat="1" applyFont="1" applyFill="1" applyBorder="1" applyAlignment="1">
      <alignment horizontal="center" vertical="center"/>
    </xf>
    <xf numFmtId="1" fontId="11" fillId="23" borderId="3" xfId="27" applyNumberFormat="1" applyFont="1" applyFill="1" applyBorder="1" applyAlignment="1">
      <alignment horizontal="center" vertical="center"/>
    </xf>
    <xf numFmtId="10" fontId="11" fillId="23" borderId="3" xfId="27" applyNumberFormat="1" applyFont="1" applyFill="1" applyBorder="1" applyAlignment="1">
      <alignment horizontal="center" vertical="center"/>
    </xf>
    <xf numFmtId="166" fontId="11" fillId="23" borderId="3" xfId="29" applyNumberFormat="1" applyFont="1" applyFill="1" applyBorder="1" applyAlignment="1">
      <alignment horizontal="center" vertical="center"/>
    </xf>
    <xf numFmtId="0" fontId="11" fillId="9" borderId="9" xfId="27" applyFont="1" applyFill="1" applyBorder="1" applyAlignment="1">
      <alignment vertical="center"/>
    </xf>
    <xf numFmtId="1" fontId="11" fillId="0" borderId="3" xfId="27" applyNumberFormat="1" applyFont="1" applyBorder="1" applyAlignment="1">
      <alignment horizontal="center" vertical="center"/>
    </xf>
    <xf numFmtId="10" fontId="11" fillId="0" borderId="3" xfId="27" applyNumberFormat="1" applyFont="1" applyBorder="1" applyAlignment="1">
      <alignment horizontal="center" vertical="center"/>
    </xf>
    <xf numFmtId="166" fontId="11" fillId="0" borderId="2" xfId="29" applyNumberFormat="1" applyFont="1" applyFill="1" applyBorder="1" applyAlignment="1">
      <alignment horizontal="center" vertical="center"/>
    </xf>
    <xf numFmtId="166" fontId="11" fillId="0" borderId="8" xfId="29" applyNumberFormat="1" applyFont="1" applyFill="1" applyBorder="1" applyAlignment="1">
      <alignment horizontal="center" vertical="center"/>
    </xf>
    <xf numFmtId="0" fontId="11" fillId="0" borderId="57" xfId="27" applyFont="1" applyBorder="1" applyAlignment="1">
      <alignment horizontal="left" vertical="center"/>
    </xf>
    <xf numFmtId="0" fontId="11" fillId="0" borderId="3" xfId="27" applyFont="1" applyBorder="1" applyAlignment="1">
      <alignment horizontal="center" vertical="center" wrapText="1"/>
    </xf>
    <xf numFmtId="166" fontId="11" fillId="23" borderId="3" xfId="27" applyNumberFormat="1" applyFont="1" applyFill="1" applyBorder="1" applyAlignment="1">
      <alignment horizontal="center" vertical="center"/>
    </xf>
    <xf numFmtId="1" fontId="11" fillId="0" borderId="1" xfId="27" applyNumberFormat="1" applyFont="1" applyBorder="1" applyAlignment="1">
      <alignment horizontal="center" vertical="center"/>
    </xf>
    <xf numFmtId="9" fontId="11" fillId="0" borderId="1" xfId="27" applyNumberFormat="1" applyFont="1" applyBorder="1" applyAlignment="1">
      <alignment horizontal="center" vertical="center"/>
    </xf>
    <xf numFmtId="166" fontId="11" fillId="0" borderId="1" xfId="27" applyNumberFormat="1" applyFont="1" applyBorder="1" applyAlignment="1">
      <alignment horizontal="center" vertical="center"/>
    </xf>
    <xf numFmtId="0" fontId="11" fillId="0" borderId="1" xfId="27" applyFont="1" applyBorder="1" applyAlignment="1">
      <alignment horizontal="left" vertical="center"/>
    </xf>
    <xf numFmtId="14" fontId="11" fillId="23" borderId="17" xfId="27" applyNumberFormat="1" applyFont="1" applyFill="1" applyBorder="1" applyAlignment="1">
      <alignment horizontal="center" vertical="center"/>
    </xf>
    <xf numFmtId="166" fontId="10" fillId="23" borderId="17" xfId="29" applyNumberFormat="1" applyFont="1" applyFill="1" applyBorder="1" applyAlignment="1">
      <alignment horizontal="center" vertical="center"/>
    </xf>
    <xf numFmtId="0" fontId="11" fillId="9" borderId="17" xfId="27" applyFont="1" applyFill="1" applyBorder="1"/>
    <xf numFmtId="14" fontId="11" fillId="9" borderId="17" xfId="27" applyNumberFormat="1" applyFont="1" applyFill="1" applyBorder="1" applyAlignment="1">
      <alignment horizontal="center" vertical="center"/>
    </xf>
    <xf numFmtId="166" fontId="10" fillId="9" borderId="17" xfId="29" applyNumberFormat="1" applyFont="1" applyFill="1" applyBorder="1" applyAlignment="1">
      <alignment horizontal="center" vertical="center"/>
    </xf>
    <xf numFmtId="166" fontId="10" fillId="9" borderId="32" xfId="29" applyNumberFormat="1" applyFont="1" applyFill="1" applyBorder="1" applyAlignment="1">
      <alignment horizontal="center" vertical="center"/>
    </xf>
    <xf numFmtId="166" fontId="10" fillId="0" borderId="0" xfId="29" applyNumberFormat="1" applyFont="1"/>
    <xf numFmtId="166" fontId="11" fillId="9" borderId="9" xfId="20" applyNumberFormat="1" applyFont="1" applyFill="1" applyBorder="1" applyAlignment="1">
      <alignment vertical="center"/>
    </xf>
    <xf numFmtId="166" fontId="10" fillId="6" borderId="9" xfId="20" applyNumberFormat="1" applyFont="1" applyFill="1" applyBorder="1" applyAlignment="1">
      <alignment vertical="center"/>
    </xf>
    <xf numFmtId="0" fontId="10" fillId="7" borderId="35" xfId="20" applyFont="1" applyFill="1" applyBorder="1" applyAlignment="1">
      <alignment horizontal="center" vertical="center"/>
    </xf>
    <xf numFmtId="0" fontId="23" fillId="7" borderId="35" xfId="19" applyFont="1" applyFill="1" applyBorder="1" applyAlignment="1">
      <alignment horizontal="center" vertical="center"/>
    </xf>
    <xf numFmtId="0" fontId="28" fillId="7" borderId="35" xfId="19" applyFont="1" applyFill="1" applyBorder="1" applyAlignment="1">
      <alignment horizontal="center" vertical="center"/>
    </xf>
    <xf numFmtId="0" fontId="23" fillId="0" borderId="1" xfId="27" applyFont="1" applyBorder="1" applyAlignment="1">
      <alignment horizontal="left" vertical="center"/>
    </xf>
    <xf numFmtId="14" fontId="23" fillId="0" borderId="1" xfId="27" applyNumberFormat="1" applyFont="1" applyBorder="1" applyAlignment="1">
      <alignment horizontal="center" vertical="center"/>
    </xf>
    <xf numFmtId="1" fontId="23" fillId="0" borderId="1" xfId="27" applyNumberFormat="1" applyFont="1" applyBorder="1" applyAlignment="1">
      <alignment horizontal="center" vertical="center"/>
    </xf>
    <xf numFmtId="166" fontId="23" fillId="0" borderId="1" xfId="27" applyNumberFormat="1" applyFont="1" applyBorder="1" applyAlignment="1">
      <alignment horizontal="center" vertical="center"/>
    </xf>
    <xf numFmtId="2" fontId="23" fillId="0" borderId="1" xfId="27" applyNumberFormat="1" applyFont="1" applyBorder="1" applyAlignment="1">
      <alignment horizontal="center" vertical="center"/>
    </xf>
    <xf numFmtId="17" fontId="10" fillId="0" borderId="3" xfId="2" applyNumberFormat="1" applyFont="1" applyBorder="1" applyAlignment="1">
      <alignment horizontal="center"/>
    </xf>
    <xf numFmtId="17" fontId="10" fillId="2" borderId="3" xfId="2" applyNumberFormat="1" applyFont="1" applyFill="1" applyBorder="1" applyAlignment="1">
      <alignment horizontal="center"/>
    </xf>
    <xf numFmtId="0" fontId="12" fillId="0" borderId="3" xfId="3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 wrapText="1"/>
    </xf>
    <xf numFmtId="0" fontId="10" fillId="6" borderId="3" xfId="2" applyFont="1" applyFill="1" applyBorder="1" applyAlignment="1">
      <alignment horizontal="center" wrapText="1"/>
    </xf>
    <xf numFmtId="0" fontId="15" fillId="6" borderId="3" xfId="2" applyFont="1" applyFill="1" applyBorder="1" applyAlignment="1">
      <alignment horizontal="center" wrapText="1"/>
    </xf>
    <xf numFmtId="0" fontId="10" fillId="0" borderId="3" xfId="2" applyFont="1" applyBorder="1" applyAlignment="1">
      <alignment horizontal="center"/>
    </xf>
    <xf numFmtId="0" fontId="12" fillId="2" borderId="3" xfId="17" applyFont="1" applyFill="1" applyBorder="1" applyAlignment="1">
      <alignment horizontal="center" vertical="center"/>
    </xf>
    <xf numFmtId="0" fontId="12" fillId="7" borderId="3" xfId="17" applyFont="1" applyFill="1" applyBorder="1" applyAlignment="1">
      <alignment horizontal="center" vertical="center"/>
    </xf>
    <xf numFmtId="0" fontId="12" fillId="4" borderId="3" xfId="17" applyFont="1" applyFill="1" applyBorder="1" applyAlignment="1">
      <alignment horizontal="center" vertical="center"/>
    </xf>
    <xf numFmtId="0" fontId="12" fillId="16" borderId="3" xfId="17" applyFont="1" applyFill="1" applyBorder="1" applyAlignment="1">
      <alignment horizontal="center" vertical="center"/>
    </xf>
    <xf numFmtId="0" fontId="12" fillId="16" borderId="9" xfId="17" applyFont="1" applyFill="1" applyBorder="1" applyAlignment="1">
      <alignment horizontal="center" vertical="center"/>
    </xf>
    <xf numFmtId="0" fontId="12" fillId="6" borderId="21" xfId="3" applyFont="1" applyFill="1" applyBorder="1" applyAlignment="1">
      <alignment horizontal="center" vertical="center" wrapText="1"/>
    </xf>
    <xf numFmtId="0" fontId="12" fillId="6" borderId="40" xfId="3" applyFont="1" applyFill="1" applyBorder="1" applyAlignment="1">
      <alignment horizontal="center" vertical="center" wrapText="1"/>
    </xf>
    <xf numFmtId="17" fontId="21" fillId="19" borderId="3" xfId="0" applyNumberFormat="1" applyFont="1" applyFill="1" applyBorder="1" applyAlignment="1">
      <alignment horizontal="center" vertical="center"/>
    </xf>
    <xf numFmtId="0" fontId="21" fillId="19" borderId="3" xfId="0" applyFont="1" applyFill="1" applyBorder="1" applyAlignment="1">
      <alignment horizontal="center" vertical="center"/>
    </xf>
    <xf numFmtId="17" fontId="23" fillId="19" borderId="3" xfId="0" applyNumberFormat="1" applyFont="1" applyFill="1" applyBorder="1" applyAlignment="1">
      <alignment horizontal="center" vertical="center"/>
    </xf>
    <xf numFmtId="0" fontId="23" fillId="19" borderId="3" xfId="0" applyFont="1" applyFill="1" applyBorder="1" applyAlignment="1">
      <alignment horizontal="center" vertical="center"/>
    </xf>
    <xf numFmtId="17" fontId="23" fillId="19" borderId="10" xfId="0" applyNumberFormat="1" applyFont="1" applyFill="1" applyBorder="1" applyAlignment="1">
      <alignment horizontal="center" vertical="center"/>
    </xf>
    <xf numFmtId="0" fontId="23" fillId="19" borderId="12" xfId="0" applyFont="1" applyFill="1" applyBorder="1" applyAlignment="1">
      <alignment horizontal="center" vertical="center"/>
    </xf>
    <xf numFmtId="0" fontId="23" fillId="19" borderId="9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17" fontId="23" fillId="19" borderId="12" xfId="0" applyNumberFormat="1" applyFont="1" applyFill="1" applyBorder="1" applyAlignment="1">
      <alignment horizontal="center" vertical="center"/>
    </xf>
    <xf numFmtId="17" fontId="23" fillId="19" borderId="31" xfId="0" applyNumberFormat="1" applyFont="1" applyFill="1" applyBorder="1" applyAlignment="1">
      <alignment horizontal="center" vertical="center"/>
    </xf>
    <xf numFmtId="0" fontId="33" fillId="18" borderId="12" xfId="0" applyFont="1" applyFill="1" applyBorder="1" applyAlignment="1">
      <alignment horizontal="center" vertical="center"/>
    </xf>
    <xf numFmtId="0" fontId="33" fillId="18" borderId="3" xfId="0" applyFont="1" applyFill="1" applyBorder="1" applyAlignment="1">
      <alignment horizontal="center" vertical="center"/>
    </xf>
    <xf numFmtId="0" fontId="33" fillId="18" borderId="31" xfId="0" applyFont="1" applyFill="1" applyBorder="1" applyAlignment="1">
      <alignment horizontal="center" vertical="center"/>
    </xf>
    <xf numFmtId="0" fontId="33" fillId="18" borderId="10" xfId="0" applyFont="1" applyFill="1" applyBorder="1" applyAlignment="1">
      <alignment horizontal="center" vertical="center"/>
    </xf>
    <xf numFmtId="0" fontId="33" fillId="18" borderId="35" xfId="0" applyFont="1" applyFill="1" applyBorder="1" applyAlignment="1">
      <alignment horizontal="center" vertical="center"/>
    </xf>
    <xf numFmtId="0" fontId="28" fillId="0" borderId="3" xfId="19" applyFont="1" applyBorder="1" applyAlignment="1">
      <alignment horizontal="center" vertical="center"/>
    </xf>
    <xf numFmtId="0" fontId="20" fillId="16" borderId="3" xfId="19" applyFont="1" applyFill="1" applyBorder="1" applyAlignment="1">
      <alignment horizontal="center" vertical="center"/>
    </xf>
    <xf numFmtId="0" fontId="23" fillId="19" borderId="3" xfId="19" applyFont="1" applyFill="1" applyBorder="1" applyAlignment="1">
      <alignment horizontal="center" vertical="center"/>
    </xf>
    <xf numFmtId="0" fontId="21" fillId="0" borderId="3" xfId="19" applyFont="1" applyBorder="1" applyAlignment="1">
      <alignment horizontal="center" vertical="center"/>
    </xf>
    <xf numFmtId="0" fontId="34" fillId="0" borderId="3" xfId="19" applyFont="1" applyBorder="1" applyAlignment="1">
      <alignment horizontal="center" vertical="center"/>
    </xf>
    <xf numFmtId="17" fontId="23" fillId="19" borderId="3" xfId="19" applyNumberFormat="1" applyFont="1" applyFill="1" applyBorder="1" applyAlignment="1">
      <alignment horizontal="center" vertical="center"/>
    </xf>
    <xf numFmtId="17" fontId="21" fillId="19" borderId="3" xfId="19" applyNumberFormat="1" applyFont="1" applyFill="1" applyBorder="1" applyAlignment="1">
      <alignment horizontal="center" vertical="center"/>
    </xf>
    <xf numFmtId="0" fontId="21" fillId="19" borderId="3" xfId="19" applyFont="1" applyFill="1" applyBorder="1" applyAlignment="1">
      <alignment horizontal="center" vertical="center"/>
    </xf>
    <xf numFmtId="0" fontId="39" fillId="18" borderId="3" xfId="19" applyFont="1" applyFill="1" applyBorder="1" applyAlignment="1">
      <alignment horizontal="center" vertical="center"/>
    </xf>
    <xf numFmtId="0" fontId="10" fillId="6" borderId="3" xfId="14" applyFont="1" applyFill="1" applyBorder="1" applyAlignment="1">
      <alignment horizontal="center" wrapText="1"/>
    </xf>
    <xf numFmtId="0" fontId="12" fillId="6" borderId="3" xfId="2" applyFont="1" applyFill="1" applyBorder="1" applyAlignment="1">
      <alignment horizontal="center" wrapText="1"/>
    </xf>
    <xf numFmtId="0" fontId="12" fillId="6" borderId="3" xfId="14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6" borderId="9" xfId="14" applyFont="1" applyFill="1" applyBorder="1" applyAlignment="1">
      <alignment horizontal="center" vertical="center" wrapText="1"/>
    </xf>
    <xf numFmtId="0" fontId="10" fillId="6" borderId="10" xfId="14" applyFont="1" applyFill="1" applyBorder="1" applyAlignment="1">
      <alignment horizontal="center" vertical="center" wrapText="1"/>
    </xf>
    <xf numFmtId="17" fontId="17" fillId="2" borderId="3" xfId="11" applyNumberFormat="1" applyFont="1" applyFill="1" applyBorder="1" applyAlignment="1">
      <alignment horizontal="center" vertical="center"/>
    </xf>
    <xf numFmtId="0" fontId="17" fillId="2" borderId="3" xfId="11" applyFont="1" applyFill="1" applyBorder="1" applyAlignment="1">
      <alignment horizontal="center" vertical="center"/>
    </xf>
    <xf numFmtId="0" fontId="17" fillId="2" borderId="3" xfId="11" quotePrefix="1" applyFont="1" applyFill="1" applyBorder="1" applyAlignment="1">
      <alignment horizontal="center" vertical="center"/>
    </xf>
    <xf numFmtId="0" fontId="30" fillId="2" borderId="3" xfId="11" quotePrefix="1" applyFont="1" applyFill="1" applyBorder="1" applyAlignment="1">
      <alignment horizontal="center" vertical="center"/>
    </xf>
    <xf numFmtId="0" fontId="17" fillId="2" borderId="15" xfId="11" applyFont="1" applyFill="1" applyBorder="1" applyAlignment="1">
      <alignment horizontal="center" vertical="center" wrapText="1"/>
    </xf>
    <xf numFmtId="0" fontId="17" fillId="2" borderId="12" xfId="11" applyFont="1" applyFill="1" applyBorder="1" applyAlignment="1">
      <alignment horizontal="center" vertical="center" wrapText="1"/>
    </xf>
    <xf numFmtId="0" fontId="17" fillId="2" borderId="16" xfId="11" applyFont="1" applyFill="1" applyBorder="1" applyAlignment="1">
      <alignment horizontal="center" vertical="center" wrapText="1"/>
    </xf>
    <xf numFmtId="0" fontId="17" fillId="2" borderId="3" xfId="11" applyFont="1" applyFill="1" applyBorder="1" applyAlignment="1">
      <alignment horizontal="center" vertical="center" wrapText="1"/>
    </xf>
    <xf numFmtId="0" fontId="18" fillId="2" borderId="16" xfId="11" applyFont="1" applyFill="1" applyBorder="1" applyAlignment="1">
      <alignment horizontal="center" vertical="center" wrapText="1"/>
    </xf>
    <xf numFmtId="0" fontId="30" fillId="0" borderId="3" xfId="11" applyFont="1" applyBorder="1" applyAlignment="1">
      <alignment horizontal="center" vertical="center"/>
    </xf>
    <xf numFmtId="17" fontId="20" fillId="5" borderId="19" xfId="0" applyNumberFormat="1" applyFont="1" applyFill="1" applyBorder="1" applyAlignment="1">
      <alignment horizontal="center" vertical="center"/>
    </xf>
    <xf numFmtId="17" fontId="20" fillId="5" borderId="22" xfId="0" applyNumberFormat="1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0" fontId="37" fillId="2" borderId="31" xfId="0" applyFont="1" applyFill="1" applyBorder="1" applyAlignment="1">
      <alignment horizontal="center" vertical="center"/>
    </xf>
    <xf numFmtId="17" fontId="20" fillId="0" borderId="9" xfId="0" applyNumberFormat="1" applyFont="1" applyBorder="1" applyAlignment="1">
      <alignment horizontal="center" vertical="center"/>
    </xf>
    <xf numFmtId="17" fontId="20" fillId="0" borderId="10" xfId="0" applyNumberFormat="1" applyFont="1" applyBorder="1" applyAlignment="1">
      <alignment horizontal="center" vertical="center"/>
    </xf>
    <xf numFmtId="0" fontId="10" fillId="6" borderId="3" xfId="14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23" fillId="15" borderId="29" xfId="0" applyFont="1" applyFill="1" applyBorder="1" applyAlignment="1">
      <alignment horizontal="center" vertical="center" wrapText="1"/>
    </xf>
    <xf numFmtId="0" fontId="23" fillId="15" borderId="53" xfId="0" applyFont="1" applyFill="1" applyBorder="1" applyAlignment="1">
      <alignment horizontal="center" vertical="center" wrapText="1"/>
    </xf>
    <xf numFmtId="0" fontId="23" fillId="7" borderId="26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1" fillId="7" borderId="15" xfId="11" applyFont="1" applyFill="1" applyBorder="1" applyAlignment="1">
      <alignment horizontal="center" vertical="center"/>
    </xf>
    <xf numFmtId="0" fontId="21" fillId="7" borderId="13" xfId="11" applyFont="1" applyFill="1" applyBorder="1" applyAlignment="1">
      <alignment horizontal="center" vertical="center"/>
    </xf>
    <xf numFmtId="0" fontId="21" fillId="7" borderId="16" xfId="11" applyFont="1" applyFill="1" applyBorder="1" applyAlignment="1">
      <alignment horizontal="center" vertical="center"/>
    </xf>
    <xf numFmtId="0" fontId="21" fillId="7" borderId="17" xfId="11" applyFont="1" applyFill="1" applyBorder="1" applyAlignment="1">
      <alignment horizontal="center" vertical="center"/>
    </xf>
    <xf numFmtId="0" fontId="21" fillId="7" borderId="30" xfId="11" applyFont="1" applyFill="1" applyBorder="1" applyAlignment="1">
      <alignment horizontal="center" vertical="center"/>
    </xf>
    <xf numFmtId="0" fontId="21" fillId="7" borderId="32" xfId="11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0" fontId="39" fillId="0" borderId="0" xfId="27" applyFont="1" applyAlignment="1">
      <alignment vertical="center"/>
    </xf>
    <xf numFmtId="0" fontId="23" fillId="0" borderId="0" xfId="27" applyFont="1" applyAlignment="1">
      <alignment vertical="center"/>
    </xf>
    <xf numFmtId="0" fontId="23" fillId="0" borderId="0" xfId="27" applyFont="1" applyAlignment="1">
      <alignment horizontal="center" vertical="center" wrapText="1"/>
    </xf>
    <xf numFmtId="0" fontId="23" fillId="0" borderId="38" xfId="27" applyFont="1" applyBorder="1" applyAlignment="1">
      <alignment horizontal="center" vertical="center" wrapText="1"/>
    </xf>
    <xf numFmtId="0" fontId="23" fillId="0" borderId="39" xfId="27" applyFont="1" applyBorder="1" applyAlignment="1">
      <alignment horizontal="center" vertical="center" wrapText="1"/>
    </xf>
    <xf numFmtId="0" fontId="23" fillId="0" borderId="43" xfId="27" applyFont="1" applyBorder="1" applyAlignment="1">
      <alignment horizontal="center" vertical="center" wrapText="1"/>
    </xf>
    <xf numFmtId="0" fontId="23" fillId="0" borderId="45" xfId="27" applyFont="1" applyBorder="1" applyAlignment="1">
      <alignment horizontal="center" vertical="center" wrapText="1"/>
    </xf>
    <xf numFmtId="0" fontId="23" fillId="0" borderId="62" xfId="27" applyFont="1" applyBorder="1" applyAlignment="1">
      <alignment horizontal="center" vertical="center" wrapText="1"/>
    </xf>
    <xf numFmtId="0" fontId="23" fillId="0" borderId="42" xfId="27" applyFont="1" applyBorder="1" applyAlignment="1">
      <alignment horizontal="center" vertical="center" wrapText="1"/>
    </xf>
    <xf numFmtId="0" fontId="23" fillId="0" borderId="44" xfId="27" applyFont="1" applyBorder="1" applyAlignment="1">
      <alignment horizontal="center" vertical="center" wrapText="1"/>
    </xf>
    <xf numFmtId="0" fontId="23" fillId="0" borderId="46" xfId="27" applyFont="1" applyBorder="1" applyAlignment="1">
      <alignment horizontal="center" vertical="center" wrapText="1"/>
    </xf>
    <xf numFmtId="0" fontId="39" fillId="0" borderId="61" xfId="27" applyFont="1" applyBorder="1" applyAlignment="1">
      <alignment vertical="center"/>
    </xf>
    <xf numFmtId="0" fontId="23" fillId="0" borderId="60" xfId="27" applyFont="1" applyBorder="1" applyAlignment="1">
      <alignment horizontal="center" vertical="center" wrapText="1"/>
    </xf>
    <xf numFmtId="0" fontId="23" fillId="0" borderId="60" xfId="27" applyFont="1" applyBorder="1" applyAlignment="1">
      <alignment horizontal="center" vertical="center"/>
    </xf>
    <xf numFmtId="0" fontId="23" fillId="0" borderId="2" xfId="27" applyFont="1" applyBorder="1" applyAlignment="1">
      <alignment horizontal="center" vertical="center" wrapText="1"/>
    </xf>
    <xf numFmtId="0" fontId="23" fillId="0" borderId="3" xfId="27" applyFont="1" applyBorder="1" applyAlignment="1">
      <alignment horizontal="center" vertical="center" wrapText="1"/>
    </xf>
    <xf numFmtId="0" fontId="23" fillId="0" borderId="2" xfId="27" applyFont="1" applyBorder="1" applyAlignment="1">
      <alignment horizontal="center" vertical="center"/>
    </xf>
    <xf numFmtId="0" fontId="23" fillId="0" borderId="3" xfId="27" applyFont="1" applyBorder="1" applyAlignment="1">
      <alignment horizontal="center" vertical="center"/>
    </xf>
    <xf numFmtId="0" fontId="23" fillId="9" borderId="3" xfId="27" applyFont="1" applyFill="1" applyBorder="1" applyAlignment="1">
      <alignment horizontal="center" vertical="center" wrapText="1"/>
    </xf>
    <xf numFmtId="0" fontId="10" fillId="0" borderId="9" xfId="27" applyFont="1" applyBorder="1" applyAlignment="1">
      <alignment horizontal="center" vertical="center"/>
    </xf>
    <xf numFmtId="0" fontId="10" fillId="0" borderId="11" xfId="27" applyFont="1" applyBorder="1" applyAlignment="1">
      <alignment horizontal="center" vertical="center"/>
    </xf>
    <xf numFmtId="0" fontId="10" fillId="0" borderId="10" xfId="27" applyFont="1" applyBorder="1" applyAlignment="1">
      <alignment horizontal="center" vertical="center"/>
    </xf>
    <xf numFmtId="0" fontId="11" fillId="0" borderId="1" xfId="27" applyFont="1" applyBorder="1" applyAlignment="1">
      <alignment horizontal="center" vertical="center" wrapText="1"/>
    </xf>
    <xf numFmtId="0" fontId="11" fillId="0" borderId="4" xfId="27" applyFont="1" applyBorder="1" applyAlignment="1">
      <alignment horizontal="center" vertical="center" wrapText="1"/>
    </xf>
    <xf numFmtId="0" fontId="11" fillId="0" borderId="2" xfId="27" applyFont="1" applyBorder="1" applyAlignment="1">
      <alignment horizontal="center" vertical="center" wrapText="1"/>
    </xf>
    <xf numFmtId="0" fontId="11" fillId="0" borderId="3" xfId="27" applyFont="1" applyBorder="1" applyAlignment="1">
      <alignment horizontal="center" vertical="center" wrapText="1"/>
    </xf>
    <xf numFmtId="0" fontId="10" fillId="9" borderId="19" xfId="27" applyFont="1" applyFill="1" applyBorder="1" applyAlignment="1">
      <alignment horizontal="center" vertical="center" wrapText="1"/>
    </xf>
    <xf numFmtId="0" fontId="10" fillId="9" borderId="22" xfId="27" applyFont="1" applyFill="1" applyBorder="1" applyAlignment="1">
      <alignment horizontal="center" vertical="center" wrapText="1"/>
    </xf>
    <xf numFmtId="0" fontId="10" fillId="9" borderId="63" xfId="27" applyFont="1" applyFill="1" applyBorder="1" applyAlignment="1">
      <alignment horizontal="center" vertical="center" wrapText="1"/>
    </xf>
    <xf numFmtId="0" fontId="12" fillId="0" borderId="19" xfId="22" applyFont="1" applyFill="1" applyBorder="1" applyAlignment="1">
      <alignment horizontal="center" vertical="center" wrapText="1"/>
    </xf>
    <xf numFmtId="0" fontId="12" fillId="0" borderId="22" xfId="22" applyFont="1" applyFill="1" applyBorder="1" applyAlignment="1">
      <alignment horizontal="center" vertical="center" wrapText="1"/>
    </xf>
    <xf numFmtId="0" fontId="10" fillId="0" borderId="19" xfId="27" applyFont="1" applyBorder="1" applyAlignment="1">
      <alignment horizontal="center" vertical="center" wrapText="1"/>
    </xf>
    <xf numFmtId="0" fontId="10" fillId="0" borderId="22" xfId="27" applyFont="1" applyBorder="1" applyAlignment="1">
      <alignment horizontal="center" vertical="center" wrapText="1"/>
    </xf>
    <xf numFmtId="0" fontId="46" fillId="0" borderId="19" xfId="22" applyFont="1" applyFill="1" applyBorder="1" applyAlignment="1">
      <alignment horizontal="center" vertical="center" wrapText="1"/>
    </xf>
    <xf numFmtId="0" fontId="46" fillId="0" borderId="22" xfId="22" applyFont="1" applyFill="1" applyBorder="1" applyAlignment="1">
      <alignment horizontal="center" vertical="center" wrapText="1"/>
    </xf>
    <xf numFmtId="0" fontId="10" fillId="0" borderId="19" xfId="28" applyFont="1" applyFill="1" applyBorder="1" applyAlignment="1">
      <alignment horizontal="center" vertical="center" wrapText="1"/>
    </xf>
    <xf numFmtId="0" fontId="10" fillId="0" borderId="22" xfId="28" applyFont="1" applyFill="1" applyBorder="1" applyAlignment="1">
      <alignment horizontal="center" vertical="center" wrapText="1"/>
    </xf>
    <xf numFmtId="0" fontId="9" fillId="0" borderId="0" xfId="27" applyFont="1" applyAlignment="1">
      <alignment horizontal="center"/>
    </xf>
    <xf numFmtId="0" fontId="45" fillId="6" borderId="55" xfId="26" applyFont="1" applyFill="1" applyBorder="1" applyAlignment="1">
      <alignment horizontal="center" wrapText="1"/>
    </xf>
    <xf numFmtId="0" fontId="45" fillId="6" borderId="63" xfId="26" applyFont="1" applyFill="1" applyBorder="1" applyAlignment="1">
      <alignment horizontal="center" wrapText="1"/>
    </xf>
    <xf numFmtId="0" fontId="45" fillId="6" borderId="22" xfId="26" applyFont="1" applyFill="1" applyBorder="1" applyAlignment="1">
      <alignment horizontal="center" wrapText="1"/>
    </xf>
    <xf numFmtId="0" fontId="21" fillId="7" borderId="19" xfId="11" applyFont="1" applyFill="1" applyBorder="1" applyAlignment="1">
      <alignment horizontal="center" vertical="center"/>
    </xf>
    <xf numFmtId="0" fontId="23" fillId="7" borderId="27" xfId="0" applyFont="1" applyFill="1" applyBorder="1" applyAlignment="1">
      <alignment horizontal="center" vertical="center"/>
    </xf>
    <xf numFmtId="0" fontId="23" fillId="4" borderId="9" xfId="11" applyFont="1" applyFill="1" applyBorder="1" applyAlignment="1">
      <alignment horizontal="center" vertical="center"/>
    </xf>
    <xf numFmtId="0" fontId="23" fillId="4" borderId="11" xfId="11" applyFont="1" applyFill="1" applyBorder="1" applyAlignment="1">
      <alignment horizontal="center" vertical="center"/>
    </xf>
    <xf numFmtId="0" fontId="23" fillId="4" borderId="10" xfId="11" applyFont="1" applyFill="1" applyBorder="1" applyAlignment="1">
      <alignment horizontal="center" vertical="center"/>
    </xf>
    <xf numFmtId="0" fontId="23" fillId="0" borderId="3" xfId="11" applyFont="1" applyBorder="1" applyAlignment="1">
      <alignment horizontal="center" vertical="center"/>
    </xf>
    <xf numFmtId="0" fontId="23" fillId="4" borderId="3" xfId="11" applyFont="1" applyFill="1" applyBorder="1" applyAlignment="1">
      <alignment horizontal="center" vertical="center"/>
    </xf>
    <xf numFmtId="169" fontId="26" fillId="14" borderId="3" xfId="11" applyNumberFormat="1" applyFont="1" applyFill="1" applyBorder="1" applyAlignment="1">
      <alignment horizontal="center" vertical="center"/>
    </xf>
    <xf numFmtId="0" fontId="23" fillId="0" borderId="1" xfId="11" applyFont="1" applyBorder="1" applyAlignment="1">
      <alignment horizontal="center" vertical="center"/>
    </xf>
    <xf numFmtId="0" fontId="23" fillId="11" borderId="3" xfId="11" applyFont="1" applyFill="1" applyBorder="1" applyAlignment="1">
      <alignment horizontal="center" vertical="center"/>
    </xf>
    <xf numFmtId="0" fontId="23" fillId="11" borderId="9" xfId="11" applyFont="1" applyFill="1" applyBorder="1" applyAlignment="1">
      <alignment horizontal="center" vertical="center"/>
    </xf>
    <xf numFmtId="0" fontId="23" fillId="11" borderId="11" xfId="11" applyFont="1" applyFill="1" applyBorder="1" applyAlignment="1">
      <alignment horizontal="center" vertical="center"/>
    </xf>
    <xf numFmtId="0" fontId="23" fillId="11" borderId="10" xfId="11" applyFont="1" applyFill="1" applyBorder="1" applyAlignment="1">
      <alignment horizontal="center" vertical="center"/>
    </xf>
  </cellXfs>
  <cellStyles count="31">
    <cellStyle name="40% - Accent4 2" xfId="28" xr:uid="{F87C557E-3313-41CE-8D05-FB1BCBCCB6D5}"/>
    <cellStyle name="Bad" xfId="22" builtinId="27"/>
    <cellStyle name="Comma" xfId="1" builtinId="3"/>
    <cellStyle name="Comma [0] 2" xfId="18" xr:uid="{220C46A3-6FC6-4BF2-95ED-3C88C06F2656}"/>
    <cellStyle name="Comma 2" xfId="5" xr:uid="{00000000-0005-0000-0000-000001000000}"/>
    <cellStyle name="Comma 2 2" xfId="4" xr:uid="{00000000-0005-0000-0000-000002000000}"/>
    <cellStyle name="Comma 2 2 2" xfId="6" xr:uid="{00000000-0005-0000-0000-000003000000}"/>
    <cellStyle name="Comma 3" xfId="8" xr:uid="{A8607D29-EF88-4622-810E-C9D1272EF967}"/>
    <cellStyle name="Comma 4" xfId="10" xr:uid="{755A6414-E9DA-46AA-AAFA-26E54C6EE271}"/>
    <cellStyle name="Comma 5" xfId="12" xr:uid="{8EE9CF96-AFF0-430C-BFEA-F08ABF1D9011}"/>
    <cellStyle name="Comma 6" xfId="21" xr:uid="{AAA1E17D-872B-4C3C-B8FA-003A7426CBDD}"/>
    <cellStyle name="Comma 7" xfId="24" xr:uid="{29AEE491-B594-41D3-B2C2-542AC110FA49}"/>
    <cellStyle name="Comma 8" xfId="29" xr:uid="{F19D27F5-1C3D-4BBE-A9B2-5055462289EE}"/>
    <cellStyle name="Normal" xfId="0" builtinId="0"/>
    <cellStyle name="Normal 19" xfId="2" xr:uid="{00000000-0005-0000-0000-000005000000}"/>
    <cellStyle name="Normal 19 2" xfId="14" xr:uid="{8892A318-3F17-414C-88EC-520C17C32160}"/>
    <cellStyle name="Normal 2" xfId="3" xr:uid="{00000000-0005-0000-0000-000006000000}"/>
    <cellStyle name="Normal 2 2" xfId="17" xr:uid="{C210C206-3D78-4952-9F0E-CB532EE9F1FE}"/>
    <cellStyle name="Normal 3" xfId="7" xr:uid="{CEBEF946-114E-4241-96EE-89C8C8C3C476}"/>
    <cellStyle name="Normal 3 2" xfId="15" xr:uid="{2C8102A8-2E6A-4961-B5FA-F0B6A232776E}"/>
    <cellStyle name="Normal 3 3" xfId="20" xr:uid="{FDFBA702-9FCC-40AE-9E70-B4D701D7016A}"/>
    <cellStyle name="Normal 4" xfId="11" xr:uid="{66BBCE26-FF2B-4E22-9E27-8BB8989D1ACE}"/>
    <cellStyle name="Normal 5" xfId="19" xr:uid="{46FE9528-6DE6-4C02-8296-DCB452B9CE18}"/>
    <cellStyle name="Normal 6" xfId="23" xr:uid="{3489299D-AD69-4712-BEDC-47F71CFA4663}"/>
    <cellStyle name="Normal 7" xfId="26" xr:uid="{C095F009-825B-4A8F-8CA3-516BE0046FF8}"/>
    <cellStyle name="Normal 8" xfId="27" xr:uid="{B7143C66-EDED-49F4-B0F0-655BBCDF7671}"/>
    <cellStyle name="Percent" xfId="16" builtinId="5"/>
    <cellStyle name="Percent 2" xfId="9" xr:uid="{44EAC52E-1E1A-46CA-B831-583A893C08EC}"/>
    <cellStyle name="Percent 3" xfId="13" xr:uid="{210F8683-AB13-4B5B-BF95-A44A9C971C23}"/>
    <cellStyle name="Percent 4" xfId="25" xr:uid="{BFE9944B-E3F5-425A-A001-271F531F263F}"/>
    <cellStyle name="Percent 5" xfId="30" xr:uid="{F0BDB302-C0A8-4370-9D00-BB2A953DA9E1}"/>
  </cellStyles>
  <dxfs count="0"/>
  <tableStyles count="0" defaultTableStyle="TableStyleMedium2" defaultPivotStyle="PivotStyleLight16"/>
  <colors>
    <mruColors>
      <color rgb="FF0000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\Downloads\SLP%20Daily_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dmin/Downloads/SLP%20Daily_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cuments/7-MTL%20For%20SKU%20SUMMARY(15.2.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SKU Summary"/>
      <sheetName val="7-MTL For SKU SUMMARY(15.2"/>
    </sheetNames>
    <definedNames>
      <definedName name="Number_of_Payments"/>
      <definedName name="Values_Entere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93"/>
  <sheetViews>
    <sheetView zoomScale="90" zoomScaleNormal="90" workbookViewId="0">
      <pane xSplit="2" ySplit="3" topLeftCell="CF4" activePane="bottomRight" state="frozen"/>
      <selection activeCell="AO5" sqref="AO5"/>
      <selection pane="topRight" activeCell="AO5" sqref="AO5"/>
      <selection pane="bottomLeft" activeCell="AO5" sqref="AO5"/>
      <selection pane="bottomRight" activeCell="DQ4" sqref="DQ4:DR4"/>
    </sheetView>
  </sheetViews>
  <sheetFormatPr defaultColWidth="10.5546875" defaultRowHeight="19.8"/>
  <cols>
    <col min="1" max="1" width="3.5546875" style="40" bestFit="1" customWidth="1"/>
    <col min="2" max="2" width="27.88671875" style="40" bestFit="1" customWidth="1"/>
    <col min="3" max="3" width="7.44140625" style="40" customWidth="1"/>
    <col min="4" max="4" width="5.33203125" style="40" bestFit="1" customWidth="1"/>
    <col min="5" max="5" width="7.6640625" style="40" bestFit="1" customWidth="1"/>
    <col min="6" max="6" width="9.44140625" style="40" bestFit="1" customWidth="1"/>
    <col min="7" max="7" width="8" style="40" hidden="1" customWidth="1"/>
    <col min="8" max="8" width="9" style="40" hidden="1" customWidth="1"/>
    <col min="9" max="9" width="8" style="40" hidden="1" customWidth="1"/>
    <col min="10" max="10" width="8.109375" style="40" hidden="1" customWidth="1"/>
    <col min="11" max="11" width="9.33203125" style="40" hidden="1" customWidth="1"/>
    <col min="12" max="12" width="10.6640625" style="40" hidden="1" customWidth="1"/>
    <col min="13" max="13" width="9.33203125" style="40" hidden="1" customWidth="1"/>
    <col min="14" max="15" width="8.6640625" style="40" hidden="1" customWidth="1"/>
    <col min="16" max="16" width="9.33203125" style="40" hidden="1" customWidth="1"/>
    <col min="17" max="17" width="9.88671875" style="40" hidden="1" customWidth="1"/>
    <col min="18" max="18" width="8.6640625" style="40" hidden="1" customWidth="1"/>
    <col min="19" max="19" width="9.44140625" style="40" hidden="1" customWidth="1"/>
    <col min="20" max="20" width="8.109375" style="40" hidden="1" customWidth="1"/>
    <col min="21" max="21" width="9" style="40" hidden="1" customWidth="1"/>
    <col min="22" max="22" width="7.6640625" style="40" hidden="1" customWidth="1"/>
    <col min="23" max="23" width="8.6640625" style="40" hidden="1" customWidth="1"/>
    <col min="24" max="24" width="8.109375" style="40" hidden="1" customWidth="1"/>
    <col min="25" max="25" width="8.88671875" style="40" hidden="1" customWidth="1"/>
    <col min="26" max="26" width="8" style="40" hidden="1" customWidth="1"/>
    <col min="27" max="27" width="7.6640625" style="40" hidden="1" customWidth="1"/>
    <col min="28" max="28" width="9.6640625" style="40" hidden="1" customWidth="1"/>
    <col min="29" max="29" width="7.88671875" style="40" hidden="1" customWidth="1"/>
    <col min="30" max="30" width="8.33203125" style="40" hidden="1" customWidth="1"/>
    <col min="31" max="31" width="8.109375" style="40" hidden="1" customWidth="1"/>
    <col min="32" max="32" width="9.5546875" style="40" hidden="1" customWidth="1"/>
    <col min="33" max="33" width="9.109375" style="40" hidden="1" customWidth="1"/>
    <col min="34" max="34" width="8.109375" style="40" hidden="1" customWidth="1"/>
    <col min="35" max="35" width="9.6640625" style="40" hidden="1" customWidth="1"/>
    <col min="36" max="38" width="7.6640625" style="40" hidden="1" customWidth="1"/>
    <col min="39" max="39" width="8.33203125" style="40" hidden="1" customWidth="1"/>
    <col min="40" max="40" width="8.44140625" style="40" hidden="1" customWidth="1"/>
    <col min="41" max="41" width="8.5546875" style="40" hidden="1" customWidth="1"/>
    <col min="42" max="42" width="9.109375" style="40" hidden="1" customWidth="1"/>
    <col min="43" max="43" width="7.88671875" style="40" hidden="1" customWidth="1"/>
    <col min="44" max="44" width="8.33203125" style="40" hidden="1" customWidth="1"/>
    <col min="45" max="45" width="8.6640625" style="40" hidden="1" customWidth="1"/>
    <col min="46" max="46" width="8.44140625" style="40" hidden="1" customWidth="1"/>
    <col min="47" max="47" width="9.5546875" style="40" hidden="1" customWidth="1"/>
    <col min="48" max="49" width="8.44140625" style="40" hidden="1" customWidth="1"/>
    <col min="50" max="50" width="8.6640625" style="40" hidden="1" customWidth="1"/>
    <col min="51" max="51" width="8.88671875" style="40" hidden="1" customWidth="1"/>
    <col min="52" max="52" width="8.6640625" style="40" hidden="1" customWidth="1"/>
    <col min="53" max="53" width="9.33203125" style="40" hidden="1" customWidth="1"/>
    <col min="54" max="55" width="10.109375" style="40" hidden="1" customWidth="1"/>
    <col min="56" max="56" width="9.33203125" style="40" hidden="1" customWidth="1"/>
    <col min="57" max="57" width="12.5546875" style="40" hidden="1" customWidth="1"/>
    <col min="58" max="58" width="10.88671875" style="40" hidden="1" customWidth="1"/>
    <col min="59" max="59" width="9.109375" style="40" hidden="1" customWidth="1"/>
    <col min="60" max="60" width="8" style="40" hidden="1" customWidth="1"/>
    <col min="61" max="61" width="9.44140625" style="40" hidden="1" customWidth="1"/>
    <col min="62" max="62" width="9.6640625" style="40" hidden="1" customWidth="1"/>
    <col min="63" max="63" width="8.88671875" style="40" hidden="1" customWidth="1"/>
    <col min="64" max="64" width="10.33203125" style="40" hidden="1" customWidth="1"/>
    <col min="65" max="65" width="9.33203125" style="40" hidden="1" customWidth="1"/>
    <col min="66" max="66" width="8.5546875" style="40" hidden="1" customWidth="1"/>
    <col min="67" max="67" width="9.6640625" style="40" hidden="1" customWidth="1"/>
    <col min="68" max="69" width="9.5546875" style="40" hidden="1" customWidth="1"/>
    <col min="70" max="70" width="9" style="40" hidden="1" customWidth="1"/>
    <col min="71" max="71" width="8.88671875" style="40" hidden="1" customWidth="1"/>
    <col min="72" max="72" width="9.44140625" style="40" hidden="1" customWidth="1"/>
    <col min="73" max="73" width="11" style="40" hidden="1" customWidth="1"/>
    <col min="74" max="74" width="8.109375" style="40" hidden="1" customWidth="1"/>
    <col min="75" max="75" width="9.33203125" style="40" hidden="1" customWidth="1"/>
    <col min="76" max="76" width="9.109375" style="40" hidden="1" customWidth="1"/>
    <col min="77" max="77" width="8.44140625" style="40" hidden="1" customWidth="1"/>
    <col min="78" max="78" width="9.5546875" style="40" hidden="1" customWidth="1"/>
    <col min="79" max="80" width="9.44140625" style="40" hidden="1" customWidth="1"/>
    <col min="81" max="81" width="9.109375" style="40" hidden="1" customWidth="1"/>
    <col min="82" max="82" width="8.88671875" style="40" hidden="1" customWidth="1"/>
    <col min="83" max="84" width="9.5546875" style="40" customWidth="1"/>
    <col min="85" max="85" width="10.88671875" style="40" customWidth="1"/>
    <col min="86" max="86" width="9.88671875" style="40" customWidth="1"/>
    <col min="87" max="88" width="8" style="40" hidden="1" customWidth="1"/>
    <col min="89" max="89" width="14" style="42" customWidth="1"/>
    <col min="90" max="90" width="13.88671875" style="42" customWidth="1"/>
    <col min="91" max="91" width="9.88671875" style="1" hidden="1" customWidth="1"/>
    <col min="92" max="92" width="9.5546875" style="41" hidden="1" customWidth="1"/>
    <col min="93" max="93" width="10.33203125" style="1" hidden="1" customWidth="1"/>
    <col min="94" max="94" width="11.33203125" style="42" hidden="1" customWidth="1"/>
    <col min="95" max="95" width="9.6640625" style="1" hidden="1" customWidth="1"/>
    <col min="96" max="96" width="12" style="42" hidden="1" customWidth="1"/>
    <col min="97" max="97" width="10.109375" style="1" hidden="1" customWidth="1"/>
    <col min="98" max="98" width="12.6640625" style="42" hidden="1" customWidth="1"/>
    <col min="99" max="99" width="11.33203125" style="1" hidden="1" customWidth="1"/>
    <col min="100" max="100" width="12" style="42" hidden="1" customWidth="1"/>
    <col min="101" max="101" width="9" style="1" customWidth="1"/>
    <col min="102" max="102" width="11.109375" style="42" customWidth="1"/>
    <col min="103" max="103" width="4.6640625" style="1" hidden="1" customWidth="1"/>
    <col min="104" max="104" width="4.6640625" style="42" hidden="1" customWidth="1"/>
    <col min="105" max="105" width="4.6640625" style="1" hidden="1" customWidth="1"/>
    <col min="106" max="106" width="4.6640625" style="42" hidden="1" customWidth="1"/>
    <col min="107" max="107" width="4.6640625" style="1" hidden="1" customWidth="1"/>
    <col min="108" max="108" width="4.6640625" style="42" hidden="1" customWidth="1"/>
    <col min="109" max="109" width="4.6640625" style="1" hidden="1" customWidth="1"/>
    <col min="110" max="110" width="4.6640625" style="42" hidden="1" customWidth="1"/>
    <col min="111" max="111" width="4.6640625" style="1" hidden="1" customWidth="1"/>
    <col min="112" max="112" width="4.6640625" style="42" hidden="1" customWidth="1"/>
    <col min="113" max="113" width="4.6640625" style="1" hidden="1" customWidth="1"/>
    <col min="114" max="114" width="4.6640625" style="42" hidden="1" customWidth="1"/>
    <col min="115" max="115" width="11" style="1" customWidth="1"/>
    <col min="116" max="116" width="11.33203125" style="42" customWidth="1"/>
    <col min="117" max="118" width="10.5546875" style="1"/>
    <col min="119" max="119" width="14.109375" style="1" customWidth="1"/>
    <col min="120" max="120" width="12" style="1" customWidth="1"/>
    <col min="121" max="121" width="20.5546875" style="1" customWidth="1"/>
    <col min="122" max="122" width="21.5546875" style="1" customWidth="1"/>
    <col min="123" max="123" width="13.88671875" style="1" customWidth="1"/>
    <col min="124" max="124" width="13.44140625" style="1" customWidth="1"/>
    <col min="125" max="126" width="12.6640625" style="1" customWidth="1"/>
    <col min="127" max="127" width="13.44140625" style="1" customWidth="1"/>
    <col min="128" max="16384" width="10.5546875" style="1"/>
  </cols>
  <sheetData>
    <row r="1" spans="1:127">
      <c r="A1" s="830" t="s">
        <v>0</v>
      </c>
      <c r="B1" s="830"/>
      <c r="C1" s="830"/>
      <c r="D1" s="830"/>
      <c r="E1" s="830"/>
      <c r="F1" s="830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>
        <f ca="1">+A:BH</f>
        <v>0</v>
      </c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222"/>
      <c r="CL1" s="222"/>
      <c r="CM1" s="222"/>
      <c r="CN1" s="222"/>
      <c r="CO1" s="222"/>
      <c r="CP1" s="222"/>
      <c r="CQ1" s="222"/>
      <c r="CR1" s="222"/>
      <c r="CS1" s="222"/>
      <c r="CT1" s="222"/>
      <c r="CU1" s="222"/>
      <c r="CV1" s="222"/>
      <c r="CW1" s="222"/>
      <c r="CX1" s="222"/>
      <c r="CY1" s="222"/>
      <c r="CZ1" s="222"/>
      <c r="DA1" s="222"/>
      <c r="DB1" s="222"/>
      <c r="DC1" s="222"/>
      <c r="DD1" s="222"/>
      <c r="DE1" s="222"/>
      <c r="DF1" s="222"/>
      <c r="DG1" s="222"/>
      <c r="DH1" s="222"/>
      <c r="DI1" s="222"/>
      <c r="DJ1" s="222"/>
      <c r="DK1" s="222"/>
      <c r="DL1" s="222"/>
      <c r="DM1" s="47"/>
      <c r="DN1" s="47"/>
      <c r="DO1" s="47"/>
      <c r="DP1" s="47"/>
      <c r="DQ1" s="47"/>
      <c r="DR1" s="47"/>
      <c r="DS1" s="832" t="s">
        <v>70</v>
      </c>
      <c r="DT1" s="832"/>
      <c r="DU1" s="832"/>
      <c r="DV1" s="832"/>
      <c r="DW1" s="832" t="s">
        <v>174</v>
      </c>
    </row>
    <row r="2" spans="1:127" ht="18.75" customHeight="1">
      <c r="A2" s="831" t="s">
        <v>1</v>
      </c>
      <c r="B2" s="831" t="s">
        <v>2</v>
      </c>
      <c r="C2" s="831"/>
      <c r="D2" s="829" t="s">
        <v>4</v>
      </c>
      <c r="E2" s="829" t="s">
        <v>5</v>
      </c>
      <c r="F2" s="829" t="s">
        <v>6</v>
      </c>
      <c r="G2" s="827">
        <v>44562</v>
      </c>
      <c r="H2" s="827"/>
      <c r="I2" s="827">
        <v>44593</v>
      </c>
      <c r="J2" s="827"/>
      <c r="K2" s="827">
        <v>44621</v>
      </c>
      <c r="L2" s="827"/>
      <c r="M2" s="827">
        <v>44652</v>
      </c>
      <c r="N2" s="827"/>
      <c r="O2" s="827">
        <v>44682</v>
      </c>
      <c r="P2" s="827"/>
      <c r="Q2" s="827">
        <v>44713</v>
      </c>
      <c r="R2" s="827"/>
      <c r="S2" s="827">
        <v>44743</v>
      </c>
      <c r="T2" s="827"/>
      <c r="U2" s="827">
        <v>44774</v>
      </c>
      <c r="V2" s="827"/>
      <c r="W2" s="827">
        <v>44805</v>
      </c>
      <c r="X2" s="827"/>
      <c r="Y2" s="827">
        <v>44835</v>
      </c>
      <c r="Z2" s="827"/>
      <c r="AA2" s="827">
        <v>44866</v>
      </c>
      <c r="AB2" s="827"/>
      <c r="AC2" s="827">
        <v>44896</v>
      </c>
      <c r="AD2" s="827"/>
      <c r="AE2" s="828" t="s">
        <v>7</v>
      </c>
      <c r="AF2" s="828"/>
      <c r="AG2" s="827">
        <v>44927</v>
      </c>
      <c r="AH2" s="827"/>
      <c r="AI2" s="827">
        <v>44958</v>
      </c>
      <c r="AJ2" s="827"/>
      <c r="AK2" s="827">
        <v>44986</v>
      </c>
      <c r="AL2" s="827"/>
      <c r="AM2" s="827">
        <v>45017</v>
      </c>
      <c r="AN2" s="827"/>
      <c r="AO2" s="827">
        <v>45047</v>
      </c>
      <c r="AP2" s="827"/>
      <c r="AQ2" s="827">
        <v>45078</v>
      </c>
      <c r="AR2" s="827"/>
      <c r="AS2" s="827">
        <v>45108</v>
      </c>
      <c r="AT2" s="827"/>
      <c r="AU2" s="827">
        <v>45139</v>
      </c>
      <c r="AV2" s="827"/>
      <c r="AW2" s="827">
        <v>45170</v>
      </c>
      <c r="AX2" s="827"/>
      <c r="AY2" s="827">
        <v>45200</v>
      </c>
      <c r="AZ2" s="827"/>
      <c r="BA2" s="827">
        <v>45231</v>
      </c>
      <c r="BB2" s="827"/>
      <c r="BC2" s="827">
        <v>45261</v>
      </c>
      <c r="BD2" s="827"/>
      <c r="BE2" s="828" t="s">
        <v>8</v>
      </c>
      <c r="BF2" s="828"/>
      <c r="BG2" s="827">
        <v>45292</v>
      </c>
      <c r="BH2" s="827"/>
      <c r="BI2" s="827">
        <v>45323</v>
      </c>
      <c r="BJ2" s="827"/>
      <c r="BK2" s="827">
        <v>45352</v>
      </c>
      <c r="BL2" s="827"/>
      <c r="BM2" s="827">
        <v>45383</v>
      </c>
      <c r="BN2" s="827"/>
      <c r="BO2" s="827">
        <v>45413</v>
      </c>
      <c r="BP2" s="827"/>
      <c r="BQ2" s="827">
        <v>45444</v>
      </c>
      <c r="BR2" s="827"/>
      <c r="BS2" s="827">
        <v>45474</v>
      </c>
      <c r="BT2" s="827"/>
      <c r="BU2" s="827">
        <v>45505</v>
      </c>
      <c r="BV2" s="827"/>
      <c r="BW2" s="827">
        <v>45536</v>
      </c>
      <c r="BX2" s="827"/>
      <c r="BY2" s="827">
        <v>45566</v>
      </c>
      <c r="BZ2" s="827"/>
      <c r="CA2" s="827">
        <v>45597</v>
      </c>
      <c r="CB2" s="827"/>
      <c r="CC2" s="827">
        <v>45627</v>
      </c>
      <c r="CD2" s="827"/>
      <c r="CE2" s="827" t="s">
        <v>175</v>
      </c>
      <c r="CF2" s="827"/>
      <c r="CG2" s="828" t="s">
        <v>9</v>
      </c>
      <c r="CH2" s="828"/>
      <c r="CI2" s="829" t="s">
        <v>9</v>
      </c>
      <c r="CJ2" s="829"/>
      <c r="CK2" s="65" t="s">
        <v>67</v>
      </c>
      <c r="CL2" s="65" t="s">
        <v>68</v>
      </c>
      <c r="CM2" s="827">
        <v>45658</v>
      </c>
      <c r="CN2" s="827"/>
      <c r="CO2" s="827">
        <v>45689</v>
      </c>
      <c r="CP2" s="827"/>
      <c r="CQ2" s="827">
        <v>45717</v>
      </c>
      <c r="CR2" s="827"/>
      <c r="CS2" s="827">
        <v>45748</v>
      </c>
      <c r="CT2" s="827"/>
      <c r="CU2" s="827">
        <v>45778</v>
      </c>
      <c r="CV2" s="827"/>
      <c r="CW2" s="827">
        <v>45809</v>
      </c>
      <c r="CX2" s="827"/>
      <c r="CY2" s="827">
        <v>45839</v>
      </c>
      <c r="CZ2" s="827"/>
      <c r="DA2" s="827">
        <v>45870</v>
      </c>
      <c r="DB2" s="827"/>
      <c r="DC2" s="827">
        <v>45901</v>
      </c>
      <c r="DD2" s="827"/>
      <c r="DE2" s="827">
        <v>45931</v>
      </c>
      <c r="DF2" s="827"/>
      <c r="DG2" s="827">
        <v>45962</v>
      </c>
      <c r="DH2" s="827"/>
      <c r="DI2" s="827">
        <v>45992</v>
      </c>
      <c r="DJ2" s="827"/>
      <c r="DK2" s="834" t="s">
        <v>10</v>
      </c>
      <c r="DL2" s="834"/>
      <c r="DM2" s="834" t="s">
        <v>161</v>
      </c>
      <c r="DN2" s="834"/>
      <c r="DO2" s="47"/>
      <c r="DP2" s="833" t="s">
        <v>72</v>
      </c>
      <c r="DQ2" s="48" t="s">
        <v>163</v>
      </c>
      <c r="DR2" s="48" t="s">
        <v>74</v>
      </c>
      <c r="DS2" s="832" t="s">
        <v>75</v>
      </c>
      <c r="DT2" s="832"/>
      <c r="DU2" s="49" t="s">
        <v>76</v>
      </c>
      <c r="DV2" s="49"/>
      <c r="DW2" s="832"/>
    </row>
    <row r="3" spans="1:127" ht="18.75" customHeight="1">
      <c r="A3" s="831"/>
      <c r="B3" s="831"/>
      <c r="C3" s="831"/>
      <c r="D3" s="829"/>
      <c r="E3" s="829"/>
      <c r="F3" s="829"/>
      <c r="G3" s="2" t="s">
        <v>11</v>
      </c>
      <c r="H3" s="3" t="s">
        <v>12</v>
      </c>
      <c r="I3" s="2" t="s">
        <v>11</v>
      </c>
      <c r="J3" s="3" t="s">
        <v>12</v>
      </c>
      <c r="K3" s="2" t="s">
        <v>11</v>
      </c>
      <c r="L3" s="3" t="s">
        <v>12</v>
      </c>
      <c r="M3" s="2" t="s">
        <v>11</v>
      </c>
      <c r="N3" s="3" t="s">
        <v>12</v>
      </c>
      <c r="O3" s="2" t="s">
        <v>11</v>
      </c>
      <c r="P3" s="3" t="s">
        <v>12</v>
      </c>
      <c r="Q3" s="2" t="s">
        <v>11</v>
      </c>
      <c r="R3" s="3" t="s">
        <v>12</v>
      </c>
      <c r="S3" s="2" t="s">
        <v>11</v>
      </c>
      <c r="T3" s="3" t="s">
        <v>12</v>
      </c>
      <c r="U3" s="2" t="s">
        <v>11</v>
      </c>
      <c r="V3" s="3" t="s">
        <v>12</v>
      </c>
      <c r="W3" s="2" t="s">
        <v>11</v>
      </c>
      <c r="X3" s="3" t="s">
        <v>12</v>
      </c>
      <c r="Y3" s="2" t="s">
        <v>11</v>
      </c>
      <c r="Z3" s="3" t="s">
        <v>12</v>
      </c>
      <c r="AA3" s="2" t="s">
        <v>11</v>
      </c>
      <c r="AB3" s="3" t="s">
        <v>12</v>
      </c>
      <c r="AC3" s="2" t="s">
        <v>11</v>
      </c>
      <c r="AD3" s="3" t="s">
        <v>12</v>
      </c>
      <c r="AE3" s="4" t="s">
        <v>11</v>
      </c>
      <c r="AF3" s="5" t="s">
        <v>12</v>
      </c>
      <c r="AG3" s="2" t="s">
        <v>11</v>
      </c>
      <c r="AH3" s="3" t="s">
        <v>12</v>
      </c>
      <c r="AI3" s="2" t="s">
        <v>11</v>
      </c>
      <c r="AJ3" s="3" t="s">
        <v>12</v>
      </c>
      <c r="AK3" s="2" t="s">
        <v>11</v>
      </c>
      <c r="AL3" s="3" t="s">
        <v>12</v>
      </c>
      <c r="AM3" s="2" t="s">
        <v>11</v>
      </c>
      <c r="AN3" s="3" t="s">
        <v>12</v>
      </c>
      <c r="AO3" s="2" t="s">
        <v>11</v>
      </c>
      <c r="AP3" s="3" t="s">
        <v>12</v>
      </c>
      <c r="AQ3" s="2" t="s">
        <v>11</v>
      </c>
      <c r="AR3" s="3" t="s">
        <v>12</v>
      </c>
      <c r="AS3" s="2" t="s">
        <v>11</v>
      </c>
      <c r="AT3" s="3" t="s">
        <v>12</v>
      </c>
      <c r="AU3" s="2" t="s">
        <v>11</v>
      </c>
      <c r="AV3" s="3" t="s">
        <v>12</v>
      </c>
      <c r="AW3" s="2" t="s">
        <v>11</v>
      </c>
      <c r="AX3" s="3" t="s">
        <v>12</v>
      </c>
      <c r="AY3" s="2" t="s">
        <v>11</v>
      </c>
      <c r="AZ3" s="3" t="s">
        <v>12</v>
      </c>
      <c r="BA3" s="2" t="s">
        <v>11</v>
      </c>
      <c r="BB3" s="3" t="s">
        <v>12</v>
      </c>
      <c r="BC3" s="2" t="s">
        <v>11</v>
      </c>
      <c r="BD3" s="3" t="s">
        <v>12</v>
      </c>
      <c r="BE3" s="4" t="s">
        <v>11</v>
      </c>
      <c r="BF3" s="5" t="s">
        <v>12</v>
      </c>
      <c r="BG3" s="2" t="s">
        <v>11</v>
      </c>
      <c r="BH3" s="3" t="s">
        <v>12</v>
      </c>
      <c r="BI3" s="2" t="s">
        <v>11</v>
      </c>
      <c r="BJ3" s="3" t="s">
        <v>12</v>
      </c>
      <c r="BK3" s="2" t="s">
        <v>11</v>
      </c>
      <c r="BL3" s="3" t="s">
        <v>12</v>
      </c>
      <c r="BM3" s="2" t="s">
        <v>11</v>
      </c>
      <c r="BN3" s="3" t="s">
        <v>12</v>
      </c>
      <c r="BO3" s="2" t="s">
        <v>11</v>
      </c>
      <c r="BP3" s="3" t="s">
        <v>12</v>
      </c>
      <c r="BQ3" s="2" t="s">
        <v>11</v>
      </c>
      <c r="BR3" s="3" t="s">
        <v>12</v>
      </c>
      <c r="BS3" s="2" t="s">
        <v>11</v>
      </c>
      <c r="BT3" s="3" t="s">
        <v>12</v>
      </c>
      <c r="BU3" s="2" t="s">
        <v>11</v>
      </c>
      <c r="BV3" s="3" t="s">
        <v>12</v>
      </c>
      <c r="BW3" s="2" t="s">
        <v>11</v>
      </c>
      <c r="BX3" s="3" t="s">
        <v>12</v>
      </c>
      <c r="BY3" s="2" t="s">
        <v>11</v>
      </c>
      <c r="BZ3" s="3" t="s">
        <v>12</v>
      </c>
      <c r="CA3" s="2" t="s">
        <v>11</v>
      </c>
      <c r="CB3" s="3" t="s">
        <v>12</v>
      </c>
      <c r="CC3" s="2" t="s">
        <v>11</v>
      </c>
      <c r="CD3" s="3" t="s">
        <v>12</v>
      </c>
      <c r="CE3" s="2" t="s">
        <v>11</v>
      </c>
      <c r="CF3" s="3" t="s">
        <v>12</v>
      </c>
      <c r="CG3" s="4" t="s">
        <v>11</v>
      </c>
      <c r="CH3" s="5" t="s">
        <v>12</v>
      </c>
      <c r="CI3" s="2" t="s">
        <v>11</v>
      </c>
      <c r="CJ3" s="6" t="s">
        <v>12</v>
      </c>
      <c r="CK3" s="66" t="s">
        <v>69</v>
      </c>
      <c r="CL3" s="67" t="s">
        <v>12</v>
      </c>
      <c r="CM3" s="2" t="s">
        <v>11</v>
      </c>
      <c r="CN3" s="6" t="s">
        <v>12</v>
      </c>
      <c r="CO3" s="2" t="s">
        <v>11</v>
      </c>
      <c r="CP3" s="3" t="s">
        <v>12</v>
      </c>
      <c r="CQ3" s="2" t="s">
        <v>11</v>
      </c>
      <c r="CR3" s="3" t="s">
        <v>12</v>
      </c>
      <c r="CS3" s="2" t="s">
        <v>11</v>
      </c>
      <c r="CT3" s="3" t="s">
        <v>12</v>
      </c>
      <c r="CU3" s="2" t="s">
        <v>11</v>
      </c>
      <c r="CV3" s="3" t="s">
        <v>12</v>
      </c>
      <c r="CW3" s="2" t="s">
        <v>11</v>
      </c>
      <c r="CX3" s="3" t="s">
        <v>12</v>
      </c>
      <c r="CY3" s="2" t="s">
        <v>11</v>
      </c>
      <c r="CZ3" s="3" t="s">
        <v>12</v>
      </c>
      <c r="DA3" s="2" t="s">
        <v>11</v>
      </c>
      <c r="DB3" s="3" t="s">
        <v>12</v>
      </c>
      <c r="DC3" s="2" t="s">
        <v>11</v>
      </c>
      <c r="DD3" s="3" t="s">
        <v>12</v>
      </c>
      <c r="DE3" s="2" t="s">
        <v>11</v>
      </c>
      <c r="DF3" s="3" t="s">
        <v>12</v>
      </c>
      <c r="DG3" s="2" t="s">
        <v>11</v>
      </c>
      <c r="DH3" s="3" t="s">
        <v>12</v>
      </c>
      <c r="DI3" s="2" t="s">
        <v>11</v>
      </c>
      <c r="DJ3" s="3" t="s">
        <v>12</v>
      </c>
      <c r="DK3" s="2" t="s">
        <v>11</v>
      </c>
      <c r="DL3" s="3" t="s">
        <v>12</v>
      </c>
      <c r="DM3" s="2" t="s">
        <v>11</v>
      </c>
      <c r="DN3" s="3" t="s">
        <v>12</v>
      </c>
      <c r="DO3" s="50" t="s">
        <v>67</v>
      </c>
      <c r="DP3" s="833"/>
      <c r="DQ3" s="48" t="s">
        <v>69</v>
      </c>
      <c r="DR3" s="48" t="s">
        <v>69</v>
      </c>
      <c r="DS3" s="51" t="s">
        <v>77</v>
      </c>
      <c r="DT3" s="51" t="s">
        <v>162</v>
      </c>
      <c r="DU3" s="51" t="s">
        <v>77</v>
      </c>
      <c r="DV3" s="51" t="s">
        <v>79</v>
      </c>
      <c r="DW3" s="832"/>
    </row>
    <row r="4" spans="1:127">
      <c r="A4" s="7">
        <v>1</v>
      </c>
      <c r="B4" s="8" t="s">
        <v>13</v>
      </c>
      <c r="C4" s="8" t="s">
        <v>14</v>
      </c>
      <c r="D4" s="7">
        <v>0.7</v>
      </c>
      <c r="E4" s="7" t="s">
        <v>15</v>
      </c>
      <c r="F4" s="7">
        <v>1870</v>
      </c>
      <c r="G4" s="9">
        <v>19961</v>
      </c>
      <c r="H4" s="10">
        <f>G4*$D4</f>
        <v>13972.699999999999</v>
      </c>
      <c r="I4" s="9">
        <v>12844</v>
      </c>
      <c r="J4" s="10">
        <f>I4*$D4</f>
        <v>8990.7999999999993</v>
      </c>
      <c r="K4" s="9">
        <v>22152</v>
      </c>
      <c r="L4" s="10">
        <f>K4*$D4</f>
        <v>15506.4</v>
      </c>
      <c r="M4" s="9">
        <v>13368</v>
      </c>
      <c r="N4" s="10">
        <f>M4*$D4</f>
        <v>9357.5999999999985</v>
      </c>
      <c r="O4" s="9">
        <v>13720</v>
      </c>
      <c r="P4" s="10">
        <f>O4*$D4</f>
        <v>9604</v>
      </c>
      <c r="Q4" s="9">
        <v>8880</v>
      </c>
      <c r="R4" s="10">
        <f>Q4*$D4</f>
        <v>6216</v>
      </c>
      <c r="S4" s="9">
        <v>8208</v>
      </c>
      <c r="T4" s="10">
        <f>S4*$D4</f>
        <v>5745.5999999999995</v>
      </c>
      <c r="U4" s="9">
        <v>14127</v>
      </c>
      <c r="V4" s="10">
        <f>U4*$D4</f>
        <v>9888.9</v>
      </c>
      <c r="W4" s="9">
        <v>6948</v>
      </c>
      <c r="X4" s="10">
        <f>W4*$D4</f>
        <v>4863.5999999999995</v>
      </c>
      <c r="Y4" s="9">
        <v>3876</v>
      </c>
      <c r="Z4" s="10">
        <f>Y4*$D4</f>
        <v>2713.2</v>
      </c>
      <c r="AA4" s="9">
        <v>5580</v>
      </c>
      <c r="AB4" s="10">
        <f>AA4*$D4</f>
        <v>3905.9999999999995</v>
      </c>
      <c r="AC4" s="9">
        <v>4932</v>
      </c>
      <c r="AD4" s="10">
        <f>AC4*$D4</f>
        <v>3452.3999999999996</v>
      </c>
      <c r="AE4" s="11">
        <f>(AC4+AA4+Y4+W4+U4+S4+Q4+O4+M4+K4+I4+G4)/12</f>
        <v>11216.333333333334</v>
      </c>
      <c r="AF4" s="12">
        <f>AE4*$D4</f>
        <v>7851.4333333333334</v>
      </c>
      <c r="AG4" s="9">
        <v>6960</v>
      </c>
      <c r="AH4" s="10">
        <f>AG4*$D4</f>
        <v>4872</v>
      </c>
      <c r="AI4" s="9">
        <v>6120</v>
      </c>
      <c r="AJ4" s="10">
        <f>AI4*$D4</f>
        <v>4284</v>
      </c>
      <c r="AK4" s="9">
        <v>4584</v>
      </c>
      <c r="AL4" s="10">
        <f>AK4*$D4</f>
        <v>3208.7999999999997</v>
      </c>
      <c r="AM4" s="9">
        <v>2172</v>
      </c>
      <c r="AN4" s="10">
        <f>AM4*$D4</f>
        <v>1520.3999999999999</v>
      </c>
      <c r="AO4" s="9">
        <v>3288</v>
      </c>
      <c r="AP4" s="10">
        <f>AO4*$D4</f>
        <v>2301.6</v>
      </c>
      <c r="AQ4" s="9">
        <v>3060</v>
      </c>
      <c r="AR4" s="10">
        <f>AQ4*$D4</f>
        <v>2142</v>
      </c>
      <c r="AS4" s="9">
        <v>2472</v>
      </c>
      <c r="AT4" s="10">
        <f>AS4*$D4</f>
        <v>1730.3999999999999</v>
      </c>
      <c r="AU4" s="9">
        <v>2232</v>
      </c>
      <c r="AV4" s="10">
        <f>AU4*$D4</f>
        <v>1562.3999999999999</v>
      </c>
      <c r="AW4" s="9">
        <v>1032</v>
      </c>
      <c r="AX4" s="10">
        <f>AW4*$D4</f>
        <v>722.4</v>
      </c>
      <c r="AY4" s="9">
        <v>2856</v>
      </c>
      <c r="AZ4" s="10">
        <f>AY4*$D4</f>
        <v>1999.1999999999998</v>
      </c>
      <c r="BA4" s="9">
        <v>2235</v>
      </c>
      <c r="BB4" s="10">
        <f>BA4*$D4</f>
        <v>1564.5</v>
      </c>
      <c r="BC4" s="9">
        <v>3036</v>
      </c>
      <c r="BD4" s="10">
        <f>BC4*$D4</f>
        <v>2125.1999999999998</v>
      </c>
      <c r="BE4" s="11">
        <f>(BC4+BA4+AY4+AW4+AU4+AS4+AQ4+AO4+AM4+AK4+AI4+AG4)/12</f>
        <v>3337.25</v>
      </c>
      <c r="BF4" s="12">
        <f>BE4*$D4</f>
        <v>2336.0749999999998</v>
      </c>
      <c r="BG4" s="9">
        <v>2178</v>
      </c>
      <c r="BH4" s="10">
        <f>BG4*$D4</f>
        <v>1524.6</v>
      </c>
      <c r="BI4" s="9">
        <v>2118</v>
      </c>
      <c r="BJ4" s="10">
        <f>BI4*$D4</f>
        <v>1482.6</v>
      </c>
      <c r="BK4" s="9">
        <v>2737</v>
      </c>
      <c r="BL4" s="10">
        <f>BK4*$D4</f>
        <v>1915.8999999999999</v>
      </c>
      <c r="BM4" s="9">
        <v>2268</v>
      </c>
      <c r="BN4" s="10">
        <f>BM4*$D4</f>
        <v>1587.6</v>
      </c>
      <c r="BO4" s="9">
        <v>1992</v>
      </c>
      <c r="BP4" s="10">
        <f>BO4*$D4</f>
        <v>1394.3999999999999</v>
      </c>
      <c r="BQ4" s="9">
        <v>1452</v>
      </c>
      <c r="BR4" s="10">
        <f>BQ4*$D4</f>
        <v>1016.4</v>
      </c>
      <c r="BS4" s="9">
        <v>2598</v>
      </c>
      <c r="BT4" s="10">
        <f>BS4*$D4</f>
        <v>1818.6</v>
      </c>
      <c r="BU4" s="9">
        <v>2496</v>
      </c>
      <c r="BV4" s="10">
        <f>BU4*$D4</f>
        <v>1747.1999999999998</v>
      </c>
      <c r="BW4" s="9">
        <v>1668</v>
      </c>
      <c r="BX4" s="10">
        <f>BW4*$D4</f>
        <v>1167.5999999999999</v>
      </c>
      <c r="BY4" s="9">
        <v>948</v>
      </c>
      <c r="BZ4" s="10">
        <f>BY4*$D4</f>
        <v>663.59999999999991</v>
      </c>
      <c r="CA4" s="9">
        <v>1212</v>
      </c>
      <c r="CB4" s="10">
        <f>CA4*$D4</f>
        <v>848.4</v>
      </c>
      <c r="CC4" s="9">
        <v>3264</v>
      </c>
      <c r="CD4" s="10">
        <f>CC4*$D4</f>
        <v>2284.7999999999997</v>
      </c>
      <c r="CE4" s="19">
        <f>(BG4+BI4+BK4+BM4+BO4+BQ4)/6</f>
        <v>2124.1666666666665</v>
      </c>
      <c r="CF4" s="10">
        <f>(BH4+BJ4+BL4+BN4+BP4+BR4)/6</f>
        <v>1486.9166666666663</v>
      </c>
      <c r="CG4" s="11">
        <f t="shared" ref="CG4:CG35" si="0">(CC4+CA4+BY4+BW4+BU4+BS4+BQ4+BO4+BM4+BK4+BI4+BG4)/12</f>
        <v>2077.5833333333335</v>
      </c>
      <c r="CH4" s="12">
        <f>CG4*$D4</f>
        <v>1454.3083333333334</v>
      </c>
      <c r="CI4" s="13">
        <v>2078</v>
      </c>
      <c r="CJ4" s="243">
        <f>CI4*$D4</f>
        <v>1454.6</v>
      </c>
      <c r="CK4" s="15">
        <f t="shared" ref="CK4:CK36" si="1">CH4/$CH$36%</f>
        <v>0.25799077329188191</v>
      </c>
      <c r="CL4" s="15">
        <v>0.26</v>
      </c>
      <c r="CM4" s="14">
        <v>1308</v>
      </c>
      <c r="CN4" s="10">
        <f>CM4*$D4</f>
        <v>915.59999999999991</v>
      </c>
      <c r="CO4" s="14">
        <v>1860</v>
      </c>
      <c r="CP4" s="15">
        <f>CO4*$D4</f>
        <v>1302</v>
      </c>
      <c r="CQ4" s="14">
        <v>840</v>
      </c>
      <c r="CR4" s="15">
        <f>CQ4*$D4</f>
        <v>588</v>
      </c>
      <c r="CS4" s="14">
        <v>358</v>
      </c>
      <c r="CT4" s="15">
        <f>CS4*$D4</f>
        <v>250.6</v>
      </c>
      <c r="CU4" s="14">
        <v>2640</v>
      </c>
      <c r="CV4" s="15">
        <f>CU4*$D4</f>
        <v>1847.9999999999998</v>
      </c>
      <c r="CW4" s="14">
        <v>696</v>
      </c>
      <c r="CX4" s="15">
        <f>CW4*$D4</f>
        <v>487.2</v>
      </c>
      <c r="CY4" s="14"/>
      <c r="CZ4" s="15">
        <f>CY4*$D4</f>
        <v>0</v>
      </c>
      <c r="DA4" s="14"/>
      <c r="DB4" s="15">
        <f>DA4*$D4</f>
        <v>0</v>
      </c>
      <c r="DC4" s="14"/>
      <c r="DD4" s="15">
        <f>DC4*$D4</f>
        <v>0</v>
      </c>
      <c r="DE4" s="14"/>
      <c r="DF4" s="15">
        <f>DE4*$D4</f>
        <v>0</v>
      </c>
      <c r="DG4" s="14"/>
      <c r="DH4" s="15">
        <f>DG4*$D4</f>
        <v>0</v>
      </c>
      <c r="DI4" s="14">
        <v>0</v>
      </c>
      <c r="DJ4" s="15">
        <f>DI4*$D4</f>
        <v>0</v>
      </c>
      <c r="DK4" s="16">
        <f t="shared" ref="DK4:DK25" si="2">SUM(CM4,CO4,CQ4,CS4,CU4,CW4,CY4,DA4,DC4,DE4,DG4,DI4)</f>
        <v>7702</v>
      </c>
      <c r="DL4" s="17">
        <f t="shared" ref="DL4:DL25" si="3">SUM(CN4,CP4,CR4,CT4,CV4,CX4,CZ4,DB4,DD4,DF4,DH4,DJ4)</f>
        <v>5391.4</v>
      </c>
      <c r="DM4" s="68">
        <f>DK4/6</f>
        <v>1283.6666666666667</v>
      </c>
      <c r="DN4" s="68">
        <f>DL4/6</f>
        <v>898.56666666666661</v>
      </c>
      <c r="DO4" s="69">
        <f t="shared" ref="DO4:DO36" si="4">DN4/$DN$36%</f>
        <v>0.15279943362237464</v>
      </c>
      <c r="DP4" s="70">
        <f t="shared" ref="DP4" si="5">DO4-CK4</f>
        <v>-0.10519133966950728</v>
      </c>
      <c r="DQ4" s="71">
        <f>DN4/CF4*100-100</f>
        <v>-39.568458218909363</v>
      </c>
      <c r="DR4" s="71">
        <f>DN4/CH4*100-100</f>
        <v>-38.2134691749228</v>
      </c>
      <c r="DS4" s="71">
        <f>DN4-CH4</f>
        <v>-555.74166666666679</v>
      </c>
      <c r="DT4" s="71">
        <f>DN4-CF4</f>
        <v>-588.34999999999968</v>
      </c>
      <c r="DU4" s="71">
        <f t="shared" ref="DU4" si="6">DS4/14</f>
        <v>-39.69583333333334</v>
      </c>
      <c r="DV4" s="71">
        <f t="shared" ref="DV4" si="7">DT4/14</f>
        <v>-42.024999999999977</v>
      </c>
      <c r="DW4" s="71">
        <f t="shared" ref="DW4" si="8">DV4*6</f>
        <v>-252.14999999999986</v>
      </c>
    </row>
    <row r="5" spans="1:127">
      <c r="A5" s="7">
        <v>2</v>
      </c>
      <c r="B5" s="8" t="s">
        <v>17</v>
      </c>
      <c r="C5" s="8" t="s">
        <v>16</v>
      </c>
      <c r="D5" s="7">
        <v>1</v>
      </c>
      <c r="E5" s="7" t="s">
        <v>15</v>
      </c>
      <c r="F5" s="7">
        <v>1580</v>
      </c>
      <c r="G5" s="9">
        <v>972</v>
      </c>
      <c r="H5" s="10">
        <f t="shared" ref="H5:H20" si="9">G5*$D5</f>
        <v>972</v>
      </c>
      <c r="I5" s="9">
        <v>468</v>
      </c>
      <c r="J5" s="10">
        <f t="shared" ref="J5:J20" si="10">I5*$D5</f>
        <v>468</v>
      </c>
      <c r="K5" s="9"/>
      <c r="L5" s="10">
        <f t="shared" ref="L5:L20" si="11">K5*$D5</f>
        <v>0</v>
      </c>
      <c r="M5" s="9">
        <v>420</v>
      </c>
      <c r="N5" s="10">
        <f t="shared" ref="N5:N20" si="12">M5*$D5</f>
        <v>420</v>
      </c>
      <c r="O5" s="9">
        <v>600</v>
      </c>
      <c r="P5" s="10">
        <f t="shared" ref="P5:P20" si="13">O5*$D5</f>
        <v>600</v>
      </c>
      <c r="Q5" s="9"/>
      <c r="R5" s="10">
        <f t="shared" ref="R5:R20" si="14">Q5*$D5</f>
        <v>0</v>
      </c>
      <c r="S5" s="9"/>
      <c r="T5" s="10">
        <f t="shared" ref="T5:T20" si="15">S5*$D5</f>
        <v>0</v>
      </c>
      <c r="U5" s="9">
        <v>420</v>
      </c>
      <c r="V5" s="10">
        <f t="shared" ref="V5:V20" si="16">U5*$D5</f>
        <v>420</v>
      </c>
      <c r="W5" s="9">
        <v>288</v>
      </c>
      <c r="X5" s="10">
        <f t="shared" ref="X5:X20" si="17">W5*$D5</f>
        <v>288</v>
      </c>
      <c r="Y5" s="9">
        <v>180</v>
      </c>
      <c r="Z5" s="10">
        <f t="shared" ref="Z5:Z20" si="18">Y5*$D5</f>
        <v>180</v>
      </c>
      <c r="AA5" s="9"/>
      <c r="AB5" s="10">
        <f t="shared" ref="AB5:AB20" si="19">AA5*$D5</f>
        <v>0</v>
      </c>
      <c r="AC5" s="9">
        <v>120</v>
      </c>
      <c r="AD5" s="10">
        <f t="shared" ref="AD5:AD20" si="20">AC5*$D5</f>
        <v>120</v>
      </c>
      <c r="AE5" s="11">
        <f t="shared" ref="AE5:AE20" si="21">(AC5+AA5+Y5+W5+U5+S5+Q5+O5+M5+K5+I5+G5)/12</f>
        <v>289</v>
      </c>
      <c r="AF5" s="12">
        <f t="shared" ref="AF5:AF20" si="22">AE5*$D5</f>
        <v>289</v>
      </c>
      <c r="AG5" s="9">
        <v>120</v>
      </c>
      <c r="AH5" s="10">
        <f t="shared" ref="AH5:AH20" si="23">AG5*$D5</f>
        <v>120</v>
      </c>
      <c r="AI5" s="9"/>
      <c r="AJ5" s="10">
        <f t="shared" ref="AJ5:AJ20" si="24">AI5*$D5</f>
        <v>0</v>
      </c>
      <c r="AK5" s="9">
        <v>60</v>
      </c>
      <c r="AL5" s="10">
        <f t="shared" ref="AL5:AL20" si="25">AK5*$D5</f>
        <v>60</v>
      </c>
      <c r="AM5" s="9"/>
      <c r="AN5" s="10">
        <f t="shared" ref="AN5:AN20" si="26">AM5*$D5</f>
        <v>0</v>
      </c>
      <c r="AO5" s="9">
        <v>300</v>
      </c>
      <c r="AP5" s="10">
        <f t="shared" ref="AP5:AP20" si="27">AO5*$D5</f>
        <v>300</v>
      </c>
      <c r="AQ5" s="9"/>
      <c r="AR5" s="10">
        <f t="shared" ref="AR5:AR20" si="28">AQ5*$D5</f>
        <v>0</v>
      </c>
      <c r="AS5" s="9"/>
      <c r="AT5" s="10">
        <f t="shared" ref="AT5:AT20" si="29">AS5*$D5</f>
        <v>0</v>
      </c>
      <c r="AU5" s="9"/>
      <c r="AV5" s="10">
        <f t="shared" ref="AV5:AV20" si="30">AU5*$D5</f>
        <v>0</v>
      </c>
      <c r="AW5" s="9">
        <v>180</v>
      </c>
      <c r="AX5" s="10">
        <f t="shared" ref="AX5:AX20" si="31">AW5*$D5</f>
        <v>180</v>
      </c>
      <c r="AY5" s="9">
        <v>12</v>
      </c>
      <c r="AZ5" s="10">
        <f t="shared" ref="AZ5:AZ20" si="32">AY5*$D5</f>
        <v>12</v>
      </c>
      <c r="BA5" s="9">
        <v>828</v>
      </c>
      <c r="BB5" s="10">
        <f t="shared" ref="BB5:BB20" si="33">BA5*$D5</f>
        <v>828</v>
      </c>
      <c r="BC5" s="9">
        <v>600</v>
      </c>
      <c r="BD5" s="10">
        <f t="shared" ref="BD5:BD20" si="34">BC5*$D5</f>
        <v>600</v>
      </c>
      <c r="BE5" s="11">
        <f t="shared" ref="BE5:BE20" si="35">(BC5+BA5+AY5+AW5+AU5+AS5+AQ5+AO5+AM5+AK5+AI5+AG5)/12</f>
        <v>175</v>
      </c>
      <c r="BF5" s="12">
        <f t="shared" ref="BF5:BF20" si="36">BE5*$D5</f>
        <v>175</v>
      </c>
      <c r="BG5" s="9"/>
      <c r="BH5" s="10">
        <f t="shared" ref="BH5:BH20" si="37">BG5*$D5</f>
        <v>0</v>
      </c>
      <c r="BI5" s="9">
        <v>240</v>
      </c>
      <c r="BJ5" s="10">
        <f t="shared" ref="BJ5:BJ20" si="38">BI5*$D5</f>
        <v>240</v>
      </c>
      <c r="BK5" s="9"/>
      <c r="BL5" s="10">
        <f t="shared" ref="BL5:BL20" si="39">BK5*$D5</f>
        <v>0</v>
      </c>
      <c r="BM5" s="9"/>
      <c r="BN5" s="10">
        <f t="shared" ref="BN5:BN20" si="40">BM5*$D5</f>
        <v>0</v>
      </c>
      <c r="BO5" s="9">
        <v>660</v>
      </c>
      <c r="BP5" s="10">
        <f t="shared" ref="BP5:BP20" si="41">BO5*$D5</f>
        <v>660</v>
      </c>
      <c r="BQ5" s="9"/>
      <c r="BR5" s="10">
        <f t="shared" ref="BR5:BR20" si="42">BQ5*$D5</f>
        <v>0</v>
      </c>
      <c r="BS5" s="9"/>
      <c r="BT5" s="10">
        <f t="shared" ref="BT5:BT20" si="43">BS5*$D5</f>
        <v>0</v>
      </c>
      <c r="BU5" s="9"/>
      <c r="BV5" s="10">
        <f t="shared" ref="BV5:BV20" si="44">BU5*$D5</f>
        <v>0</v>
      </c>
      <c r="BW5" s="9"/>
      <c r="BX5" s="10">
        <f t="shared" ref="BX5:BX20" si="45">BW5*$D5</f>
        <v>0</v>
      </c>
      <c r="BY5" s="9"/>
      <c r="BZ5" s="10">
        <f t="shared" ref="BZ5:BZ20" si="46">BY5*$D5</f>
        <v>0</v>
      </c>
      <c r="CA5" s="9"/>
      <c r="CB5" s="10">
        <f t="shared" ref="CB5:CB20" si="47">CA5*$D5</f>
        <v>0</v>
      </c>
      <c r="CC5" s="9"/>
      <c r="CD5" s="10">
        <f t="shared" ref="CD5:CD20" si="48">CC5*$D5</f>
        <v>0</v>
      </c>
      <c r="CE5" s="19">
        <f t="shared" ref="CE5:CE36" si="49">(BG5+BI5+BK5+BM5+BO5+BQ5)/6</f>
        <v>150</v>
      </c>
      <c r="CF5" s="10">
        <f t="shared" ref="CF5:CF36" si="50">(BH5+BJ5+BL5+BN5+BP5+BR5)/6</f>
        <v>150</v>
      </c>
      <c r="CG5" s="11">
        <f t="shared" si="0"/>
        <v>75</v>
      </c>
      <c r="CH5" s="12">
        <f t="shared" ref="CH5:CH20" si="51">CG5*$D5</f>
        <v>75</v>
      </c>
      <c r="CI5" s="13">
        <v>75</v>
      </c>
      <c r="CJ5" s="10">
        <f t="shared" ref="CJ5:CN21" si="52">CI5*$D5</f>
        <v>75</v>
      </c>
      <c r="CK5" s="15">
        <f t="shared" si="1"/>
        <v>1.3304818210414671E-2</v>
      </c>
      <c r="CL5" s="15"/>
      <c r="CM5" s="14"/>
      <c r="CN5" s="10">
        <f t="shared" si="52"/>
        <v>0</v>
      </c>
      <c r="CO5" s="14"/>
      <c r="CP5" s="15">
        <f t="shared" ref="CP5:CR20" si="53">CO5*$D5</f>
        <v>0</v>
      </c>
      <c r="CQ5" s="14"/>
      <c r="CR5" s="15">
        <f t="shared" si="53"/>
        <v>0</v>
      </c>
      <c r="CS5" s="14"/>
      <c r="CT5" s="15">
        <f t="shared" ref="CT5:CT20" si="54">CS5*$D5</f>
        <v>0</v>
      </c>
      <c r="CU5" s="14"/>
      <c r="CV5" s="15">
        <f t="shared" ref="CV5:CV20" si="55">CU5*$D5</f>
        <v>0</v>
      </c>
      <c r="CW5" s="14"/>
      <c r="CX5" s="15">
        <f t="shared" ref="CX5:CX20" si="56">CW5*$D5</f>
        <v>0</v>
      </c>
      <c r="CY5" s="14"/>
      <c r="CZ5" s="15">
        <f t="shared" ref="CZ5:CZ20" si="57">CY5*$D5</f>
        <v>0</v>
      </c>
      <c r="DA5" s="14"/>
      <c r="DB5" s="15">
        <f t="shared" ref="DB5:DB20" si="58">DA5*$D5</f>
        <v>0</v>
      </c>
      <c r="DC5" s="14"/>
      <c r="DD5" s="15">
        <f t="shared" ref="DD5:DD20" si="59">DC5*$D5</f>
        <v>0</v>
      </c>
      <c r="DE5" s="14"/>
      <c r="DF5" s="15">
        <f t="shared" ref="DF5:DF20" si="60">DE5*$D5</f>
        <v>0</v>
      </c>
      <c r="DG5" s="14"/>
      <c r="DH5" s="15">
        <f t="shared" ref="DH5:DH20" si="61">DG5*$D5</f>
        <v>0</v>
      </c>
      <c r="DI5" s="14"/>
      <c r="DJ5" s="15">
        <f t="shared" ref="DJ5:DJ20" si="62">DI5*$D5</f>
        <v>0</v>
      </c>
      <c r="DK5" s="16">
        <f t="shared" si="2"/>
        <v>0</v>
      </c>
      <c r="DL5" s="17">
        <f t="shared" si="3"/>
        <v>0</v>
      </c>
      <c r="DM5" s="68">
        <f t="shared" ref="DM5:DM35" si="63">DK5/6</f>
        <v>0</v>
      </c>
      <c r="DN5" s="68">
        <f t="shared" ref="DN5:DN35" si="64">DL5/6</f>
        <v>0</v>
      </c>
      <c r="DO5" s="69">
        <f t="shared" si="4"/>
        <v>0</v>
      </c>
      <c r="DP5" s="70">
        <f t="shared" ref="DP5:DP52" si="65">DO5-CK5</f>
        <v>-1.3304818210414671E-2</v>
      </c>
      <c r="DQ5" s="71">
        <f t="shared" ref="DQ5:DQ52" si="66">DN5/CF5*100-100</f>
        <v>-100</v>
      </c>
      <c r="DR5" s="71">
        <f t="shared" ref="DR5:DR52" si="67">DN5/CH5*100-100</f>
        <v>-100</v>
      </c>
      <c r="DS5" s="71">
        <f>DN5-CH5</f>
        <v>-75</v>
      </c>
      <c r="DT5" s="71">
        <f t="shared" ref="DT5:DT36" si="68">DN5-CF5</f>
        <v>-150</v>
      </c>
      <c r="DU5" s="71">
        <f t="shared" ref="DU5:DU36" si="69">DS5/14</f>
        <v>-5.3571428571428568</v>
      </c>
      <c r="DV5" s="71">
        <f t="shared" ref="DV5:DV36" si="70">DT5/14</f>
        <v>-10.714285714285714</v>
      </c>
      <c r="DW5" s="71">
        <f t="shared" ref="DW5:DW35" si="71">DV5*6</f>
        <v>-64.285714285714278</v>
      </c>
    </row>
    <row r="6" spans="1:127">
      <c r="A6" s="7">
        <v>3</v>
      </c>
      <c r="B6" s="8" t="s">
        <v>19</v>
      </c>
      <c r="C6" s="8" t="s">
        <v>14</v>
      </c>
      <c r="D6" s="7">
        <v>0.64</v>
      </c>
      <c r="E6" s="7" t="s">
        <v>20</v>
      </c>
      <c r="F6" s="7">
        <v>1230</v>
      </c>
      <c r="G6" s="9"/>
      <c r="H6" s="10">
        <f t="shared" si="9"/>
        <v>0</v>
      </c>
      <c r="I6" s="9"/>
      <c r="J6" s="10">
        <f t="shared" si="10"/>
        <v>0</v>
      </c>
      <c r="K6" s="9"/>
      <c r="L6" s="10">
        <f t="shared" si="11"/>
        <v>0</v>
      </c>
      <c r="M6" s="9"/>
      <c r="N6" s="10">
        <f t="shared" si="12"/>
        <v>0</v>
      </c>
      <c r="O6" s="9"/>
      <c r="P6" s="10">
        <f t="shared" si="13"/>
        <v>0</v>
      </c>
      <c r="Q6" s="9"/>
      <c r="R6" s="10">
        <f t="shared" si="14"/>
        <v>0</v>
      </c>
      <c r="S6" s="9"/>
      <c r="T6" s="10">
        <f t="shared" si="15"/>
        <v>0</v>
      </c>
      <c r="U6" s="9"/>
      <c r="V6" s="10">
        <f t="shared" si="16"/>
        <v>0</v>
      </c>
      <c r="W6" s="9"/>
      <c r="X6" s="10">
        <f t="shared" si="17"/>
        <v>0</v>
      </c>
      <c r="Y6" s="9"/>
      <c r="Z6" s="10">
        <f t="shared" si="18"/>
        <v>0</v>
      </c>
      <c r="AA6" s="9"/>
      <c r="AB6" s="10">
        <f t="shared" si="19"/>
        <v>0</v>
      </c>
      <c r="AC6" s="9"/>
      <c r="AD6" s="10">
        <f t="shared" si="20"/>
        <v>0</v>
      </c>
      <c r="AE6" s="11">
        <f t="shared" si="21"/>
        <v>0</v>
      </c>
      <c r="AF6" s="12">
        <f t="shared" si="22"/>
        <v>0</v>
      </c>
      <c r="AG6" s="9"/>
      <c r="AH6" s="10">
        <f t="shared" si="23"/>
        <v>0</v>
      </c>
      <c r="AI6" s="9"/>
      <c r="AJ6" s="10">
        <f t="shared" si="24"/>
        <v>0</v>
      </c>
      <c r="AK6" s="9"/>
      <c r="AL6" s="10">
        <f t="shared" si="25"/>
        <v>0</v>
      </c>
      <c r="AM6" s="9"/>
      <c r="AN6" s="10">
        <f t="shared" si="26"/>
        <v>0</v>
      </c>
      <c r="AO6" s="9"/>
      <c r="AP6" s="10">
        <f t="shared" si="27"/>
        <v>0</v>
      </c>
      <c r="AQ6" s="9"/>
      <c r="AR6" s="10">
        <f t="shared" si="28"/>
        <v>0</v>
      </c>
      <c r="AS6" s="9"/>
      <c r="AT6" s="10">
        <f t="shared" si="29"/>
        <v>0</v>
      </c>
      <c r="AU6" s="9"/>
      <c r="AV6" s="10">
        <f t="shared" si="30"/>
        <v>0</v>
      </c>
      <c r="AW6" s="9"/>
      <c r="AX6" s="10">
        <f t="shared" si="31"/>
        <v>0</v>
      </c>
      <c r="AY6" s="9"/>
      <c r="AZ6" s="10">
        <f t="shared" si="32"/>
        <v>0</v>
      </c>
      <c r="BA6" s="9"/>
      <c r="BB6" s="10">
        <f t="shared" si="33"/>
        <v>0</v>
      </c>
      <c r="BC6" s="9"/>
      <c r="BD6" s="10">
        <f t="shared" si="34"/>
        <v>0</v>
      </c>
      <c r="BE6" s="11">
        <f t="shared" si="35"/>
        <v>0</v>
      </c>
      <c r="BF6" s="12">
        <f t="shared" si="36"/>
        <v>0</v>
      </c>
      <c r="BG6" s="9">
        <v>175070</v>
      </c>
      <c r="BH6" s="10">
        <f t="shared" si="37"/>
        <v>112044.8</v>
      </c>
      <c r="BI6" s="9">
        <v>155676</v>
      </c>
      <c r="BJ6" s="10">
        <f t="shared" si="38"/>
        <v>99632.639999999999</v>
      </c>
      <c r="BK6" s="9">
        <v>162568</v>
      </c>
      <c r="BL6" s="10">
        <f t="shared" si="39"/>
        <v>104043.52</v>
      </c>
      <c r="BM6" s="9">
        <v>148862</v>
      </c>
      <c r="BN6" s="10">
        <f t="shared" si="40"/>
        <v>95271.680000000008</v>
      </c>
      <c r="BO6" s="9">
        <v>160404</v>
      </c>
      <c r="BP6" s="10">
        <f t="shared" si="41"/>
        <v>102658.56</v>
      </c>
      <c r="BQ6" s="9">
        <v>149233</v>
      </c>
      <c r="BR6" s="10">
        <f t="shared" si="42"/>
        <v>95509.119999999995</v>
      </c>
      <c r="BS6" s="9">
        <v>157353</v>
      </c>
      <c r="BT6" s="10">
        <f t="shared" si="43"/>
        <v>100705.92</v>
      </c>
      <c r="BU6" s="9">
        <v>179116</v>
      </c>
      <c r="BV6" s="10">
        <f t="shared" si="44"/>
        <v>114634.24000000001</v>
      </c>
      <c r="BW6" s="9">
        <v>170683</v>
      </c>
      <c r="BX6" s="10">
        <f t="shared" si="45"/>
        <v>109237.12</v>
      </c>
      <c r="BY6" s="9">
        <v>185136</v>
      </c>
      <c r="BZ6" s="10">
        <f t="shared" si="46"/>
        <v>118487.04000000001</v>
      </c>
      <c r="CA6" s="9">
        <v>155498</v>
      </c>
      <c r="CB6" s="10">
        <f t="shared" si="47"/>
        <v>99518.720000000001</v>
      </c>
      <c r="CC6" s="9">
        <v>193405</v>
      </c>
      <c r="CD6" s="10">
        <f t="shared" si="48"/>
        <v>123779.2</v>
      </c>
      <c r="CE6" s="19">
        <f t="shared" si="49"/>
        <v>158635.5</v>
      </c>
      <c r="CF6" s="10">
        <f t="shared" si="50"/>
        <v>101526.72000000002</v>
      </c>
      <c r="CG6" s="11">
        <f t="shared" si="0"/>
        <v>166083.66666666666</v>
      </c>
      <c r="CH6" s="12">
        <f t="shared" si="51"/>
        <v>106293.54666666666</v>
      </c>
      <c r="CI6" s="13">
        <v>166084</v>
      </c>
      <c r="CJ6" s="10">
        <f t="shared" si="52"/>
        <v>106293.76000000001</v>
      </c>
      <c r="CK6" s="15">
        <f t="shared" si="1"/>
        <v>18.856217537869711</v>
      </c>
      <c r="CL6" s="15">
        <v>18.87</v>
      </c>
      <c r="CM6" s="14">
        <v>179189</v>
      </c>
      <c r="CN6" s="10">
        <f t="shared" si="52"/>
        <v>114680.96000000001</v>
      </c>
      <c r="CO6" s="14">
        <v>156743</v>
      </c>
      <c r="CP6" s="15">
        <f t="shared" si="53"/>
        <v>100315.52</v>
      </c>
      <c r="CQ6" s="14">
        <v>209757</v>
      </c>
      <c r="CR6" s="15">
        <f t="shared" si="53"/>
        <v>134244.48000000001</v>
      </c>
      <c r="CS6" s="14">
        <v>163352</v>
      </c>
      <c r="CT6" s="15">
        <f t="shared" si="54"/>
        <v>104545.28</v>
      </c>
      <c r="CU6" s="14">
        <v>167668</v>
      </c>
      <c r="CV6" s="15">
        <f t="shared" si="55"/>
        <v>107307.52</v>
      </c>
      <c r="CW6" s="14">
        <v>169518</v>
      </c>
      <c r="CX6" s="15">
        <f t="shared" si="56"/>
        <v>108491.52</v>
      </c>
      <c r="CY6" s="14"/>
      <c r="CZ6" s="15">
        <f t="shared" si="57"/>
        <v>0</v>
      </c>
      <c r="DA6" s="14"/>
      <c r="DB6" s="15">
        <f t="shared" si="58"/>
        <v>0</v>
      </c>
      <c r="DC6" s="14"/>
      <c r="DD6" s="15">
        <f t="shared" si="59"/>
        <v>0</v>
      </c>
      <c r="DE6" s="14"/>
      <c r="DF6" s="15">
        <f t="shared" si="60"/>
        <v>0</v>
      </c>
      <c r="DG6" s="14"/>
      <c r="DH6" s="15">
        <f t="shared" si="61"/>
        <v>0</v>
      </c>
      <c r="DI6" s="14"/>
      <c r="DJ6" s="15">
        <f t="shared" si="62"/>
        <v>0</v>
      </c>
      <c r="DK6" s="16">
        <f t="shared" si="2"/>
        <v>1046227</v>
      </c>
      <c r="DL6" s="17">
        <f t="shared" si="3"/>
        <v>669585.28</v>
      </c>
      <c r="DM6" s="68">
        <f t="shared" si="63"/>
        <v>174371.16666666666</v>
      </c>
      <c r="DN6" s="68">
        <f t="shared" si="64"/>
        <v>111597.54666666668</v>
      </c>
      <c r="DO6" s="69">
        <f t="shared" si="4"/>
        <v>18.976935776584774</v>
      </c>
      <c r="DP6" s="70">
        <f t="shared" si="65"/>
        <v>0.12071823871506382</v>
      </c>
      <c r="DQ6" s="71">
        <f t="shared" si="66"/>
        <v>9.9193854254984899</v>
      </c>
      <c r="DR6" s="71">
        <f t="shared" si="67"/>
        <v>4.9899548621076661</v>
      </c>
      <c r="DS6" s="71">
        <f t="shared" ref="DS6:DS36" si="72">DN6-CH6</f>
        <v>5304.0000000000146</v>
      </c>
      <c r="DT6" s="71">
        <f t="shared" si="68"/>
        <v>10070.82666666666</v>
      </c>
      <c r="DU6" s="71">
        <f t="shared" si="69"/>
        <v>378.85714285714391</v>
      </c>
      <c r="DV6" s="71">
        <f t="shared" si="70"/>
        <v>719.34476190476141</v>
      </c>
      <c r="DW6" s="71">
        <f t="shared" si="71"/>
        <v>4316.0685714285682</v>
      </c>
    </row>
    <row r="7" spans="1:127">
      <c r="A7" s="7">
        <v>4</v>
      </c>
      <c r="B7" s="8" t="s">
        <v>21</v>
      </c>
      <c r="C7" s="8" t="s">
        <v>16</v>
      </c>
      <c r="D7" s="7">
        <v>1</v>
      </c>
      <c r="E7" s="7" t="s">
        <v>15</v>
      </c>
      <c r="F7" s="7">
        <v>1530</v>
      </c>
      <c r="G7" s="9">
        <v>8475</v>
      </c>
      <c r="H7" s="10">
        <f t="shared" si="9"/>
        <v>8475</v>
      </c>
      <c r="I7" s="9">
        <v>7344</v>
      </c>
      <c r="J7" s="10">
        <f t="shared" si="10"/>
        <v>7344</v>
      </c>
      <c r="K7" s="9">
        <v>14040</v>
      </c>
      <c r="L7" s="10">
        <f t="shared" si="11"/>
        <v>14040</v>
      </c>
      <c r="M7" s="9">
        <v>10788</v>
      </c>
      <c r="N7" s="10">
        <f t="shared" si="12"/>
        <v>10788</v>
      </c>
      <c r="O7" s="9">
        <v>5844</v>
      </c>
      <c r="P7" s="10">
        <f t="shared" si="13"/>
        <v>5844</v>
      </c>
      <c r="Q7" s="9">
        <v>7104</v>
      </c>
      <c r="R7" s="10">
        <f t="shared" si="14"/>
        <v>7104</v>
      </c>
      <c r="S7" s="9">
        <v>10047</v>
      </c>
      <c r="T7" s="10">
        <f t="shared" si="15"/>
        <v>10047</v>
      </c>
      <c r="U7" s="9">
        <v>12900</v>
      </c>
      <c r="V7" s="10">
        <f t="shared" si="16"/>
        <v>12900</v>
      </c>
      <c r="W7" s="9">
        <v>8244</v>
      </c>
      <c r="X7" s="10">
        <f t="shared" si="17"/>
        <v>8244</v>
      </c>
      <c r="Y7" s="9">
        <v>9120</v>
      </c>
      <c r="Z7" s="10">
        <f t="shared" si="18"/>
        <v>9120</v>
      </c>
      <c r="AA7" s="9">
        <v>13236</v>
      </c>
      <c r="AB7" s="10">
        <f t="shared" si="19"/>
        <v>13236</v>
      </c>
      <c r="AC7" s="9">
        <v>10632</v>
      </c>
      <c r="AD7" s="10">
        <f t="shared" si="20"/>
        <v>10632</v>
      </c>
      <c r="AE7" s="11">
        <f t="shared" si="21"/>
        <v>9814.5</v>
      </c>
      <c r="AF7" s="12">
        <f t="shared" si="22"/>
        <v>9814.5</v>
      </c>
      <c r="AG7" s="9">
        <v>12312</v>
      </c>
      <c r="AH7" s="10">
        <f t="shared" si="23"/>
        <v>12312</v>
      </c>
      <c r="AI7" s="9">
        <v>6684</v>
      </c>
      <c r="AJ7" s="10">
        <f t="shared" si="24"/>
        <v>6684</v>
      </c>
      <c r="AK7" s="9">
        <v>12432</v>
      </c>
      <c r="AL7" s="10">
        <f t="shared" si="25"/>
        <v>12432</v>
      </c>
      <c r="AM7" s="9">
        <v>12108</v>
      </c>
      <c r="AN7" s="10">
        <f t="shared" si="26"/>
        <v>12108</v>
      </c>
      <c r="AO7" s="9">
        <v>12456</v>
      </c>
      <c r="AP7" s="10">
        <f t="shared" si="27"/>
        <v>12456</v>
      </c>
      <c r="AQ7" s="9">
        <v>13150</v>
      </c>
      <c r="AR7" s="10">
        <f t="shared" si="28"/>
        <v>13150</v>
      </c>
      <c r="AS7" s="9">
        <v>15358</v>
      </c>
      <c r="AT7" s="10">
        <f t="shared" si="29"/>
        <v>15358</v>
      </c>
      <c r="AU7" s="9">
        <v>10075</v>
      </c>
      <c r="AV7" s="10">
        <f t="shared" si="30"/>
        <v>10075</v>
      </c>
      <c r="AW7" s="9">
        <v>13018</v>
      </c>
      <c r="AX7" s="10">
        <f t="shared" si="31"/>
        <v>13018</v>
      </c>
      <c r="AY7" s="9">
        <v>10356</v>
      </c>
      <c r="AZ7" s="10">
        <f t="shared" si="32"/>
        <v>10356</v>
      </c>
      <c r="BA7" s="9">
        <v>16800</v>
      </c>
      <c r="BB7" s="10">
        <f t="shared" si="33"/>
        <v>16800</v>
      </c>
      <c r="BC7" s="9">
        <v>16884</v>
      </c>
      <c r="BD7" s="10">
        <f t="shared" si="34"/>
        <v>16884</v>
      </c>
      <c r="BE7" s="11">
        <f t="shared" si="35"/>
        <v>12636.083333333334</v>
      </c>
      <c r="BF7" s="12">
        <f t="shared" si="36"/>
        <v>12636.083333333334</v>
      </c>
      <c r="BG7" s="9">
        <v>15300</v>
      </c>
      <c r="BH7" s="10">
        <f t="shared" si="37"/>
        <v>15300</v>
      </c>
      <c r="BI7" s="9">
        <v>13344</v>
      </c>
      <c r="BJ7" s="10">
        <f t="shared" si="38"/>
        <v>13344</v>
      </c>
      <c r="BK7" s="9">
        <v>11724</v>
      </c>
      <c r="BL7" s="10">
        <f t="shared" si="39"/>
        <v>11724</v>
      </c>
      <c r="BM7" s="9">
        <v>18996</v>
      </c>
      <c r="BN7" s="10">
        <f t="shared" si="40"/>
        <v>18996</v>
      </c>
      <c r="BO7" s="9">
        <v>9228</v>
      </c>
      <c r="BP7" s="10">
        <f t="shared" si="41"/>
        <v>9228</v>
      </c>
      <c r="BQ7" s="9">
        <v>13296</v>
      </c>
      <c r="BR7" s="10">
        <f t="shared" si="42"/>
        <v>13296</v>
      </c>
      <c r="BS7" s="9">
        <v>18504</v>
      </c>
      <c r="BT7" s="10">
        <f t="shared" si="43"/>
        <v>18504</v>
      </c>
      <c r="BU7" s="9">
        <v>21840</v>
      </c>
      <c r="BV7" s="10">
        <f t="shared" si="44"/>
        <v>21840</v>
      </c>
      <c r="BW7" s="9">
        <v>19896</v>
      </c>
      <c r="BX7" s="10">
        <f t="shared" si="45"/>
        <v>19896</v>
      </c>
      <c r="BY7" s="9">
        <v>28848</v>
      </c>
      <c r="BZ7" s="10">
        <f t="shared" si="46"/>
        <v>28848</v>
      </c>
      <c r="CA7" s="9">
        <v>25560</v>
      </c>
      <c r="CB7" s="10">
        <f t="shared" si="47"/>
        <v>25560</v>
      </c>
      <c r="CC7" s="9">
        <v>36288</v>
      </c>
      <c r="CD7" s="10">
        <f t="shared" si="48"/>
        <v>36288</v>
      </c>
      <c r="CE7" s="19">
        <f t="shared" si="49"/>
        <v>13648</v>
      </c>
      <c r="CF7" s="10">
        <f t="shared" si="50"/>
        <v>13648</v>
      </c>
      <c r="CG7" s="11">
        <f t="shared" si="0"/>
        <v>19402</v>
      </c>
      <c r="CH7" s="12">
        <f t="shared" si="51"/>
        <v>19402</v>
      </c>
      <c r="CI7" s="13">
        <v>19402</v>
      </c>
      <c r="CJ7" s="10">
        <f t="shared" si="52"/>
        <v>19402</v>
      </c>
      <c r="CK7" s="15">
        <f t="shared" si="1"/>
        <v>3.4418677722462063</v>
      </c>
      <c r="CL7" s="15"/>
      <c r="CM7" s="14">
        <v>33792</v>
      </c>
      <c r="CN7" s="10">
        <f t="shared" si="52"/>
        <v>33792</v>
      </c>
      <c r="CO7" s="14">
        <v>20238</v>
      </c>
      <c r="CP7" s="15">
        <f t="shared" si="53"/>
        <v>20238</v>
      </c>
      <c r="CQ7" s="14">
        <v>48540</v>
      </c>
      <c r="CR7" s="15">
        <f t="shared" si="53"/>
        <v>48540</v>
      </c>
      <c r="CS7" s="14">
        <v>22764</v>
      </c>
      <c r="CT7" s="15">
        <f t="shared" si="54"/>
        <v>22764</v>
      </c>
      <c r="CU7" s="14">
        <v>26844</v>
      </c>
      <c r="CV7" s="15">
        <f t="shared" si="55"/>
        <v>26844</v>
      </c>
      <c r="CW7" s="14">
        <v>33972</v>
      </c>
      <c r="CX7" s="15">
        <f t="shared" si="56"/>
        <v>33972</v>
      </c>
      <c r="CY7" s="14"/>
      <c r="CZ7" s="15">
        <f t="shared" si="57"/>
        <v>0</v>
      </c>
      <c r="DA7" s="14"/>
      <c r="DB7" s="15">
        <f t="shared" si="58"/>
        <v>0</v>
      </c>
      <c r="DC7" s="14"/>
      <c r="DD7" s="15">
        <f t="shared" si="59"/>
        <v>0</v>
      </c>
      <c r="DE7" s="14"/>
      <c r="DF7" s="15">
        <f t="shared" si="60"/>
        <v>0</v>
      </c>
      <c r="DG7" s="14"/>
      <c r="DH7" s="15">
        <f t="shared" si="61"/>
        <v>0</v>
      </c>
      <c r="DI7" s="14"/>
      <c r="DJ7" s="15">
        <f t="shared" si="62"/>
        <v>0</v>
      </c>
      <c r="DK7" s="16">
        <f t="shared" si="2"/>
        <v>186150</v>
      </c>
      <c r="DL7" s="17">
        <f t="shared" si="3"/>
        <v>186150</v>
      </c>
      <c r="DM7" s="68">
        <f t="shared" si="63"/>
        <v>31025</v>
      </c>
      <c r="DN7" s="68">
        <f t="shared" si="64"/>
        <v>31025</v>
      </c>
      <c r="DO7" s="69">
        <f t="shared" si="4"/>
        <v>5.2757381327308375</v>
      </c>
      <c r="DP7" s="70">
        <f t="shared" si="65"/>
        <v>1.8338703604846311</v>
      </c>
      <c r="DQ7" s="71">
        <f t="shared" si="66"/>
        <v>127.32268464243845</v>
      </c>
      <c r="DR7" s="71">
        <f t="shared" si="67"/>
        <v>59.906195237604379</v>
      </c>
      <c r="DS7" s="71">
        <f t="shared" si="72"/>
        <v>11623</v>
      </c>
      <c r="DT7" s="71">
        <f t="shared" si="68"/>
        <v>17377</v>
      </c>
      <c r="DU7" s="71">
        <f t="shared" si="69"/>
        <v>830.21428571428567</v>
      </c>
      <c r="DV7" s="71">
        <f t="shared" si="70"/>
        <v>1241.2142857142858</v>
      </c>
      <c r="DW7" s="71">
        <f t="shared" si="71"/>
        <v>7447.2857142857147</v>
      </c>
    </row>
    <row r="8" spans="1:127">
      <c r="A8" s="7">
        <v>5</v>
      </c>
      <c r="B8" s="8" t="s">
        <v>22</v>
      </c>
      <c r="C8" s="8" t="s">
        <v>16</v>
      </c>
      <c r="D8" s="7">
        <v>0.6</v>
      </c>
      <c r="E8" s="7" t="s">
        <v>15</v>
      </c>
      <c r="F8" s="7">
        <v>1090</v>
      </c>
      <c r="G8" s="9">
        <v>1824</v>
      </c>
      <c r="H8" s="10">
        <f t="shared" si="9"/>
        <v>1094.3999999999999</v>
      </c>
      <c r="I8" s="9">
        <v>1464</v>
      </c>
      <c r="J8" s="10">
        <f t="shared" si="10"/>
        <v>878.4</v>
      </c>
      <c r="K8" s="9">
        <v>3360</v>
      </c>
      <c r="L8" s="10">
        <f t="shared" si="11"/>
        <v>2016</v>
      </c>
      <c r="M8" s="9">
        <v>3240</v>
      </c>
      <c r="N8" s="10">
        <f t="shared" si="12"/>
        <v>1944</v>
      </c>
      <c r="O8" s="9">
        <v>660</v>
      </c>
      <c r="P8" s="10">
        <f t="shared" si="13"/>
        <v>396</v>
      </c>
      <c r="Q8" s="9">
        <v>720</v>
      </c>
      <c r="R8" s="10">
        <f t="shared" si="14"/>
        <v>432</v>
      </c>
      <c r="S8" s="9">
        <v>1056</v>
      </c>
      <c r="T8" s="10">
        <f t="shared" si="15"/>
        <v>633.6</v>
      </c>
      <c r="U8" s="9">
        <v>1224</v>
      </c>
      <c r="V8" s="10">
        <f t="shared" si="16"/>
        <v>734.4</v>
      </c>
      <c r="W8" s="9">
        <v>852</v>
      </c>
      <c r="X8" s="10">
        <f t="shared" si="17"/>
        <v>511.2</v>
      </c>
      <c r="Y8" s="9">
        <v>480</v>
      </c>
      <c r="Z8" s="10">
        <f t="shared" si="18"/>
        <v>288</v>
      </c>
      <c r="AA8" s="9">
        <v>744</v>
      </c>
      <c r="AB8" s="10">
        <f t="shared" si="19"/>
        <v>446.4</v>
      </c>
      <c r="AC8" s="9">
        <v>1608</v>
      </c>
      <c r="AD8" s="10">
        <f t="shared" si="20"/>
        <v>964.8</v>
      </c>
      <c r="AE8" s="11">
        <f t="shared" si="21"/>
        <v>1436</v>
      </c>
      <c r="AF8" s="12">
        <f t="shared" si="22"/>
        <v>861.6</v>
      </c>
      <c r="AG8" s="9">
        <v>1488</v>
      </c>
      <c r="AH8" s="10">
        <f t="shared" si="23"/>
        <v>892.8</v>
      </c>
      <c r="AI8" s="9">
        <v>492</v>
      </c>
      <c r="AJ8" s="10">
        <f t="shared" si="24"/>
        <v>295.2</v>
      </c>
      <c r="AK8" s="9">
        <v>552</v>
      </c>
      <c r="AL8" s="10">
        <f t="shared" si="25"/>
        <v>331.2</v>
      </c>
      <c r="AM8" s="9">
        <v>600</v>
      </c>
      <c r="AN8" s="10">
        <f t="shared" si="26"/>
        <v>360</v>
      </c>
      <c r="AO8" s="9">
        <v>780</v>
      </c>
      <c r="AP8" s="10">
        <f t="shared" si="27"/>
        <v>468</v>
      </c>
      <c r="AQ8" s="9">
        <v>648</v>
      </c>
      <c r="AR8" s="10">
        <f t="shared" si="28"/>
        <v>388.8</v>
      </c>
      <c r="AS8" s="9">
        <v>564</v>
      </c>
      <c r="AT8" s="10">
        <f t="shared" si="29"/>
        <v>338.4</v>
      </c>
      <c r="AU8" s="9">
        <v>636</v>
      </c>
      <c r="AV8" s="10">
        <f t="shared" si="30"/>
        <v>381.59999999999997</v>
      </c>
      <c r="AW8" s="9">
        <v>600</v>
      </c>
      <c r="AX8" s="10">
        <f t="shared" si="31"/>
        <v>360</v>
      </c>
      <c r="AY8" s="9">
        <v>876</v>
      </c>
      <c r="AZ8" s="10">
        <f t="shared" si="32"/>
        <v>525.6</v>
      </c>
      <c r="BA8" s="9">
        <v>720</v>
      </c>
      <c r="BB8" s="10">
        <f t="shared" si="33"/>
        <v>432</v>
      </c>
      <c r="BC8" s="9">
        <v>576</v>
      </c>
      <c r="BD8" s="10">
        <f t="shared" si="34"/>
        <v>345.59999999999997</v>
      </c>
      <c r="BE8" s="11">
        <f t="shared" si="35"/>
        <v>711</v>
      </c>
      <c r="BF8" s="12">
        <f t="shared" si="36"/>
        <v>426.59999999999997</v>
      </c>
      <c r="BG8" s="9">
        <v>900</v>
      </c>
      <c r="BH8" s="10">
        <f t="shared" si="37"/>
        <v>540</v>
      </c>
      <c r="BI8" s="9">
        <v>564</v>
      </c>
      <c r="BJ8" s="10">
        <f t="shared" si="38"/>
        <v>338.4</v>
      </c>
      <c r="BK8" s="9">
        <v>744</v>
      </c>
      <c r="BL8" s="10">
        <f t="shared" si="39"/>
        <v>446.4</v>
      </c>
      <c r="BM8" s="9">
        <v>612</v>
      </c>
      <c r="BN8" s="10">
        <f t="shared" si="40"/>
        <v>367.2</v>
      </c>
      <c r="BO8" s="9">
        <v>12</v>
      </c>
      <c r="BP8" s="10">
        <f t="shared" si="41"/>
        <v>7.1999999999999993</v>
      </c>
      <c r="BQ8" s="9">
        <v>336</v>
      </c>
      <c r="BR8" s="10">
        <f t="shared" si="42"/>
        <v>201.6</v>
      </c>
      <c r="BS8" s="9">
        <v>408</v>
      </c>
      <c r="BT8" s="10">
        <f t="shared" si="43"/>
        <v>244.79999999999998</v>
      </c>
      <c r="BU8" s="9">
        <v>336</v>
      </c>
      <c r="BV8" s="10">
        <f t="shared" si="44"/>
        <v>201.6</v>
      </c>
      <c r="BW8" s="9">
        <v>840</v>
      </c>
      <c r="BX8" s="10">
        <f t="shared" si="45"/>
        <v>504</v>
      </c>
      <c r="BY8" s="9">
        <v>1152</v>
      </c>
      <c r="BZ8" s="10">
        <f t="shared" si="46"/>
        <v>691.19999999999993</v>
      </c>
      <c r="CA8" s="9">
        <v>1776</v>
      </c>
      <c r="CB8" s="10">
        <f t="shared" si="47"/>
        <v>1065.5999999999999</v>
      </c>
      <c r="CC8" s="9">
        <v>600</v>
      </c>
      <c r="CD8" s="10">
        <f t="shared" si="48"/>
        <v>360</v>
      </c>
      <c r="CE8" s="19">
        <f t="shared" si="49"/>
        <v>528</v>
      </c>
      <c r="CF8" s="10">
        <f t="shared" si="50"/>
        <v>316.8</v>
      </c>
      <c r="CG8" s="11">
        <f t="shared" si="0"/>
        <v>690</v>
      </c>
      <c r="CH8" s="12">
        <f t="shared" si="51"/>
        <v>414</v>
      </c>
      <c r="CI8" s="13">
        <v>690</v>
      </c>
      <c r="CJ8" s="10">
        <f t="shared" si="52"/>
        <v>414</v>
      </c>
      <c r="CK8" s="15">
        <f t="shared" si="1"/>
        <v>7.344259652148899E-2</v>
      </c>
      <c r="CL8" s="15"/>
      <c r="CM8" s="14">
        <v>672</v>
      </c>
      <c r="CN8" s="10">
        <f t="shared" si="52"/>
        <v>403.2</v>
      </c>
      <c r="CO8" s="14">
        <v>756</v>
      </c>
      <c r="CP8" s="15">
        <f t="shared" si="53"/>
        <v>453.59999999999997</v>
      </c>
      <c r="CQ8" s="14">
        <v>540</v>
      </c>
      <c r="CR8" s="15">
        <f t="shared" si="53"/>
        <v>324</v>
      </c>
      <c r="CS8" s="14">
        <v>756</v>
      </c>
      <c r="CT8" s="15">
        <f t="shared" si="54"/>
        <v>453.59999999999997</v>
      </c>
      <c r="CU8" s="14">
        <v>720</v>
      </c>
      <c r="CV8" s="15">
        <f t="shared" si="55"/>
        <v>432</v>
      </c>
      <c r="CW8" s="14">
        <v>456</v>
      </c>
      <c r="CX8" s="15">
        <f t="shared" si="56"/>
        <v>273.59999999999997</v>
      </c>
      <c r="CY8" s="14"/>
      <c r="CZ8" s="15">
        <f t="shared" si="57"/>
        <v>0</v>
      </c>
      <c r="DA8" s="14"/>
      <c r="DB8" s="15">
        <f t="shared" si="58"/>
        <v>0</v>
      </c>
      <c r="DC8" s="14"/>
      <c r="DD8" s="15">
        <f t="shared" si="59"/>
        <v>0</v>
      </c>
      <c r="DE8" s="14"/>
      <c r="DF8" s="15">
        <f t="shared" si="60"/>
        <v>0</v>
      </c>
      <c r="DG8" s="14"/>
      <c r="DH8" s="15">
        <f t="shared" si="61"/>
        <v>0</v>
      </c>
      <c r="DI8" s="14"/>
      <c r="DJ8" s="15">
        <f t="shared" si="62"/>
        <v>0</v>
      </c>
      <c r="DK8" s="16">
        <f t="shared" si="2"/>
        <v>3900</v>
      </c>
      <c r="DL8" s="17">
        <f t="shared" si="3"/>
        <v>2339.9999999999995</v>
      </c>
      <c r="DM8" s="68">
        <f t="shared" si="63"/>
        <v>650</v>
      </c>
      <c r="DN8" s="68">
        <f t="shared" si="64"/>
        <v>389.99999999999994</v>
      </c>
      <c r="DO8" s="69">
        <f t="shared" si="4"/>
        <v>6.6318706583884821E-2</v>
      </c>
      <c r="DP8" s="70">
        <f t="shared" si="65"/>
        <v>-7.1238899376041692E-3</v>
      </c>
      <c r="DQ8" s="71">
        <f t="shared" si="66"/>
        <v>23.106060606060581</v>
      </c>
      <c r="DR8" s="71">
        <f t="shared" si="67"/>
        <v>-5.7971014492753739</v>
      </c>
      <c r="DS8" s="71">
        <f t="shared" si="72"/>
        <v>-24.000000000000057</v>
      </c>
      <c r="DT8" s="71">
        <f t="shared" si="68"/>
        <v>73.199999999999932</v>
      </c>
      <c r="DU8" s="71">
        <f t="shared" si="69"/>
        <v>-1.7142857142857184</v>
      </c>
      <c r="DV8" s="71">
        <f t="shared" si="70"/>
        <v>5.2285714285714233</v>
      </c>
      <c r="DW8" s="71">
        <f t="shared" si="71"/>
        <v>31.371428571428538</v>
      </c>
    </row>
    <row r="9" spans="1:127">
      <c r="A9" s="7">
        <v>6</v>
      </c>
      <c r="B9" s="8" t="s">
        <v>23</v>
      </c>
      <c r="C9" s="8" t="s">
        <v>14</v>
      </c>
      <c r="D9" s="7">
        <v>0.64</v>
      </c>
      <c r="E9" s="7" t="s">
        <v>20</v>
      </c>
      <c r="F9" s="7">
        <v>1230</v>
      </c>
      <c r="G9" s="9">
        <v>70658</v>
      </c>
      <c r="H9" s="10">
        <f t="shared" si="9"/>
        <v>45221.120000000003</v>
      </c>
      <c r="I9" s="9">
        <v>66416</v>
      </c>
      <c r="J9" s="10">
        <f t="shared" si="10"/>
        <v>42506.239999999998</v>
      </c>
      <c r="K9" s="9">
        <v>74508</v>
      </c>
      <c r="L9" s="10">
        <f t="shared" si="11"/>
        <v>47685.120000000003</v>
      </c>
      <c r="M9" s="9">
        <v>54532</v>
      </c>
      <c r="N9" s="10">
        <f t="shared" si="12"/>
        <v>34900.480000000003</v>
      </c>
      <c r="O9" s="9">
        <v>57792</v>
      </c>
      <c r="P9" s="10">
        <f t="shared" si="13"/>
        <v>36986.879999999997</v>
      </c>
      <c r="Q9" s="9">
        <v>64400</v>
      </c>
      <c r="R9" s="10">
        <f t="shared" si="14"/>
        <v>41216</v>
      </c>
      <c r="S9" s="9">
        <v>60830</v>
      </c>
      <c r="T9" s="10">
        <f t="shared" si="15"/>
        <v>38931.200000000004</v>
      </c>
      <c r="U9" s="9">
        <v>64428</v>
      </c>
      <c r="V9" s="10">
        <f t="shared" si="16"/>
        <v>41233.919999999998</v>
      </c>
      <c r="W9" s="9">
        <v>58705</v>
      </c>
      <c r="X9" s="10">
        <f t="shared" si="17"/>
        <v>37571.200000000004</v>
      </c>
      <c r="Y9" s="9">
        <v>62384</v>
      </c>
      <c r="Z9" s="10">
        <f t="shared" si="18"/>
        <v>39925.760000000002</v>
      </c>
      <c r="AA9" s="9">
        <v>67326</v>
      </c>
      <c r="AB9" s="10">
        <f t="shared" si="19"/>
        <v>43088.639999999999</v>
      </c>
      <c r="AC9" s="9">
        <v>82770</v>
      </c>
      <c r="AD9" s="10">
        <f t="shared" si="20"/>
        <v>52972.800000000003</v>
      </c>
      <c r="AE9" s="11">
        <f t="shared" si="21"/>
        <v>65395.75</v>
      </c>
      <c r="AF9" s="12">
        <f t="shared" si="22"/>
        <v>41853.279999999999</v>
      </c>
      <c r="AG9" s="9">
        <v>67662</v>
      </c>
      <c r="AH9" s="10">
        <f t="shared" si="23"/>
        <v>43303.68</v>
      </c>
      <c r="AI9" s="9">
        <v>58922</v>
      </c>
      <c r="AJ9" s="10">
        <f t="shared" si="24"/>
        <v>37710.080000000002</v>
      </c>
      <c r="AK9" s="9">
        <v>61334</v>
      </c>
      <c r="AL9" s="10">
        <f t="shared" si="25"/>
        <v>39253.760000000002</v>
      </c>
      <c r="AM9" s="9">
        <v>59794</v>
      </c>
      <c r="AN9" s="10">
        <f t="shared" si="26"/>
        <v>38268.160000000003</v>
      </c>
      <c r="AO9" s="9">
        <v>45528</v>
      </c>
      <c r="AP9" s="10">
        <f t="shared" si="27"/>
        <v>29137.920000000002</v>
      </c>
      <c r="AQ9" s="9">
        <v>58940</v>
      </c>
      <c r="AR9" s="10">
        <f t="shared" si="28"/>
        <v>37721.599999999999</v>
      </c>
      <c r="AS9" s="9">
        <v>68562</v>
      </c>
      <c r="AT9" s="10">
        <f t="shared" si="29"/>
        <v>43879.68</v>
      </c>
      <c r="AU9" s="9">
        <v>62636</v>
      </c>
      <c r="AV9" s="10">
        <f t="shared" si="30"/>
        <v>40087.040000000001</v>
      </c>
      <c r="AW9" s="9">
        <v>66628</v>
      </c>
      <c r="AX9" s="10">
        <f t="shared" si="31"/>
        <v>42641.919999999998</v>
      </c>
      <c r="AY9" s="9">
        <v>67270</v>
      </c>
      <c r="AZ9" s="10">
        <f t="shared" si="32"/>
        <v>43052.800000000003</v>
      </c>
      <c r="BA9" s="9">
        <v>65856</v>
      </c>
      <c r="BB9" s="10">
        <f t="shared" si="33"/>
        <v>42147.840000000004</v>
      </c>
      <c r="BC9" s="9">
        <v>87710</v>
      </c>
      <c r="BD9" s="10">
        <f t="shared" si="34"/>
        <v>56134.400000000001</v>
      </c>
      <c r="BE9" s="11">
        <f t="shared" si="35"/>
        <v>64236.833333333336</v>
      </c>
      <c r="BF9" s="12">
        <f t="shared" si="36"/>
        <v>41111.573333333334</v>
      </c>
      <c r="BG9" s="9">
        <v>75935</v>
      </c>
      <c r="BH9" s="10">
        <f t="shared" si="37"/>
        <v>48598.400000000001</v>
      </c>
      <c r="BI9" s="9">
        <v>64518</v>
      </c>
      <c r="BJ9" s="10">
        <f t="shared" si="38"/>
        <v>41291.520000000004</v>
      </c>
      <c r="BK9" s="9">
        <v>69272</v>
      </c>
      <c r="BL9" s="10">
        <f t="shared" si="39"/>
        <v>44334.080000000002</v>
      </c>
      <c r="BM9" s="9">
        <v>59570</v>
      </c>
      <c r="BN9" s="10">
        <f t="shared" si="40"/>
        <v>38124.800000000003</v>
      </c>
      <c r="BO9" s="9">
        <v>65708</v>
      </c>
      <c r="BP9" s="10">
        <f t="shared" si="41"/>
        <v>42053.120000000003</v>
      </c>
      <c r="BQ9" s="9">
        <v>66472</v>
      </c>
      <c r="BR9" s="10">
        <f t="shared" si="42"/>
        <v>42542.080000000002</v>
      </c>
      <c r="BS9" s="9">
        <v>71516</v>
      </c>
      <c r="BT9" s="10">
        <f t="shared" si="43"/>
        <v>45770.239999999998</v>
      </c>
      <c r="BU9" s="9">
        <v>59500</v>
      </c>
      <c r="BV9" s="10">
        <f t="shared" si="44"/>
        <v>38080</v>
      </c>
      <c r="BW9" s="9">
        <v>66640</v>
      </c>
      <c r="BX9" s="10">
        <f t="shared" si="45"/>
        <v>42649.599999999999</v>
      </c>
      <c r="BY9" s="9">
        <v>76510</v>
      </c>
      <c r="BZ9" s="10">
        <f t="shared" si="46"/>
        <v>48966.400000000001</v>
      </c>
      <c r="CA9" s="9">
        <v>66934</v>
      </c>
      <c r="CB9" s="10">
        <f t="shared" si="47"/>
        <v>42837.760000000002</v>
      </c>
      <c r="CC9" s="9">
        <v>79688</v>
      </c>
      <c r="CD9" s="10">
        <f t="shared" si="48"/>
        <v>51000.32</v>
      </c>
      <c r="CE9" s="19">
        <f t="shared" si="49"/>
        <v>66912.5</v>
      </c>
      <c r="CF9" s="10">
        <f t="shared" si="50"/>
        <v>42824</v>
      </c>
      <c r="CG9" s="11">
        <f t="shared" si="0"/>
        <v>68521.916666666672</v>
      </c>
      <c r="CH9" s="12">
        <f t="shared" si="51"/>
        <v>43854.026666666672</v>
      </c>
      <c r="CI9" s="13">
        <v>68522</v>
      </c>
      <c r="CJ9" s="10">
        <f t="shared" si="52"/>
        <v>43854.080000000002</v>
      </c>
      <c r="CK9" s="15">
        <f t="shared" si="1"/>
        <v>7.7795980345956979</v>
      </c>
      <c r="CL9" s="15">
        <v>11.29</v>
      </c>
      <c r="CM9" s="14">
        <v>78915</v>
      </c>
      <c r="CN9" s="10">
        <f t="shared" si="52"/>
        <v>50505.599999999999</v>
      </c>
      <c r="CO9" s="14">
        <v>57960</v>
      </c>
      <c r="CP9" s="15">
        <f t="shared" si="53"/>
        <v>37094.400000000001</v>
      </c>
      <c r="CQ9" s="14">
        <v>67424</v>
      </c>
      <c r="CR9" s="15">
        <f t="shared" si="53"/>
        <v>43151.360000000001</v>
      </c>
      <c r="CS9" s="14">
        <v>59108</v>
      </c>
      <c r="CT9" s="15">
        <f t="shared" si="54"/>
        <v>37829.120000000003</v>
      </c>
      <c r="CU9" s="14">
        <v>62751</v>
      </c>
      <c r="CV9" s="15">
        <f t="shared" si="55"/>
        <v>40160.639999999999</v>
      </c>
      <c r="CW9" s="14">
        <v>60505</v>
      </c>
      <c r="CX9" s="15">
        <f t="shared" si="56"/>
        <v>38723.200000000004</v>
      </c>
      <c r="CY9" s="14"/>
      <c r="CZ9" s="15">
        <f t="shared" si="57"/>
        <v>0</v>
      </c>
      <c r="DA9" s="14"/>
      <c r="DB9" s="15">
        <f t="shared" si="58"/>
        <v>0</v>
      </c>
      <c r="DC9" s="14"/>
      <c r="DD9" s="15">
        <f t="shared" si="59"/>
        <v>0</v>
      </c>
      <c r="DE9" s="14"/>
      <c r="DF9" s="15">
        <f t="shared" si="60"/>
        <v>0</v>
      </c>
      <c r="DG9" s="14"/>
      <c r="DH9" s="15">
        <f t="shared" si="61"/>
        <v>0</v>
      </c>
      <c r="DI9" s="14"/>
      <c r="DJ9" s="15">
        <f t="shared" si="62"/>
        <v>0</v>
      </c>
      <c r="DK9" s="16">
        <f t="shared" si="2"/>
        <v>386663</v>
      </c>
      <c r="DL9" s="17">
        <f t="shared" si="3"/>
        <v>247464.32000000001</v>
      </c>
      <c r="DM9" s="68">
        <f t="shared" si="63"/>
        <v>64443.833333333336</v>
      </c>
      <c r="DN9" s="68">
        <f t="shared" si="64"/>
        <v>41244.053333333337</v>
      </c>
      <c r="DO9" s="69">
        <f t="shared" si="4"/>
        <v>7.0134673624190524</v>
      </c>
      <c r="DP9" s="70">
        <f t="shared" si="65"/>
        <v>-0.76613067217664543</v>
      </c>
      <c r="DQ9" s="71">
        <f t="shared" si="66"/>
        <v>-3.6893953546297951</v>
      </c>
      <c r="DR9" s="71">
        <f t="shared" si="67"/>
        <v>-5.9515021349616859</v>
      </c>
      <c r="DS9" s="71">
        <f t="shared" si="72"/>
        <v>-2609.9733333333352</v>
      </c>
      <c r="DT9" s="71">
        <f t="shared" si="68"/>
        <v>-1579.9466666666631</v>
      </c>
      <c r="DU9" s="71">
        <f t="shared" si="69"/>
        <v>-186.42666666666679</v>
      </c>
      <c r="DV9" s="71">
        <f t="shared" si="70"/>
        <v>-112.85333333333308</v>
      </c>
      <c r="DW9" s="71">
        <f t="shared" si="71"/>
        <v>-677.11999999999853</v>
      </c>
    </row>
    <row r="10" spans="1:127">
      <c r="A10" s="7">
        <v>7</v>
      </c>
      <c r="B10" s="8" t="s">
        <v>24</v>
      </c>
      <c r="C10" s="8" t="s">
        <v>16</v>
      </c>
      <c r="D10" s="7">
        <v>1</v>
      </c>
      <c r="E10" s="7" t="s">
        <v>18</v>
      </c>
      <c r="F10" s="7">
        <v>1900</v>
      </c>
      <c r="G10" s="9"/>
      <c r="H10" s="10">
        <f t="shared" si="9"/>
        <v>0</v>
      </c>
      <c r="I10" s="9"/>
      <c r="J10" s="10">
        <f t="shared" si="10"/>
        <v>0</v>
      </c>
      <c r="K10" s="9"/>
      <c r="L10" s="10">
        <f t="shared" si="11"/>
        <v>0</v>
      </c>
      <c r="M10" s="9"/>
      <c r="N10" s="10">
        <f t="shared" si="12"/>
        <v>0</v>
      </c>
      <c r="O10" s="9"/>
      <c r="P10" s="10">
        <f t="shared" si="13"/>
        <v>0</v>
      </c>
      <c r="Q10" s="9"/>
      <c r="R10" s="10">
        <f t="shared" si="14"/>
        <v>0</v>
      </c>
      <c r="S10" s="9"/>
      <c r="T10" s="10">
        <f t="shared" si="15"/>
        <v>0</v>
      </c>
      <c r="U10" s="9"/>
      <c r="V10" s="10">
        <f t="shared" si="16"/>
        <v>0</v>
      </c>
      <c r="W10" s="9"/>
      <c r="X10" s="10">
        <f t="shared" si="17"/>
        <v>0</v>
      </c>
      <c r="Y10" s="9"/>
      <c r="Z10" s="10">
        <f t="shared" si="18"/>
        <v>0</v>
      </c>
      <c r="AA10" s="9"/>
      <c r="AB10" s="10">
        <f t="shared" si="19"/>
        <v>0</v>
      </c>
      <c r="AC10" s="9"/>
      <c r="AD10" s="10">
        <f t="shared" si="20"/>
        <v>0</v>
      </c>
      <c r="AE10" s="11">
        <f t="shared" si="21"/>
        <v>0</v>
      </c>
      <c r="AF10" s="12">
        <f t="shared" si="22"/>
        <v>0</v>
      </c>
      <c r="AG10" s="9"/>
      <c r="AH10" s="10">
        <f t="shared" si="23"/>
        <v>0</v>
      </c>
      <c r="AI10" s="9"/>
      <c r="AJ10" s="10">
        <f t="shared" si="24"/>
        <v>0</v>
      </c>
      <c r="AK10" s="9"/>
      <c r="AL10" s="10">
        <f t="shared" si="25"/>
        <v>0</v>
      </c>
      <c r="AM10" s="9"/>
      <c r="AN10" s="10">
        <f t="shared" si="26"/>
        <v>0</v>
      </c>
      <c r="AO10" s="9"/>
      <c r="AP10" s="10">
        <f t="shared" si="27"/>
        <v>0</v>
      </c>
      <c r="AQ10" s="9"/>
      <c r="AR10" s="10">
        <f t="shared" si="28"/>
        <v>0</v>
      </c>
      <c r="AS10" s="9"/>
      <c r="AT10" s="10">
        <f t="shared" si="29"/>
        <v>0</v>
      </c>
      <c r="AU10" s="9"/>
      <c r="AV10" s="10">
        <f t="shared" si="30"/>
        <v>0</v>
      </c>
      <c r="AW10" s="9"/>
      <c r="AX10" s="10">
        <f t="shared" si="31"/>
        <v>0</v>
      </c>
      <c r="AY10" s="9"/>
      <c r="AZ10" s="10">
        <f t="shared" si="32"/>
        <v>0</v>
      </c>
      <c r="BA10" s="9"/>
      <c r="BB10" s="10">
        <f t="shared" si="33"/>
        <v>0</v>
      </c>
      <c r="BC10" s="9"/>
      <c r="BD10" s="10">
        <f t="shared" si="34"/>
        <v>0</v>
      </c>
      <c r="BE10" s="11">
        <f t="shared" si="35"/>
        <v>0</v>
      </c>
      <c r="BF10" s="12">
        <f t="shared" si="36"/>
        <v>0</v>
      </c>
      <c r="BG10" s="9"/>
      <c r="BH10" s="10">
        <f t="shared" si="37"/>
        <v>0</v>
      </c>
      <c r="BI10" s="9"/>
      <c r="BJ10" s="10">
        <f t="shared" si="38"/>
        <v>0</v>
      </c>
      <c r="BK10" s="9"/>
      <c r="BL10" s="10">
        <f t="shared" si="39"/>
        <v>0</v>
      </c>
      <c r="BM10" s="9"/>
      <c r="BN10" s="10">
        <f t="shared" si="40"/>
        <v>0</v>
      </c>
      <c r="BO10" s="9"/>
      <c r="BP10" s="10">
        <f t="shared" si="41"/>
        <v>0</v>
      </c>
      <c r="BQ10" s="9"/>
      <c r="BR10" s="10">
        <f t="shared" si="42"/>
        <v>0</v>
      </c>
      <c r="BS10" s="9"/>
      <c r="BT10" s="10">
        <f t="shared" si="43"/>
        <v>0</v>
      </c>
      <c r="BU10" s="9"/>
      <c r="BV10" s="10">
        <f t="shared" si="44"/>
        <v>0</v>
      </c>
      <c r="BW10" s="9"/>
      <c r="BX10" s="10">
        <f t="shared" si="45"/>
        <v>0</v>
      </c>
      <c r="BY10" s="9"/>
      <c r="BZ10" s="10">
        <f t="shared" si="46"/>
        <v>0</v>
      </c>
      <c r="CA10" s="9"/>
      <c r="CB10" s="10">
        <f t="shared" si="47"/>
        <v>0</v>
      </c>
      <c r="CC10" s="9"/>
      <c r="CD10" s="10">
        <f t="shared" si="48"/>
        <v>0</v>
      </c>
      <c r="CE10" s="19">
        <f t="shared" si="49"/>
        <v>0</v>
      </c>
      <c r="CF10" s="10">
        <f t="shared" si="50"/>
        <v>0</v>
      </c>
      <c r="CG10" s="11">
        <f t="shared" si="0"/>
        <v>0</v>
      </c>
      <c r="CH10" s="12">
        <f t="shared" si="51"/>
        <v>0</v>
      </c>
      <c r="CI10" s="13"/>
      <c r="CJ10" s="10">
        <f t="shared" si="52"/>
        <v>0</v>
      </c>
      <c r="CK10" s="15">
        <f t="shared" si="1"/>
        <v>0</v>
      </c>
      <c r="CL10" s="15"/>
      <c r="CM10" s="14"/>
      <c r="CN10" s="10">
        <f t="shared" si="52"/>
        <v>0</v>
      </c>
      <c r="CO10" s="14"/>
      <c r="CP10" s="15">
        <f t="shared" si="53"/>
        <v>0</v>
      </c>
      <c r="CQ10" s="14">
        <v>16608</v>
      </c>
      <c r="CR10" s="15">
        <f t="shared" si="53"/>
        <v>16608</v>
      </c>
      <c r="CS10" s="14">
        <v>6468</v>
      </c>
      <c r="CT10" s="15">
        <f t="shared" si="54"/>
        <v>6468</v>
      </c>
      <c r="CU10" s="14">
        <v>8040</v>
      </c>
      <c r="CV10" s="15">
        <f t="shared" si="55"/>
        <v>8040</v>
      </c>
      <c r="CW10" s="14">
        <v>1188</v>
      </c>
      <c r="CX10" s="15">
        <f t="shared" si="56"/>
        <v>1188</v>
      </c>
      <c r="CY10" s="14"/>
      <c r="CZ10" s="15">
        <f t="shared" si="57"/>
        <v>0</v>
      </c>
      <c r="DA10" s="14"/>
      <c r="DB10" s="15">
        <f t="shared" si="58"/>
        <v>0</v>
      </c>
      <c r="DC10" s="14"/>
      <c r="DD10" s="15">
        <f t="shared" si="59"/>
        <v>0</v>
      </c>
      <c r="DE10" s="14"/>
      <c r="DF10" s="15">
        <f t="shared" si="60"/>
        <v>0</v>
      </c>
      <c r="DG10" s="14"/>
      <c r="DH10" s="15">
        <f t="shared" si="61"/>
        <v>0</v>
      </c>
      <c r="DI10" s="14"/>
      <c r="DJ10" s="15">
        <f t="shared" si="62"/>
        <v>0</v>
      </c>
      <c r="DK10" s="16">
        <f t="shared" si="2"/>
        <v>32304</v>
      </c>
      <c r="DL10" s="17">
        <f t="shared" si="3"/>
        <v>32304</v>
      </c>
      <c r="DM10" s="68">
        <f t="shared" si="63"/>
        <v>5384</v>
      </c>
      <c r="DN10" s="68">
        <f t="shared" si="64"/>
        <v>5384</v>
      </c>
      <c r="DO10" s="69">
        <f t="shared" si="4"/>
        <v>0.91553824678881002</v>
      </c>
      <c r="DP10" s="70">
        <f t="shared" si="65"/>
        <v>0.91553824678881002</v>
      </c>
      <c r="DQ10" s="71" t="e">
        <f t="shared" si="66"/>
        <v>#DIV/0!</v>
      </c>
      <c r="DR10" s="71" t="e">
        <f t="shared" si="67"/>
        <v>#DIV/0!</v>
      </c>
      <c r="DS10" s="71">
        <f t="shared" si="72"/>
        <v>5384</v>
      </c>
      <c r="DT10" s="71">
        <f t="shared" si="68"/>
        <v>5384</v>
      </c>
      <c r="DU10" s="71">
        <f t="shared" si="69"/>
        <v>384.57142857142856</v>
      </c>
      <c r="DV10" s="71">
        <f t="shared" si="70"/>
        <v>384.57142857142856</v>
      </c>
      <c r="DW10" s="71">
        <f t="shared" si="71"/>
        <v>2307.4285714285716</v>
      </c>
    </row>
    <row r="11" spans="1:127">
      <c r="A11" s="7">
        <v>8</v>
      </c>
      <c r="B11" s="8" t="s">
        <v>25</v>
      </c>
      <c r="C11" s="8" t="s">
        <v>14</v>
      </c>
      <c r="D11" s="7">
        <v>0.64</v>
      </c>
      <c r="E11" s="7" t="s">
        <v>20</v>
      </c>
      <c r="F11" s="7">
        <v>1500</v>
      </c>
      <c r="G11" s="9">
        <v>19838</v>
      </c>
      <c r="H11" s="10">
        <f t="shared" si="9"/>
        <v>12696.32</v>
      </c>
      <c r="I11" s="9">
        <v>21560</v>
      </c>
      <c r="J11" s="10">
        <f t="shared" si="10"/>
        <v>13798.4</v>
      </c>
      <c r="K11" s="9">
        <v>33040</v>
      </c>
      <c r="L11" s="10">
        <f t="shared" si="11"/>
        <v>21145.600000000002</v>
      </c>
      <c r="M11" s="9">
        <v>33390</v>
      </c>
      <c r="N11" s="10">
        <f t="shared" si="12"/>
        <v>21369.600000000002</v>
      </c>
      <c r="O11" s="9">
        <v>41692</v>
      </c>
      <c r="P11" s="10">
        <f t="shared" si="13"/>
        <v>26682.880000000001</v>
      </c>
      <c r="Q11" s="9">
        <v>61586</v>
      </c>
      <c r="R11" s="10">
        <f t="shared" si="14"/>
        <v>39415.040000000001</v>
      </c>
      <c r="S11" s="9">
        <v>77210</v>
      </c>
      <c r="T11" s="10">
        <f t="shared" si="15"/>
        <v>49414.400000000001</v>
      </c>
      <c r="U11" s="9">
        <v>85148</v>
      </c>
      <c r="V11" s="10">
        <f t="shared" si="16"/>
        <v>54494.720000000001</v>
      </c>
      <c r="W11" s="9">
        <v>78722</v>
      </c>
      <c r="X11" s="10">
        <f t="shared" si="17"/>
        <v>50382.080000000002</v>
      </c>
      <c r="Y11" s="9">
        <v>46494</v>
      </c>
      <c r="Z11" s="10">
        <f t="shared" si="18"/>
        <v>29756.16</v>
      </c>
      <c r="AA11" s="9">
        <v>52136</v>
      </c>
      <c r="AB11" s="10">
        <f t="shared" si="19"/>
        <v>33367.040000000001</v>
      </c>
      <c r="AC11" s="9">
        <v>53018</v>
      </c>
      <c r="AD11" s="10">
        <f t="shared" si="20"/>
        <v>33931.520000000004</v>
      </c>
      <c r="AE11" s="11">
        <f t="shared" si="21"/>
        <v>50319.5</v>
      </c>
      <c r="AF11" s="12">
        <f t="shared" si="22"/>
        <v>32204.48</v>
      </c>
      <c r="AG11" s="9">
        <v>44912</v>
      </c>
      <c r="AH11" s="10">
        <f t="shared" si="23"/>
        <v>28743.68</v>
      </c>
      <c r="AI11" s="9">
        <v>31654</v>
      </c>
      <c r="AJ11" s="10">
        <f t="shared" si="24"/>
        <v>20258.560000000001</v>
      </c>
      <c r="AK11" s="9">
        <v>34804</v>
      </c>
      <c r="AL11" s="10">
        <f t="shared" si="25"/>
        <v>22274.560000000001</v>
      </c>
      <c r="AM11" s="9">
        <v>36498</v>
      </c>
      <c r="AN11" s="10">
        <f t="shared" si="26"/>
        <v>23358.720000000001</v>
      </c>
      <c r="AO11" s="9">
        <v>35546</v>
      </c>
      <c r="AP11" s="10">
        <f t="shared" si="27"/>
        <v>22749.439999999999</v>
      </c>
      <c r="AQ11" s="9">
        <v>54246</v>
      </c>
      <c r="AR11" s="10">
        <f t="shared" si="28"/>
        <v>34717.440000000002</v>
      </c>
      <c r="AS11" s="9">
        <v>73412</v>
      </c>
      <c r="AT11" s="10">
        <f t="shared" si="29"/>
        <v>46983.68</v>
      </c>
      <c r="AU11" s="9">
        <v>66720</v>
      </c>
      <c r="AV11" s="10">
        <f t="shared" si="30"/>
        <v>42700.800000000003</v>
      </c>
      <c r="AW11" s="9">
        <v>68740</v>
      </c>
      <c r="AX11" s="10">
        <f t="shared" si="31"/>
        <v>43993.599999999999</v>
      </c>
      <c r="AY11" s="9">
        <v>81158</v>
      </c>
      <c r="AZ11" s="10">
        <f t="shared" si="32"/>
        <v>51941.120000000003</v>
      </c>
      <c r="BA11" s="9">
        <v>93086</v>
      </c>
      <c r="BB11" s="10">
        <f t="shared" si="33"/>
        <v>59575.040000000001</v>
      </c>
      <c r="BC11" s="9">
        <v>97244</v>
      </c>
      <c r="BD11" s="10">
        <f t="shared" si="34"/>
        <v>62236.160000000003</v>
      </c>
      <c r="BE11" s="11">
        <f t="shared" si="35"/>
        <v>59835</v>
      </c>
      <c r="BF11" s="12">
        <f t="shared" si="36"/>
        <v>38294.400000000001</v>
      </c>
      <c r="BG11" s="9">
        <v>91784</v>
      </c>
      <c r="BH11" s="10">
        <f t="shared" si="37"/>
        <v>58741.760000000002</v>
      </c>
      <c r="BI11" s="9">
        <v>70816</v>
      </c>
      <c r="BJ11" s="10">
        <f t="shared" si="38"/>
        <v>45322.239999999998</v>
      </c>
      <c r="BK11" s="9">
        <v>67550</v>
      </c>
      <c r="BL11" s="10">
        <f t="shared" si="39"/>
        <v>43232</v>
      </c>
      <c r="BM11" s="9">
        <v>56644</v>
      </c>
      <c r="BN11" s="10">
        <f t="shared" si="40"/>
        <v>36252.160000000003</v>
      </c>
      <c r="BO11" s="9">
        <v>80334</v>
      </c>
      <c r="BP11" s="10">
        <f t="shared" si="41"/>
        <v>51413.760000000002</v>
      </c>
      <c r="BQ11" s="9">
        <v>84071</v>
      </c>
      <c r="BR11" s="10">
        <f t="shared" si="42"/>
        <v>53805.440000000002</v>
      </c>
      <c r="BS11" s="9">
        <v>80080</v>
      </c>
      <c r="BT11" s="10">
        <f t="shared" si="43"/>
        <v>51251.200000000004</v>
      </c>
      <c r="BU11" s="9">
        <v>73961</v>
      </c>
      <c r="BV11" s="10">
        <f t="shared" si="44"/>
        <v>47335.040000000001</v>
      </c>
      <c r="BW11" s="9">
        <v>72380</v>
      </c>
      <c r="BX11" s="10">
        <f t="shared" si="45"/>
        <v>46323.200000000004</v>
      </c>
      <c r="BY11" s="9">
        <v>74174</v>
      </c>
      <c r="BZ11" s="10">
        <f t="shared" si="46"/>
        <v>47471.360000000001</v>
      </c>
      <c r="CA11" s="9">
        <v>68837</v>
      </c>
      <c r="CB11" s="10">
        <f t="shared" si="47"/>
        <v>44055.68</v>
      </c>
      <c r="CC11" s="9">
        <v>70386</v>
      </c>
      <c r="CD11" s="10">
        <f t="shared" si="48"/>
        <v>45047.040000000001</v>
      </c>
      <c r="CE11" s="19">
        <f t="shared" si="49"/>
        <v>75199.833333333328</v>
      </c>
      <c r="CF11" s="10">
        <f>(BH11+BJ11+BL11+BN11+BP11+BR11)/6</f>
        <v>48127.893333333333</v>
      </c>
      <c r="CG11" s="11">
        <f t="shared" si="0"/>
        <v>74251.416666666672</v>
      </c>
      <c r="CH11" s="12">
        <f t="shared" si="51"/>
        <v>47520.906666666669</v>
      </c>
      <c r="CI11" s="13">
        <v>74251</v>
      </c>
      <c r="CJ11" s="10">
        <f t="shared" si="52"/>
        <v>47520.639999999999</v>
      </c>
      <c r="CK11" s="15">
        <f t="shared" si="1"/>
        <v>8.4300936585877686</v>
      </c>
      <c r="CL11" s="15">
        <v>8.43</v>
      </c>
      <c r="CM11" s="14">
        <v>58032</v>
      </c>
      <c r="CN11" s="10">
        <f t="shared" si="52"/>
        <v>37140.480000000003</v>
      </c>
      <c r="CO11" s="14">
        <v>56770</v>
      </c>
      <c r="CP11" s="15">
        <f t="shared" si="53"/>
        <v>36332.800000000003</v>
      </c>
      <c r="CQ11" s="14">
        <v>36787</v>
      </c>
      <c r="CR11" s="15">
        <f t="shared" si="53"/>
        <v>23543.68</v>
      </c>
      <c r="CS11" s="14">
        <v>36194</v>
      </c>
      <c r="CT11" s="15">
        <f t="shared" si="54"/>
        <v>23164.16</v>
      </c>
      <c r="CU11" s="14">
        <v>70375</v>
      </c>
      <c r="CV11" s="15">
        <f t="shared" si="55"/>
        <v>45040</v>
      </c>
      <c r="CW11" s="14">
        <v>54995</v>
      </c>
      <c r="CX11" s="15">
        <f t="shared" si="56"/>
        <v>35196.800000000003</v>
      </c>
      <c r="CY11" s="14"/>
      <c r="CZ11" s="15">
        <f t="shared" si="57"/>
        <v>0</v>
      </c>
      <c r="DA11" s="14"/>
      <c r="DB11" s="15">
        <f t="shared" si="58"/>
        <v>0</v>
      </c>
      <c r="DC11" s="14"/>
      <c r="DD11" s="15">
        <f t="shared" si="59"/>
        <v>0</v>
      </c>
      <c r="DE11" s="14"/>
      <c r="DF11" s="15">
        <f t="shared" si="60"/>
        <v>0</v>
      </c>
      <c r="DG11" s="14"/>
      <c r="DH11" s="15">
        <f t="shared" si="61"/>
        <v>0</v>
      </c>
      <c r="DI11" s="14"/>
      <c r="DJ11" s="15">
        <f t="shared" si="62"/>
        <v>0</v>
      </c>
      <c r="DK11" s="16">
        <f t="shared" si="2"/>
        <v>313153</v>
      </c>
      <c r="DL11" s="17">
        <f t="shared" si="3"/>
        <v>200417.91999999998</v>
      </c>
      <c r="DM11" s="68">
        <f t="shared" si="63"/>
        <v>52192.166666666664</v>
      </c>
      <c r="DN11" s="68">
        <f t="shared" si="64"/>
        <v>33402.986666666664</v>
      </c>
      <c r="DO11" s="69">
        <f t="shared" si="4"/>
        <v>5.6801099276207268</v>
      </c>
      <c r="DP11" s="70">
        <f t="shared" si="65"/>
        <v>-2.7499837309670419</v>
      </c>
      <c r="DQ11" s="71">
        <f t="shared" si="66"/>
        <v>-30.595369227325421</v>
      </c>
      <c r="DR11" s="71">
        <f t="shared" si="67"/>
        <v>-29.708860773700181</v>
      </c>
      <c r="DS11" s="71">
        <f t="shared" si="72"/>
        <v>-14117.920000000006</v>
      </c>
      <c r="DT11" s="71">
        <f t="shared" si="68"/>
        <v>-14724.906666666669</v>
      </c>
      <c r="DU11" s="71">
        <f t="shared" si="69"/>
        <v>-1008.4228571428575</v>
      </c>
      <c r="DV11" s="71">
        <f t="shared" si="70"/>
        <v>-1051.7790476190478</v>
      </c>
      <c r="DW11" s="71">
        <f t="shared" si="71"/>
        <v>-6310.6742857142872</v>
      </c>
    </row>
    <row r="12" spans="1:127">
      <c r="A12" s="7">
        <v>9</v>
      </c>
      <c r="B12" s="8" t="s">
        <v>26</v>
      </c>
      <c r="C12" s="8" t="s">
        <v>16</v>
      </c>
      <c r="D12" s="7">
        <v>1</v>
      </c>
      <c r="E12" s="7" t="s">
        <v>15</v>
      </c>
      <c r="F12" s="7">
        <v>1580</v>
      </c>
      <c r="G12" s="9">
        <v>840</v>
      </c>
      <c r="H12" s="10">
        <f t="shared" si="9"/>
        <v>840</v>
      </c>
      <c r="I12" s="9"/>
      <c r="J12" s="10">
        <f t="shared" si="10"/>
        <v>0</v>
      </c>
      <c r="K12" s="9">
        <v>1812</v>
      </c>
      <c r="L12" s="10">
        <f t="shared" si="11"/>
        <v>1812</v>
      </c>
      <c r="M12" s="9"/>
      <c r="N12" s="10">
        <f t="shared" si="12"/>
        <v>0</v>
      </c>
      <c r="O12" s="9"/>
      <c r="P12" s="10">
        <f t="shared" si="13"/>
        <v>0</v>
      </c>
      <c r="Q12" s="9"/>
      <c r="R12" s="10">
        <f t="shared" si="14"/>
        <v>0</v>
      </c>
      <c r="S12" s="9"/>
      <c r="T12" s="10">
        <f t="shared" si="15"/>
        <v>0</v>
      </c>
      <c r="U12" s="9"/>
      <c r="V12" s="10">
        <f t="shared" si="16"/>
        <v>0</v>
      </c>
      <c r="W12" s="9"/>
      <c r="X12" s="10">
        <f t="shared" si="17"/>
        <v>0</v>
      </c>
      <c r="Y12" s="9"/>
      <c r="Z12" s="10">
        <f t="shared" si="18"/>
        <v>0</v>
      </c>
      <c r="AA12" s="9"/>
      <c r="AB12" s="10">
        <f t="shared" si="19"/>
        <v>0</v>
      </c>
      <c r="AC12" s="9">
        <v>120</v>
      </c>
      <c r="AD12" s="10">
        <f t="shared" si="20"/>
        <v>120</v>
      </c>
      <c r="AE12" s="11">
        <f t="shared" si="21"/>
        <v>231</v>
      </c>
      <c r="AF12" s="12">
        <f t="shared" si="22"/>
        <v>231</v>
      </c>
      <c r="AG12" s="9"/>
      <c r="AH12" s="10">
        <f t="shared" si="23"/>
        <v>0</v>
      </c>
      <c r="AI12" s="9"/>
      <c r="AJ12" s="10">
        <f t="shared" si="24"/>
        <v>0</v>
      </c>
      <c r="AK12" s="9"/>
      <c r="AL12" s="10">
        <f t="shared" si="25"/>
        <v>0</v>
      </c>
      <c r="AM12" s="9"/>
      <c r="AN12" s="10">
        <f t="shared" si="26"/>
        <v>0</v>
      </c>
      <c r="AO12" s="9"/>
      <c r="AP12" s="10">
        <f t="shared" si="27"/>
        <v>0</v>
      </c>
      <c r="AQ12" s="9"/>
      <c r="AR12" s="10">
        <f t="shared" si="28"/>
        <v>0</v>
      </c>
      <c r="AS12" s="9"/>
      <c r="AT12" s="10">
        <f t="shared" si="29"/>
        <v>0</v>
      </c>
      <c r="AU12" s="9"/>
      <c r="AV12" s="10">
        <f t="shared" si="30"/>
        <v>0</v>
      </c>
      <c r="AW12" s="9"/>
      <c r="AX12" s="10">
        <f t="shared" si="31"/>
        <v>0</v>
      </c>
      <c r="AY12" s="9"/>
      <c r="AZ12" s="10">
        <f t="shared" si="32"/>
        <v>0</v>
      </c>
      <c r="BA12" s="9"/>
      <c r="BB12" s="10">
        <f t="shared" si="33"/>
        <v>0</v>
      </c>
      <c r="BC12" s="9"/>
      <c r="BD12" s="10">
        <f t="shared" si="34"/>
        <v>0</v>
      </c>
      <c r="BE12" s="11">
        <f t="shared" si="35"/>
        <v>0</v>
      </c>
      <c r="BF12" s="12">
        <f t="shared" si="36"/>
        <v>0</v>
      </c>
      <c r="BG12" s="9"/>
      <c r="BH12" s="10">
        <f t="shared" si="37"/>
        <v>0</v>
      </c>
      <c r="BI12" s="9"/>
      <c r="BJ12" s="10">
        <f t="shared" si="38"/>
        <v>0</v>
      </c>
      <c r="BK12" s="9"/>
      <c r="BL12" s="10">
        <f t="shared" si="39"/>
        <v>0</v>
      </c>
      <c r="BM12" s="9"/>
      <c r="BN12" s="10">
        <f t="shared" si="40"/>
        <v>0</v>
      </c>
      <c r="BO12" s="9"/>
      <c r="BP12" s="10">
        <f t="shared" si="41"/>
        <v>0</v>
      </c>
      <c r="BQ12" s="9"/>
      <c r="BR12" s="10">
        <f t="shared" si="42"/>
        <v>0</v>
      </c>
      <c r="BS12" s="9"/>
      <c r="BT12" s="10">
        <f t="shared" si="43"/>
        <v>0</v>
      </c>
      <c r="BU12" s="9"/>
      <c r="BV12" s="10">
        <f t="shared" si="44"/>
        <v>0</v>
      </c>
      <c r="BW12" s="9"/>
      <c r="BX12" s="10">
        <f t="shared" si="45"/>
        <v>0</v>
      </c>
      <c r="BY12" s="9"/>
      <c r="BZ12" s="10">
        <f t="shared" si="46"/>
        <v>0</v>
      </c>
      <c r="CA12" s="9"/>
      <c r="CB12" s="10">
        <f t="shared" si="47"/>
        <v>0</v>
      </c>
      <c r="CC12" s="9"/>
      <c r="CD12" s="10">
        <f t="shared" si="48"/>
        <v>0</v>
      </c>
      <c r="CE12" s="19">
        <f t="shared" si="49"/>
        <v>0</v>
      </c>
      <c r="CF12" s="10">
        <f t="shared" si="50"/>
        <v>0</v>
      </c>
      <c r="CG12" s="11">
        <f t="shared" si="0"/>
        <v>0</v>
      </c>
      <c r="CH12" s="12">
        <f t="shared" si="51"/>
        <v>0</v>
      </c>
      <c r="CI12" s="13"/>
      <c r="CJ12" s="10">
        <f t="shared" si="52"/>
        <v>0</v>
      </c>
      <c r="CK12" s="15">
        <f t="shared" si="1"/>
        <v>0</v>
      </c>
      <c r="CL12" s="15"/>
      <c r="CM12" s="14"/>
      <c r="CN12" s="10">
        <f t="shared" si="52"/>
        <v>0</v>
      </c>
      <c r="CO12" s="14"/>
      <c r="CP12" s="15">
        <f t="shared" si="53"/>
        <v>0</v>
      </c>
      <c r="CQ12" s="14"/>
      <c r="CR12" s="15">
        <f t="shared" si="53"/>
        <v>0</v>
      </c>
      <c r="CS12" s="14"/>
      <c r="CT12" s="15">
        <f t="shared" si="54"/>
        <v>0</v>
      </c>
      <c r="CU12" s="14">
        <v>840</v>
      </c>
      <c r="CV12" s="15">
        <f t="shared" si="55"/>
        <v>840</v>
      </c>
      <c r="CW12" s="14">
        <v>1140</v>
      </c>
      <c r="CX12" s="15">
        <f t="shared" si="56"/>
        <v>1140</v>
      </c>
      <c r="CY12" s="14"/>
      <c r="CZ12" s="15">
        <f t="shared" si="57"/>
        <v>0</v>
      </c>
      <c r="DA12" s="14"/>
      <c r="DB12" s="15">
        <f t="shared" si="58"/>
        <v>0</v>
      </c>
      <c r="DC12" s="14"/>
      <c r="DD12" s="15">
        <f t="shared" si="59"/>
        <v>0</v>
      </c>
      <c r="DE12" s="14"/>
      <c r="DF12" s="15">
        <f t="shared" si="60"/>
        <v>0</v>
      </c>
      <c r="DG12" s="14"/>
      <c r="DH12" s="15">
        <f t="shared" si="61"/>
        <v>0</v>
      </c>
      <c r="DI12" s="14"/>
      <c r="DJ12" s="15">
        <f t="shared" si="62"/>
        <v>0</v>
      </c>
      <c r="DK12" s="16">
        <f t="shared" si="2"/>
        <v>1980</v>
      </c>
      <c r="DL12" s="17">
        <f t="shared" si="3"/>
        <v>1980</v>
      </c>
      <c r="DM12" s="68">
        <f t="shared" si="63"/>
        <v>330</v>
      </c>
      <c r="DN12" s="68">
        <f t="shared" si="64"/>
        <v>330</v>
      </c>
      <c r="DO12" s="69">
        <f t="shared" si="4"/>
        <v>5.6115828647902544E-2</v>
      </c>
      <c r="DP12" s="70">
        <f t="shared" si="65"/>
        <v>5.6115828647902544E-2</v>
      </c>
      <c r="DQ12" s="71" t="e">
        <f t="shared" si="66"/>
        <v>#DIV/0!</v>
      </c>
      <c r="DR12" s="71" t="e">
        <f t="shared" si="67"/>
        <v>#DIV/0!</v>
      </c>
      <c r="DS12" s="71">
        <f t="shared" si="72"/>
        <v>330</v>
      </c>
      <c r="DT12" s="71">
        <f t="shared" si="68"/>
        <v>330</v>
      </c>
      <c r="DU12" s="71">
        <f t="shared" si="69"/>
        <v>23.571428571428573</v>
      </c>
      <c r="DV12" s="71">
        <f t="shared" si="70"/>
        <v>23.571428571428573</v>
      </c>
      <c r="DW12" s="71">
        <f t="shared" si="71"/>
        <v>141.42857142857144</v>
      </c>
    </row>
    <row r="13" spans="1:127">
      <c r="A13" s="7">
        <v>10</v>
      </c>
      <c r="B13" s="8" t="s">
        <v>27</v>
      </c>
      <c r="C13" s="8" t="s">
        <v>14</v>
      </c>
      <c r="D13" s="7">
        <v>0.7</v>
      </c>
      <c r="E13" s="7" t="s">
        <v>15</v>
      </c>
      <c r="F13" s="7">
        <v>1700</v>
      </c>
      <c r="G13" s="9">
        <v>25776</v>
      </c>
      <c r="H13" s="10">
        <f t="shared" si="9"/>
        <v>18043.199999999997</v>
      </c>
      <c r="I13" s="9">
        <v>20160</v>
      </c>
      <c r="J13" s="10">
        <f t="shared" si="10"/>
        <v>14112</v>
      </c>
      <c r="K13" s="9">
        <v>22660</v>
      </c>
      <c r="L13" s="10">
        <f t="shared" si="11"/>
        <v>15861.999999999998</v>
      </c>
      <c r="M13" s="9">
        <v>16679</v>
      </c>
      <c r="N13" s="10">
        <f t="shared" si="12"/>
        <v>11675.3</v>
      </c>
      <c r="O13" s="9">
        <v>12936</v>
      </c>
      <c r="P13" s="10">
        <f t="shared" si="13"/>
        <v>9055.1999999999989</v>
      </c>
      <c r="Q13" s="9">
        <v>12696</v>
      </c>
      <c r="R13" s="10">
        <f t="shared" si="14"/>
        <v>8887.1999999999989</v>
      </c>
      <c r="S13" s="9">
        <v>14820</v>
      </c>
      <c r="T13" s="10">
        <f t="shared" si="15"/>
        <v>10374</v>
      </c>
      <c r="U13" s="9">
        <v>24228</v>
      </c>
      <c r="V13" s="10">
        <f t="shared" si="16"/>
        <v>16959.599999999999</v>
      </c>
      <c r="W13" s="9">
        <v>9156</v>
      </c>
      <c r="X13" s="10">
        <f t="shared" si="17"/>
        <v>6409.2</v>
      </c>
      <c r="Y13" s="9">
        <v>8520</v>
      </c>
      <c r="Z13" s="10">
        <f t="shared" si="18"/>
        <v>5964</v>
      </c>
      <c r="AA13" s="9">
        <v>10776</v>
      </c>
      <c r="AB13" s="10">
        <f t="shared" si="19"/>
        <v>7543.2</v>
      </c>
      <c r="AC13" s="9">
        <v>8832</v>
      </c>
      <c r="AD13" s="10">
        <f t="shared" si="20"/>
        <v>6182.4</v>
      </c>
      <c r="AE13" s="11">
        <f t="shared" si="21"/>
        <v>15603.25</v>
      </c>
      <c r="AF13" s="12">
        <f t="shared" si="22"/>
        <v>10922.275</v>
      </c>
      <c r="AG13" s="9">
        <v>10740</v>
      </c>
      <c r="AH13" s="10">
        <f t="shared" si="23"/>
        <v>7517.9999999999991</v>
      </c>
      <c r="AI13" s="9">
        <v>5988</v>
      </c>
      <c r="AJ13" s="10">
        <f t="shared" si="24"/>
        <v>4191.5999999999995</v>
      </c>
      <c r="AK13" s="9">
        <v>9600</v>
      </c>
      <c r="AL13" s="10">
        <f t="shared" si="25"/>
        <v>6720</v>
      </c>
      <c r="AM13" s="9">
        <v>6972</v>
      </c>
      <c r="AN13" s="10">
        <f t="shared" si="26"/>
        <v>4880.3999999999996</v>
      </c>
      <c r="AO13" s="9">
        <v>6840</v>
      </c>
      <c r="AP13" s="10">
        <f t="shared" si="27"/>
        <v>4788</v>
      </c>
      <c r="AQ13" s="9">
        <v>7380</v>
      </c>
      <c r="AR13" s="10">
        <f t="shared" si="28"/>
        <v>5166</v>
      </c>
      <c r="AS13" s="9">
        <v>4404</v>
      </c>
      <c r="AT13" s="10">
        <f t="shared" si="29"/>
        <v>3082.7999999999997</v>
      </c>
      <c r="AU13" s="9">
        <v>6624</v>
      </c>
      <c r="AV13" s="10">
        <f t="shared" si="30"/>
        <v>4636.7999999999993</v>
      </c>
      <c r="AW13" s="9">
        <v>4282</v>
      </c>
      <c r="AX13" s="10">
        <f t="shared" si="31"/>
        <v>2997.3999999999996</v>
      </c>
      <c r="AY13" s="9">
        <v>6540</v>
      </c>
      <c r="AZ13" s="10">
        <f t="shared" si="32"/>
        <v>4578</v>
      </c>
      <c r="BA13" s="9">
        <v>5640</v>
      </c>
      <c r="BB13" s="10">
        <f t="shared" si="33"/>
        <v>3947.9999999999995</v>
      </c>
      <c r="BC13" s="9">
        <v>5580</v>
      </c>
      <c r="BD13" s="10">
        <f t="shared" si="34"/>
        <v>3905.9999999999995</v>
      </c>
      <c r="BE13" s="11">
        <f t="shared" si="35"/>
        <v>6715.833333333333</v>
      </c>
      <c r="BF13" s="12">
        <f t="shared" si="36"/>
        <v>4701.083333333333</v>
      </c>
      <c r="BG13" s="9">
        <v>6204</v>
      </c>
      <c r="BH13" s="10">
        <f t="shared" si="37"/>
        <v>4342.7999999999993</v>
      </c>
      <c r="BI13" s="9">
        <v>5268</v>
      </c>
      <c r="BJ13" s="10">
        <f t="shared" si="38"/>
        <v>3687.6</v>
      </c>
      <c r="BK13" s="9">
        <v>4440</v>
      </c>
      <c r="BL13" s="10">
        <f t="shared" si="39"/>
        <v>3108</v>
      </c>
      <c r="BM13" s="9">
        <v>3996</v>
      </c>
      <c r="BN13" s="10">
        <f t="shared" si="40"/>
        <v>2797.2</v>
      </c>
      <c r="BO13" s="9">
        <v>2436</v>
      </c>
      <c r="BP13" s="10">
        <f t="shared" si="41"/>
        <v>1705.1999999999998</v>
      </c>
      <c r="BQ13" s="9">
        <v>4006</v>
      </c>
      <c r="BR13" s="10">
        <f t="shared" si="42"/>
        <v>2804.2</v>
      </c>
      <c r="BS13" s="9">
        <v>4020</v>
      </c>
      <c r="BT13" s="10">
        <f t="shared" si="43"/>
        <v>2814</v>
      </c>
      <c r="BU13" s="9">
        <v>3900</v>
      </c>
      <c r="BV13" s="10">
        <f t="shared" si="44"/>
        <v>2730</v>
      </c>
      <c r="BW13" s="9">
        <v>4788</v>
      </c>
      <c r="BX13" s="10">
        <f t="shared" si="45"/>
        <v>3351.6</v>
      </c>
      <c r="BY13" s="9">
        <v>4680</v>
      </c>
      <c r="BZ13" s="10">
        <f t="shared" si="46"/>
        <v>3276</v>
      </c>
      <c r="CA13" s="9">
        <v>4452</v>
      </c>
      <c r="CB13" s="10">
        <f t="shared" si="47"/>
        <v>3116.3999999999996</v>
      </c>
      <c r="CC13" s="9">
        <v>5232</v>
      </c>
      <c r="CD13" s="10">
        <f t="shared" si="48"/>
        <v>3662.3999999999996</v>
      </c>
      <c r="CE13" s="19">
        <f t="shared" si="49"/>
        <v>4391.666666666667</v>
      </c>
      <c r="CF13" s="10">
        <f t="shared" si="50"/>
        <v>3074.1666666666665</v>
      </c>
      <c r="CG13" s="11">
        <f t="shared" si="0"/>
        <v>4451.833333333333</v>
      </c>
      <c r="CH13" s="12">
        <f t="shared" si="51"/>
        <v>3116.2833333333328</v>
      </c>
      <c r="CI13" s="13">
        <v>4452</v>
      </c>
      <c r="CJ13" s="10">
        <f t="shared" si="52"/>
        <v>3116.3999999999996</v>
      </c>
      <c r="CK13" s="15">
        <f t="shared" si="1"/>
        <v>0.55282110989526745</v>
      </c>
      <c r="CL13" s="15"/>
      <c r="CM13" s="14">
        <v>4836</v>
      </c>
      <c r="CN13" s="10">
        <f t="shared" si="52"/>
        <v>3385.2</v>
      </c>
      <c r="CO13" s="14">
        <v>3924</v>
      </c>
      <c r="CP13" s="15">
        <f t="shared" si="53"/>
        <v>2746.7999999999997</v>
      </c>
      <c r="CQ13" s="14">
        <v>6216</v>
      </c>
      <c r="CR13" s="15">
        <f t="shared" si="53"/>
        <v>4351.2</v>
      </c>
      <c r="CS13" s="14">
        <v>1416</v>
      </c>
      <c r="CT13" s="15">
        <f t="shared" si="54"/>
        <v>991.19999999999993</v>
      </c>
      <c r="CU13" s="14">
        <v>2400</v>
      </c>
      <c r="CV13" s="15">
        <f t="shared" si="55"/>
        <v>1680</v>
      </c>
      <c r="CW13" s="14">
        <v>4740</v>
      </c>
      <c r="CX13" s="15">
        <f t="shared" si="56"/>
        <v>3318</v>
      </c>
      <c r="CY13" s="14"/>
      <c r="CZ13" s="15">
        <f t="shared" si="57"/>
        <v>0</v>
      </c>
      <c r="DA13" s="14"/>
      <c r="DB13" s="15">
        <f t="shared" si="58"/>
        <v>0</v>
      </c>
      <c r="DC13" s="14"/>
      <c r="DD13" s="15">
        <f t="shared" si="59"/>
        <v>0</v>
      </c>
      <c r="DE13" s="14"/>
      <c r="DF13" s="15">
        <f t="shared" si="60"/>
        <v>0</v>
      </c>
      <c r="DG13" s="14"/>
      <c r="DH13" s="15">
        <f t="shared" si="61"/>
        <v>0</v>
      </c>
      <c r="DI13" s="14"/>
      <c r="DJ13" s="15">
        <f t="shared" si="62"/>
        <v>0</v>
      </c>
      <c r="DK13" s="16">
        <f t="shared" si="2"/>
        <v>23532</v>
      </c>
      <c r="DL13" s="17">
        <f t="shared" si="3"/>
        <v>16472.400000000001</v>
      </c>
      <c r="DM13" s="68">
        <f t="shared" si="63"/>
        <v>3922</v>
      </c>
      <c r="DN13" s="68">
        <f t="shared" si="64"/>
        <v>2745.4</v>
      </c>
      <c r="DO13" s="69">
        <f t="shared" si="4"/>
        <v>0.46684968475742922</v>
      </c>
      <c r="DP13" s="70">
        <f t="shared" si="65"/>
        <v>-8.5971425137838231E-2</v>
      </c>
      <c r="DQ13" s="71">
        <f t="shared" si="66"/>
        <v>-10.694497153700183</v>
      </c>
      <c r="DR13" s="71">
        <f t="shared" si="67"/>
        <v>-11.901463816405212</v>
      </c>
      <c r="DS13" s="71">
        <f t="shared" si="72"/>
        <v>-370.88333333333276</v>
      </c>
      <c r="DT13" s="71">
        <f t="shared" si="68"/>
        <v>-328.76666666666642</v>
      </c>
      <c r="DU13" s="71">
        <f t="shared" si="69"/>
        <v>-26.491666666666625</v>
      </c>
      <c r="DV13" s="71">
        <f t="shared" si="70"/>
        <v>-23.483333333333317</v>
      </c>
      <c r="DW13" s="71">
        <f t="shared" si="71"/>
        <v>-140.89999999999989</v>
      </c>
    </row>
    <row r="14" spans="1:127">
      <c r="A14" s="7">
        <v>11</v>
      </c>
      <c r="B14" s="8" t="s">
        <v>28</v>
      </c>
      <c r="C14" s="8" t="s">
        <v>14</v>
      </c>
      <c r="D14" s="7">
        <v>0.68</v>
      </c>
      <c r="E14" s="7" t="s">
        <v>15</v>
      </c>
      <c r="F14" s="7">
        <v>1500</v>
      </c>
      <c r="G14" s="9"/>
      <c r="H14" s="10">
        <f t="shared" si="9"/>
        <v>0</v>
      </c>
      <c r="I14" s="9"/>
      <c r="J14" s="10">
        <f t="shared" si="10"/>
        <v>0</v>
      </c>
      <c r="K14" s="9"/>
      <c r="L14" s="10">
        <f t="shared" si="11"/>
        <v>0</v>
      </c>
      <c r="M14" s="9"/>
      <c r="N14" s="10">
        <f t="shared" si="12"/>
        <v>0</v>
      </c>
      <c r="O14" s="9"/>
      <c r="P14" s="10">
        <f t="shared" si="13"/>
        <v>0</v>
      </c>
      <c r="Q14" s="9"/>
      <c r="R14" s="10">
        <f t="shared" si="14"/>
        <v>0</v>
      </c>
      <c r="S14" s="9"/>
      <c r="T14" s="10">
        <f t="shared" si="15"/>
        <v>0</v>
      </c>
      <c r="U14" s="9"/>
      <c r="V14" s="10">
        <f t="shared" si="16"/>
        <v>0</v>
      </c>
      <c r="W14" s="9"/>
      <c r="X14" s="10">
        <f t="shared" si="17"/>
        <v>0</v>
      </c>
      <c r="Y14" s="9"/>
      <c r="Z14" s="10">
        <f t="shared" si="18"/>
        <v>0</v>
      </c>
      <c r="AA14" s="9"/>
      <c r="AB14" s="10">
        <f t="shared" si="19"/>
        <v>0</v>
      </c>
      <c r="AC14" s="9"/>
      <c r="AD14" s="10">
        <f t="shared" si="20"/>
        <v>0</v>
      </c>
      <c r="AE14" s="11">
        <f t="shared" si="21"/>
        <v>0</v>
      </c>
      <c r="AF14" s="12">
        <f t="shared" si="22"/>
        <v>0</v>
      </c>
      <c r="AG14" s="9"/>
      <c r="AH14" s="10">
        <f t="shared" si="23"/>
        <v>0</v>
      </c>
      <c r="AI14" s="9"/>
      <c r="AJ14" s="10">
        <f t="shared" si="24"/>
        <v>0</v>
      </c>
      <c r="AK14" s="9"/>
      <c r="AL14" s="10">
        <f t="shared" si="25"/>
        <v>0</v>
      </c>
      <c r="AM14" s="9"/>
      <c r="AN14" s="10">
        <f t="shared" si="26"/>
        <v>0</v>
      </c>
      <c r="AO14" s="9"/>
      <c r="AP14" s="10">
        <f t="shared" si="27"/>
        <v>0</v>
      </c>
      <c r="AQ14" s="9"/>
      <c r="AR14" s="10">
        <f t="shared" si="28"/>
        <v>0</v>
      </c>
      <c r="AS14" s="9"/>
      <c r="AT14" s="10">
        <f t="shared" si="29"/>
        <v>0</v>
      </c>
      <c r="AU14" s="9">
        <v>264</v>
      </c>
      <c r="AV14" s="10">
        <f t="shared" si="30"/>
        <v>179.52</v>
      </c>
      <c r="AW14" s="9">
        <v>1668</v>
      </c>
      <c r="AX14" s="10">
        <f t="shared" si="31"/>
        <v>1134.24</v>
      </c>
      <c r="AY14" s="9">
        <v>4235</v>
      </c>
      <c r="AZ14" s="10">
        <f t="shared" si="32"/>
        <v>2879.8</v>
      </c>
      <c r="BA14" s="9">
        <v>576</v>
      </c>
      <c r="BB14" s="10">
        <f t="shared" si="33"/>
        <v>391.68</v>
      </c>
      <c r="BC14" s="9">
        <v>324</v>
      </c>
      <c r="BD14" s="10">
        <f t="shared" si="34"/>
        <v>220.32000000000002</v>
      </c>
      <c r="BE14" s="11">
        <f t="shared" si="35"/>
        <v>588.91666666666663</v>
      </c>
      <c r="BF14" s="12">
        <f t="shared" si="36"/>
        <v>400.46333333333331</v>
      </c>
      <c r="BG14" s="9">
        <v>1200</v>
      </c>
      <c r="BH14" s="10">
        <f t="shared" si="37"/>
        <v>816.00000000000011</v>
      </c>
      <c r="BI14" s="9">
        <v>611</v>
      </c>
      <c r="BJ14" s="10">
        <f t="shared" si="38"/>
        <v>415.48</v>
      </c>
      <c r="BK14" s="9">
        <v>1647</v>
      </c>
      <c r="BL14" s="10">
        <f t="shared" si="39"/>
        <v>1119.96</v>
      </c>
      <c r="BM14" s="9">
        <v>1038</v>
      </c>
      <c r="BN14" s="10">
        <f t="shared" si="40"/>
        <v>705.84</v>
      </c>
      <c r="BO14" s="9">
        <v>283</v>
      </c>
      <c r="BP14" s="10">
        <f t="shared" si="41"/>
        <v>192.44000000000003</v>
      </c>
      <c r="BQ14" s="9">
        <v>674</v>
      </c>
      <c r="BR14" s="10">
        <f t="shared" si="42"/>
        <v>458.32000000000005</v>
      </c>
      <c r="BS14" s="9">
        <v>670</v>
      </c>
      <c r="BT14" s="10">
        <f t="shared" si="43"/>
        <v>455.6</v>
      </c>
      <c r="BU14" s="9">
        <v>624</v>
      </c>
      <c r="BV14" s="10">
        <f t="shared" si="44"/>
        <v>424.32000000000005</v>
      </c>
      <c r="BW14" s="9">
        <v>984</v>
      </c>
      <c r="BX14" s="10">
        <f t="shared" si="45"/>
        <v>669.12</v>
      </c>
      <c r="BY14" s="9">
        <v>712</v>
      </c>
      <c r="BZ14" s="10">
        <f t="shared" si="46"/>
        <v>484.16</v>
      </c>
      <c r="CA14" s="9">
        <v>528</v>
      </c>
      <c r="CB14" s="10">
        <f t="shared" si="47"/>
        <v>359.04</v>
      </c>
      <c r="CC14" s="9">
        <v>492</v>
      </c>
      <c r="CD14" s="10">
        <f t="shared" si="48"/>
        <v>334.56</v>
      </c>
      <c r="CE14" s="19">
        <f t="shared" si="49"/>
        <v>908.83333333333337</v>
      </c>
      <c r="CF14" s="10">
        <f t="shared" si="50"/>
        <v>618.00666666666677</v>
      </c>
      <c r="CG14" s="11">
        <f t="shared" si="0"/>
        <v>788.58333333333337</v>
      </c>
      <c r="CH14" s="12">
        <f t="shared" si="51"/>
        <v>536.23666666666668</v>
      </c>
      <c r="CI14" s="13">
        <v>788</v>
      </c>
      <c r="CJ14" s="10">
        <f t="shared" si="52"/>
        <v>535.84</v>
      </c>
      <c r="CK14" s="15">
        <f t="shared" si="1"/>
        <v>9.5127084903449718E-2</v>
      </c>
      <c r="CL14" s="15"/>
      <c r="CM14" s="14">
        <v>360</v>
      </c>
      <c r="CN14" s="10">
        <f t="shared" si="52"/>
        <v>244.8</v>
      </c>
      <c r="CO14" s="14">
        <v>360</v>
      </c>
      <c r="CP14" s="15">
        <f t="shared" si="53"/>
        <v>244.8</v>
      </c>
      <c r="CQ14" s="14">
        <v>240</v>
      </c>
      <c r="CR14" s="15">
        <f t="shared" si="53"/>
        <v>163.20000000000002</v>
      </c>
      <c r="CS14" s="14">
        <v>1116</v>
      </c>
      <c r="CT14" s="15">
        <f t="shared" si="54"/>
        <v>758.88000000000011</v>
      </c>
      <c r="CU14" s="14">
        <v>480</v>
      </c>
      <c r="CV14" s="15">
        <f t="shared" si="55"/>
        <v>326.40000000000003</v>
      </c>
      <c r="CW14" s="14">
        <v>420</v>
      </c>
      <c r="CX14" s="15">
        <f t="shared" si="56"/>
        <v>285.60000000000002</v>
      </c>
      <c r="CY14" s="14"/>
      <c r="CZ14" s="15">
        <f t="shared" si="57"/>
        <v>0</v>
      </c>
      <c r="DA14" s="14"/>
      <c r="DB14" s="15">
        <f t="shared" si="58"/>
        <v>0</v>
      </c>
      <c r="DC14" s="14"/>
      <c r="DD14" s="15">
        <f t="shared" si="59"/>
        <v>0</v>
      </c>
      <c r="DE14" s="14"/>
      <c r="DF14" s="15">
        <f t="shared" si="60"/>
        <v>0</v>
      </c>
      <c r="DG14" s="14"/>
      <c r="DH14" s="15">
        <f t="shared" si="61"/>
        <v>0</v>
      </c>
      <c r="DI14" s="14"/>
      <c r="DJ14" s="15">
        <f t="shared" si="62"/>
        <v>0</v>
      </c>
      <c r="DK14" s="16">
        <f t="shared" si="2"/>
        <v>2976</v>
      </c>
      <c r="DL14" s="17">
        <f t="shared" si="3"/>
        <v>2023.6800000000003</v>
      </c>
      <c r="DM14" s="68">
        <f t="shared" si="63"/>
        <v>496</v>
      </c>
      <c r="DN14" s="68">
        <f t="shared" si="64"/>
        <v>337.28000000000003</v>
      </c>
      <c r="DO14" s="69">
        <f t="shared" si="4"/>
        <v>5.7353777837468402E-2</v>
      </c>
      <c r="DP14" s="70">
        <f t="shared" si="65"/>
        <v>-3.7773307065981317E-2</v>
      </c>
      <c r="DQ14" s="71">
        <f t="shared" si="66"/>
        <v>-45.424536952136442</v>
      </c>
      <c r="DR14" s="71">
        <f t="shared" si="67"/>
        <v>-37.102398816442985</v>
      </c>
      <c r="DS14" s="71">
        <f t="shared" si="72"/>
        <v>-198.95666666666665</v>
      </c>
      <c r="DT14" s="71">
        <f t="shared" si="68"/>
        <v>-280.72666666666674</v>
      </c>
      <c r="DU14" s="71">
        <f t="shared" si="69"/>
        <v>-14.211190476190476</v>
      </c>
      <c r="DV14" s="71">
        <f t="shared" si="70"/>
        <v>-20.051904761904769</v>
      </c>
      <c r="DW14" s="71">
        <f t="shared" si="71"/>
        <v>-120.31142857142862</v>
      </c>
    </row>
    <row r="15" spans="1:127">
      <c r="A15" s="7">
        <v>12</v>
      </c>
      <c r="B15" s="8" t="s">
        <v>27</v>
      </c>
      <c r="C15" s="8" t="s">
        <v>14</v>
      </c>
      <c r="D15" s="7">
        <v>0.64</v>
      </c>
      <c r="E15" s="7" t="s">
        <v>20</v>
      </c>
      <c r="F15" s="7">
        <v>1230</v>
      </c>
      <c r="G15" s="9">
        <v>39676</v>
      </c>
      <c r="H15" s="10">
        <f t="shared" si="9"/>
        <v>25392.639999999999</v>
      </c>
      <c r="I15" s="9">
        <v>47110</v>
      </c>
      <c r="J15" s="10">
        <f t="shared" si="10"/>
        <v>30150.400000000001</v>
      </c>
      <c r="K15" s="9">
        <v>48888</v>
      </c>
      <c r="L15" s="10">
        <f t="shared" si="11"/>
        <v>31288.32</v>
      </c>
      <c r="M15" s="9">
        <v>33124</v>
      </c>
      <c r="N15" s="10">
        <f t="shared" si="12"/>
        <v>21199.360000000001</v>
      </c>
      <c r="O15" s="9">
        <v>38360</v>
      </c>
      <c r="P15" s="10">
        <f t="shared" si="13"/>
        <v>24550.400000000001</v>
      </c>
      <c r="Q15" s="9">
        <v>36918</v>
      </c>
      <c r="R15" s="10">
        <f t="shared" si="14"/>
        <v>23627.52</v>
      </c>
      <c r="S15" s="9">
        <v>42098</v>
      </c>
      <c r="T15" s="10">
        <f t="shared" si="15"/>
        <v>26942.720000000001</v>
      </c>
      <c r="U15" s="9">
        <v>45248</v>
      </c>
      <c r="V15" s="10">
        <f t="shared" si="16"/>
        <v>28958.720000000001</v>
      </c>
      <c r="W15" s="9">
        <v>37324</v>
      </c>
      <c r="X15" s="10">
        <f t="shared" si="17"/>
        <v>23887.360000000001</v>
      </c>
      <c r="Y15" s="9">
        <v>43708</v>
      </c>
      <c r="Z15" s="10">
        <f t="shared" si="18"/>
        <v>27973.119999999999</v>
      </c>
      <c r="AA15" s="9">
        <v>44828</v>
      </c>
      <c r="AB15" s="10">
        <f t="shared" si="19"/>
        <v>28689.920000000002</v>
      </c>
      <c r="AC15" s="9">
        <v>54670</v>
      </c>
      <c r="AD15" s="10">
        <f t="shared" si="20"/>
        <v>34988.800000000003</v>
      </c>
      <c r="AE15" s="11">
        <f t="shared" si="21"/>
        <v>42662.666666666664</v>
      </c>
      <c r="AF15" s="12">
        <f t="shared" si="22"/>
        <v>27304.106666666667</v>
      </c>
      <c r="AG15" s="9">
        <v>53162</v>
      </c>
      <c r="AH15" s="10">
        <f t="shared" si="23"/>
        <v>34023.68</v>
      </c>
      <c r="AI15" s="9">
        <v>47572</v>
      </c>
      <c r="AJ15" s="10">
        <f t="shared" si="24"/>
        <v>30446.080000000002</v>
      </c>
      <c r="AK15" s="9">
        <v>52598</v>
      </c>
      <c r="AL15" s="10">
        <f t="shared" si="25"/>
        <v>33662.720000000001</v>
      </c>
      <c r="AM15" s="9">
        <v>43540</v>
      </c>
      <c r="AN15" s="10">
        <f t="shared" si="26"/>
        <v>27865.600000000002</v>
      </c>
      <c r="AO15" s="9">
        <v>34048</v>
      </c>
      <c r="AP15" s="10">
        <f t="shared" si="27"/>
        <v>21790.720000000001</v>
      </c>
      <c r="AQ15" s="9">
        <v>44774</v>
      </c>
      <c r="AR15" s="10">
        <f t="shared" si="28"/>
        <v>28655.360000000001</v>
      </c>
      <c r="AS15" s="9">
        <v>48580</v>
      </c>
      <c r="AT15" s="10">
        <f t="shared" si="29"/>
        <v>31091.200000000001</v>
      </c>
      <c r="AU15" s="9">
        <v>50008</v>
      </c>
      <c r="AV15" s="10">
        <f t="shared" si="30"/>
        <v>32005.119999999999</v>
      </c>
      <c r="AW15" s="9">
        <v>46382</v>
      </c>
      <c r="AX15" s="10">
        <f t="shared" si="31"/>
        <v>29684.48</v>
      </c>
      <c r="AY15" s="9">
        <v>41111</v>
      </c>
      <c r="AZ15" s="10">
        <f t="shared" si="32"/>
        <v>26311.040000000001</v>
      </c>
      <c r="BA15" s="9">
        <v>53928</v>
      </c>
      <c r="BB15" s="10">
        <f t="shared" si="33"/>
        <v>34513.919999999998</v>
      </c>
      <c r="BC15" s="9">
        <v>67326</v>
      </c>
      <c r="BD15" s="10">
        <f t="shared" si="34"/>
        <v>43088.639999999999</v>
      </c>
      <c r="BE15" s="11">
        <f t="shared" si="35"/>
        <v>48585.75</v>
      </c>
      <c r="BF15" s="12">
        <f t="shared" si="36"/>
        <v>31094.880000000001</v>
      </c>
      <c r="BG15" s="9">
        <v>58324</v>
      </c>
      <c r="BH15" s="10">
        <f t="shared" si="37"/>
        <v>37327.360000000001</v>
      </c>
      <c r="BI15" s="9">
        <v>52393</v>
      </c>
      <c r="BJ15" s="10">
        <f t="shared" si="38"/>
        <v>33531.520000000004</v>
      </c>
      <c r="BK15" s="9">
        <v>52290</v>
      </c>
      <c r="BL15" s="10">
        <f t="shared" si="39"/>
        <v>33465.599999999999</v>
      </c>
      <c r="BM15" s="9">
        <v>51660</v>
      </c>
      <c r="BN15" s="10">
        <f t="shared" si="40"/>
        <v>33062.400000000001</v>
      </c>
      <c r="BO15" s="9">
        <v>50582</v>
      </c>
      <c r="BP15" s="10">
        <f t="shared" si="41"/>
        <v>32372.48</v>
      </c>
      <c r="BQ15" s="9">
        <v>50162</v>
      </c>
      <c r="BR15" s="10">
        <f t="shared" si="42"/>
        <v>32103.68</v>
      </c>
      <c r="BS15" s="9">
        <v>47579</v>
      </c>
      <c r="BT15" s="10">
        <f t="shared" si="43"/>
        <v>30450.560000000001</v>
      </c>
      <c r="BU15" s="9">
        <v>54922</v>
      </c>
      <c r="BV15" s="10">
        <f t="shared" si="44"/>
        <v>35150.080000000002</v>
      </c>
      <c r="BW15" s="9">
        <v>54362</v>
      </c>
      <c r="BX15" s="10">
        <f t="shared" si="45"/>
        <v>34791.68</v>
      </c>
      <c r="BY15" s="9">
        <v>53634</v>
      </c>
      <c r="BZ15" s="10">
        <f t="shared" si="46"/>
        <v>34325.760000000002</v>
      </c>
      <c r="CA15" s="9">
        <v>53928</v>
      </c>
      <c r="CB15" s="10">
        <f t="shared" si="47"/>
        <v>34513.919999999998</v>
      </c>
      <c r="CC15" s="9">
        <v>54544</v>
      </c>
      <c r="CD15" s="10">
        <f t="shared" si="48"/>
        <v>34908.160000000003</v>
      </c>
      <c r="CE15" s="19">
        <f t="shared" si="49"/>
        <v>52568.5</v>
      </c>
      <c r="CF15" s="10">
        <f t="shared" si="50"/>
        <v>33643.840000000004</v>
      </c>
      <c r="CG15" s="11">
        <f t="shared" si="0"/>
        <v>52865</v>
      </c>
      <c r="CH15" s="12">
        <f t="shared" si="51"/>
        <v>33833.599999999999</v>
      </c>
      <c r="CI15" s="13">
        <v>52865</v>
      </c>
      <c r="CJ15" s="10">
        <f t="shared" si="52"/>
        <v>33833.599999999999</v>
      </c>
      <c r="CK15" s="15">
        <f t="shared" si="1"/>
        <v>6.0019986320518113</v>
      </c>
      <c r="CL15" s="15"/>
      <c r="CM15" s="14">
        <v>57739</v>
      </c>
      <c r="CN15" s="10">
        <f t="shared" si="52"/>
        <v>36952.959999999999</v>
      </c>
      <c r="CO15" s="14">
        <v>45556</v>
      </c>
      <c r="CP15" s="15">
        <f t="shared" si="53"/>
        <v>29155.84</v>
      </c>
      <c r="CQ15" s="14">
        <v>63224</v>
      </c>
      <c r="CR15" s="15">
        <f t="shared" si="53"/>
        <v>40463.360000000001</v>
      </c>
      <c r="CS15" s="14">
        <v>50397</v>
      </c>
      <c r="CT15" s="15">
        <f t="shared" si="54"/>
        <v>32254.080000000002</v>
      </c>
      <c r="CU15" s="14">
        <v>50260</v>
      </c>
      <c r="CV15" s="15">
        <f t="shared" si="55"/>
        <v>32166.400000000001</v>
      </c>
      <c r="CW15" s="14">
        <v>51932</v>
      </c>
      <c r="CX15" s="15">
        <f t="shared" si="56"/>
        <v>33236.480000000003</v>
      </c>
      <c r="CY15" s="14"/>
      <c r="CZ15" s="15">
        <f t="shared" si="57"/>
        <v>0</v>
      </c>
      <c r="DA15" s="14"/>
      <c r="DB15" s="15">
        <f t="shared" si="58"/>
        <v>0</v>
      </c>
      <c r="DC15" s="14"/>
      <c r="DD15" s="15">
        <f t="shared" si="59"/>
        <v>0</v>
      </c>
      <c r="DE15" s="14"/>
      <c r="DF15" s="15">
        <f t="shared" si="60"/>
        <v>0</v>
      </c>
      <c r="DG15" s="14"/>
      <c r="DH15" s="15">
        <f t="shared" si="61"/>
        <v>0</v>
      </c>
      <c r="DI15" s="14"/>
      <c r="DJ15" s="15">
        <f t="shared" si="62"/>
        <v>0</v>
      </c>
      <c r="DK15" s="16">
        <f t="shared" si="2"/>
        <v>319108</v>
      </c>
      <c r="DL15" s="17">
        <f t="shared" si="3"/>
        <v>204229.12</v>
      </c>
      <c r="DM15" s="68">
        <f t="shared" si="63"/>
        <v>53184.666666666664</v>
      </c>
      <c r="DN15" s="68">
        <f t="shared" si="64"/>
        <v>34038.186666666668</v>
      </c>
      <c r="DO15" s="69">
        <f t="shared" si="4"/>
        <v>5.7881243953696604</v>
      </c>
      <c r="DP15" s="70">
        <f t="shared" si="65"/>
        <v>-0.21387423668215089</v>
      </c>
      <c r="DQ15" s="71">
        <f t="shared" si="66"/>
        <v>1.1721214542295542</v>
      </c>
      <c r="DR15" s="71">
        <f t="shared" si="67"/>
        <v>0.60468488918314733</v>
      </c>
      <c r="DS15" s="71">
        <f t="shared" si="72"/>
        <v>204.58666666666977</v>
      </c>
      <c r="DT15" s="71">
        <f t="shared" si="68"/>
        <v>394.34666666666453</v>
      </c>
      <c r="DU15" s="71">
        <f t="shared" si="69"/>
        <v>14.613333333333555</v>
      </c>
      <c r="DV15" s="71">
        <f t="shared" si="70"/>
        <v>28.167619047618896</v>
      </c>
      <c r="DW15" s="71">
        <f t="shared" si="71"/>
        <v>169.00571428571337</v>
      </c>
    </row>
    <row r="16" spans="1:127">
      <c r="A16" s="7">
        <v>13</v>
      </c>
      <c r="B16" s="8" t="s">
        <v>29</v>
      </c>
      <c r="C16" s="8" t="s">
        <v>14</v>
      </c>
      <c r="D16" s="7">
        <v>0.64</v>
      </c>
      <c r="E16" s="7" t="s">
        <v>20</v>
      </c>
      <c r="F16" s="7">
        <v>1500</v>
      </c>
      <c r="G16" s="9"/>
      <c r="H16" s="10">
        <f t="shared" si="9"/>
        <v>0</v>
      </c>
      <c r="I16" s="9"/>
      <c r="J16" s="10">
        <f t="shared" si="10"/>
        <v>0</v>
      </c>
      <c r="K16" s="9"/>
      <c r="L16" s="10">
        <f t="shared" si="11"/>
        <v>0</v>
      </c>
      <c r="M16" s="9"/>
      <c r="N16" s="10">
        <f t="shared" si="12"/>
        <v>0</v>
      </c>
      <c r="O16" s="9"/>
      <c r="P16" s="10">
        <f t="shared" si="13"/>
        <v>0</v>
      </c>
      <c r="Q16" s="9"/>
      <c r="R16" s="10">
        <f t="shared" si="14"/>
        <v>0</v>
      </c>
      <c r="S16" s="9"/>
      <c r="T16" s="10">
        <f t="shared" si="15"/>
        <v>0</v>
      </c>
      <c r="U16" s="9"/>
      <c r="V16" s="10">
        <f t="shared" si="16"/>
        <v>0</v>
      </c>
      <c r="W16" s="9"/>
      <c r="X16" s="10">
        <f t="shared" si="17"/>
        <v>0</v>
      </c>
      <c r="Y16" s="9"/>
      <c r="Z16" s="10">
        <f t="shared" si="18"/>
        <v>0</v>
      </c>
      <c r="AA16" s="9"/>
      <c r="AB16" s="10">
        <f t="shared" si="19"/>
        <v>0</v>
      </c>
      <c r="AC16" s="9"/>
      <c r="AD16" s="10">
        <f t="shared" si="20"/>
        <v>0</v>
      </c>
      <c r="AE16" s="11">
        <f t="shared" si="21"/>
        <v>0</v>
      </c>
      <c r="AF16" s="12">
        <f t="shared" si="22"/>
        <v>0</v>
      </c>
      <c r="AG16" s="9"/>
      <c r="AH16" s="10">
        <f t="shared" si="23"/>
        <v>0</v>
      </c>
      <c r="AI16" s="9"/>
      <c r="AJ16" s="10">
        <f t="shared" si="24"/>
        <v>0</v>
      </c>
      <c r="AK16" s="9"/>
      <c r="AL16" s="10">
        <f t="shared" si="25"/>
        <v>0</v>
      </c>
      <c r="AM16" s="9"/>
      <c r="AN16" s="10">
        <f t="shared" si="26"/>
        <v>0</v>
      </c>
      <c r="AO16" s="9"/>
      <c r="AP16" s="10">
        <f t="shared" si="27"/>
        <v>0</v>
      </c>
      <c r="AQ16" s="9"/>
      <c r="AR16" s="10">
        <f t="shared" si="28"/>
        <v>0</v>
      </c>
      <c r="AS16" s="9"/>
      <c r="AT16" s="10">
        <f t="shared" si="29"/>
        <v>0</v>
      </c>
      <c r="AU16" s="9"/>
      <c r="AV16" s="10">
        <f t="shared" si="30"/>
        <v>0</v>
      </c>
      <c r="AW16" s="9"/>
      <c r="AX16" s="10">
        <f t="shared" si="31"/>
        <v>0</v>
      </c>
      <c r="AY16" s="9"/>
      <c r="AZ16" s="10">
        <f t="shared" si="32"/>
        <v>0</v>
      </c>
      <c r="BA16" s="9"/>
      <c r="BB16" s="10">
        <f t="shared" si="33"/>
        <v>0</v>
      </c>
      <c r="BC16" s="9"/>
      <c r="BD16" s="10">
        <f t="shared" si="34"/>
        <v>0</v>
      </c>
      <c r="BE16" s="11">
        <f t="shared" si="35"/>
        <v>0</v>
      </c>
      <c r="BF16" s="12">
        <f t="shared" si="36"/>
        <v>0</v>
      </c>
      <c r="BG16" s="9"/>
      <c r="BH16" s="10">
        <f t="shared" si="37"/>
        <v>0</v>
      </c>
      <c r="BI16" s="9"/>
      <c r="BJ16" s="10">
        <f t="shared" si="38"/>
        <v>0</v>
      </c>
      <c r="BK16" s="9">
        <v>1470</v>
      </c>
      <c r="BL16" s="10">
        <f t="shared" si="39"/>
        <v>940.80000000000007</v>
      </c>
      <c r="BM16" s="9">
        <v>7000</v>
      </c>
      <c r="BN16" s="10">
        <f t="shared" si="40"/>
        <v>4480</v>
      </c>
      <c r="BO16" s="9">
        <v>1826</v>
      </c>
      <c r="BP16" s="10">
        <f t="shared" si="41"/>
        <v>1168.6400000000001</v>
      </c>
      <c r="BQ16" s="9">
        <v>2906</v>
      </c>
      <c r="BR16" s="10">
        <f t="shared" si="42"/>
        <v>1859.8400000000001</v>
      </c>
      <c r="BS16" s="9">
        <v>3304</v>
      </c>
      <c r="BT16" s="10">
        <f t="shared" si="43"/>
        <v>2114.56</v>
      </c>
      <c r="BU16" s="9">
        <v>3584</v>
      </c>
      <c r="BV16" s="10">
        <f t="shared" si="44"/>
        <v>2293.7600000000002</v>
      </c>
      <c r="BW16" s="9">
        <v>1974</v>
      </c>
      <c r="BX16" s="10">
        <f t="shared" si="45"/>
        <v>1263.3600000000001</v>
      </c>
      <c r="BY16" s="9">
        <v>3724</v>
      </c>
      <c r="BZ16" s="10">
        <f t="shared" si="46"/>
        <v>2383.36</v>
      </c>
      <c r="CA16" s="9">
        <v>2646</v>
      </c>
      <c r="CB16" s="10">
        <f t="shared" si="47"/>
        <v>1693.44</v>
      </c>
      <c r="CC16" s="9">
        <v>3262</v>
      </c>
      <c r="CD16" s="10">
        <f t="shared" si="48"/>
        <v>2087.6799999999998</v>
      </c>
      <c r="CE16" s="19">
        <f t="shared" si="49"/>
        <v>2200.3333333333335</v>
      </c>
      <c r="CF16" s="10">
        <f t="shared" si="50"/>
        <v>1408.2133333333334</v>
      </c>
      <c r="CG16" s="11">
        <f t="shared" si="0"/>
        <v>2641.3333333333335</v>
      </c>
      <c r="CH16" s="12">
        <f t="shared" si="51"/>
        <v>1690.4533333333334</v>
      </c>
      <c r="CI16" s="13">
        <v>2641</v>
      </c>
      <c r="CJ16" s="10">
        <f t="shared" si="52"/>
        <v>1690.24</v>
      </c>
      <c r="CK16" s="15">
        <f t="shared" si="1"/>
        <v>0.29988232390919356</v>
      </c>
      <c r="CL16" s="15">
        <v>6.95</v>
      </c>
      <c r="CM16" s="14">
        <v>3080</v>
      </c>
      <c r="CN16" s="10">
        <f t="shared" si="52"/>
        <v>1971.2</v>
      </c>
      <c r="CO16" s="14">
        <v>2198</v>
      </c>
      <c r="CP16" s="15">
        <f t="shared" si="53"/>
        <v>1406.72</v>
      </c>
      <c r="CQ16" s="14">
        <v>1960</v>
      </c>
      <c r="CR16" s="15">
        <f t="shared" si="53"/>
        <v>1254.4000000000001</v>
      </c>
      <c r="CS16" s="14">
        <v>504</v>
      </c>
      <c r="CT16" s="15">
        <f t="shared" si="54"/>
        <v>322.56</v>
      </c>
      <c r="CU16" s="14">
        <v>3220</v>
      </c>
      <c r="CV16" s="15">
        <f t="shared" si="55"/>
        <v>2060.8000000000002</v>
      </c>
      <c r="CW16" s="14">
        <v>1764</v>
      </c>
      <c r="CX16" s="15">
        <f t="shared" si="56"/>
        <v>1128.96</v>
      </c>
      <c r="CY16" s="14"/>
      <c r="CZ16" s="15">
        <f t="shared" si="57"/>
        <v>0</v>
      </c>
      <c r="DA16" s="14"/>
      <c r="DB16" s="15">
        <f t="shared" si="58"/>
        <v>0</v>
      </c>
      <c r="DC16" s="14"/>
      <c r="DD16" s="15">
        <f t="shared" si="59"/>
        <v>0</v>
      </c>
      <c r="DE16" s="14"/>
      <c r="DF16" s="15">
        <f t="shared" si="60"/>
        <v>0</v>
      </c>
      <c r="DG16" s="14"/>
      <c r="DH16" s="15">
        <f t="shared" si="61"/>
        <v>0</v>
      </c>
      <c r="DI16" s="14"/>
      <c r="DJ16" s="15">
        <f t="shared" si="62"/>
        <v>0</v>
      </c>
      <c r="DK16" s="16">
        <f t="shared" si="2"/>
        <v>12726</v>
      </c>
      <c r="DL16" s="17">
        <f t="shared" si="3"/>
        <v>8144.64</v>
      </c>
      <c r="DM16" s="68">
        <f t="shared" si="63"/>
        <v>2121</v>
      </c>
      <c r="DN16" s="68">
        <f t="shared" si="64"/>
        <v>1357.44</v>
      </c>
      <c r="DO16" s="69">
        <f t="shared" si="4"/>
        <v>0.23082991042366313</v>
      </c>
      <c r="DP16" s="70">
        <f t="shared" si="65"/>
        <v>-6.9052413485530428E-2</v>
      </c>
      <c r="DQ16" s="71">
        <f t="shared" si="66"/>
        <v>-3.6055143160127301</v>
      </c>
      <c r="DR16" s="71">
        <f t="shared" si="67"/>
        <v>-19.699646643109531</v>
      </c>
      <c r="DS16" s="71">
        <f t="shared" si="72"/>
        <v>-333.01333333333332</v>
      </c>
      <c r="DT16" s="71">
        <f t="shared" si="68"/>
        <v>-50.773333333333312</v>
      </c>
      <c r="DU16" s="71">
        <f t="shared" si="69"/>
        <v>-23.786666666666665</v>
      </c>
      <c r="DV16" s="71">
        <f t="shared" si="70"/>
        <v>-3.6266666666666652</v>
      </c>
      <c r="DW16" s="71">
        <f t="shared" si="71"/>
        <v>-21.759999999999991</v>
      </c>
    </row>
    <row r="17" spans="1:127">
      <c r="A17" s="7">
        <v>14</v>
      </c>
      <c r="B17" s="8" t="s">
        <v>30</v>
      </c>
      <c r="C17" s="8" t="s">
        <v>14</v>
      </c>
      <c r="D17" s="7">
        <v>0.64</v>
      </c>
      <c r="E17" s="7" t="s">
        <v>20</v>
      </c>
      <c r="F17" s="7">
        <v>1270</v>
      </c>
      <c r="G17" s="9">
        <v>131800</v>
      </c>
      <c r="H17" s="10">
        <f t="shared" si="9"/>
        <v>84352</v>
      </c>
      <c r="I17" s="9">
        <v>163296</v>
      </c>
      <c r="J17" s="10">
        <f t="shared" si="10"/>
        <v>104509.44</v>
      </c>
      <c r="K17" s="9">
        <v>161518</v>
      </c>
      <c r="L17" s="10">
        <f t="shared" si="11"/>
        <v>103371.52</v>
      </c>
      <c r="M17" s="9">
        <v>105252</v>
      </c>
      <c r="N17" s="10">
        <f t="shared" si="12"/>
        <v>67361.279999999999</v>
      </c>
      <c r="O17" s="9">
        <v>100870</v>
      </c>
      <c r="P17" s="10">
        <f t="shared" si="13"/>
        <v>64556.800000000003</v>
      </c>
      <c r="Q17" s="9">
        <v>159208</v>
      </c>
      <c r="R17" s="10">
        <f t="shared" si="14"/>
        <v>101893.12</v>
      </c>
      <c r="S17" s="9">
        <v>146160</v>
      </c>
      <c r="T17" s="10">
        <f t="shared" si="15"/>
        <v>93542.400000000009</v>
      </c>
      <c r="U17" s="9">
        <v>158214</v>
      </c>
      <c r="V17" s="10">
        <f t="shared" si="16"/>
        <v>101256.96000000001</v>
      </c>
      <c r="W17" s="9">
        <v>140784</v>
      </c>
      <c r="X17" s="10">
        <f t="shared" si="17"/>
        <v>90101.759999999995</v>
      </c>
      <c r="Y17" s="9">
        <v>106176</v>
      </c>
      <c r="Z17" s="10">
        <f t="shared" si="18"/>
        <v>67952.639999999999</v>
      </c>
      <c r="AA17" s="9">
        <v>152852</v>
      </c>
      <c r="AB17" s="10">
        <f t="shared" si="19"/>
        <v>97825.279999999999</v>
      </c>
      <c r="AC17" s="9">
        <v>156408</v>
      </c>
      <c r="AD17" s="10">
        <f t="shared" si="20"/>
        <v>100101.12</v>
      </c>
      <c r="AE17" s="11">
        <f t="shared" si="21"/>
        <v>140211.5</v>
      </c>
      <c r="AF17" s="12">
        <f t="shared" si="22"/>
        <v>89735.360000000001</v>
      </c>
      <c r="AG17" s="9">
        <v>167569</v>
      </c>
      <c r="AH17" s="10">
        <f t="shared" si="23"/>
        <v>107244.16</v>
      </c>
      <c r="AI17" s="9">
        <v>156820</v>
      </c>
      <c r="AJ17" s="10">
        <f t="shared" si="24"/>
        <v>100364.8</v>
      </c>
      <c r="AK17" s="9">
        <v>114324</v>
      </c>
      <c r="AL17" s="10">
        <f t="shared" si="25"/>
        <v>73167.360000000001</v>
      </c>
      <c r="AM17" s="9">
        <v>130060</v>
      </c>
      <c r="AN17" s="10">
        <f t="shared" si="26"/>
        <v>83238.400000000009</v>
      </c>
      <c r="AO17" s="9">
        <v>115192</v>
      </c>
      <c r="AP17" s="10">
        <f t="shared" si="27"/>
        <v>73722.880000000005</v>
      </c>
      <c r="AQ17" s="9">
        <v>135985</v>
      </c>
      <c r="AR17" s="10">
        <f t="shared" si="28"/>
        <v>87030.400000000009</v>
      </c>
      <c r="AS17" s="9">
        <v>151284</v>
      </c>
      <c r="AT17" s="10">
        <f t="shared" si="29"/>
        <v>96821.759999999995</v>
      </c>
      <c r="AU17" s="9">
        <v>131558</v>
      </c>
      <c r="AV17" s="10">
        <f t="shared" si="30"/>
        <v>84197.119999999995</v>
      </c>
      <c r="AW17" s="9">
        <v>123746</v>
      </c>
      <c r="AX17" s="10">
        <f t="shared" si="31"/>
        <v>79197.440000000002</v>
      </c>
      <c r="AY17" s="9">
        <v>134428</v>
      </c>
      <c r="AZ17" s="10">
        <f t="shared" si="32"/>
        <v>86033.919999999998</v>
      </c>
      <c r="BA17" s="9">
        <v>144902</v>
      </c>
      <c r="BB17" s="10">
        <f t="shared" si="33"/>
        <v>92737.279999999999</v>
      </c>
      <c r="BC17" s="9">
        <v>207298</v>
      </c>
      <c r="BD17" s="10">
        <f t="shared" si="34"/>
        <v>132670.72</v>
      </c>
      <c r="BE17" s="11">
        <f t="shared" si="35"/>
        <v>142763.83333333334</v>
      </c>
      <c r="BF17" s="12">
        <f t="shared" si="36"/>
        <v>91368.853333333347</v>
      </c>
      <c r="BG17" s="9">
        <v>204793</v>
      </c>
      <c r="BH17" s="10">
        <f t="shared" si="37"/>
        <v>131067.52</v>
      </c>
      <c r="BI17" s="9">
        <v>124476</v>
      </c>
      <c r="BJ17" s="10">
        <f t="shared" si="38"/>
        <v>79664.639999999999</v>
      </c>
      <c r="BK17" s="9">
        <v>119466</v>
      </c>
      <c r="BL17" s="10">
        <f t="shared" si="39"/>
        <v>76458.240000000005</v>
      </c>
      <c r="BM17" s="9">
        <v>121002</v>
      </c>
      <c r="BN17" s="10">
        <f t="shared" si="40"/>
        <v>77441.279999999999</v>
      </c>
      <c r="BO17" s="9">
        <v>136738</v>
      </c>
      <c r="BP17" s="10">
        <f t="shared" si="41"/>
        <v>87512.320000000007</v>
      </c>
      <c r="BQ17" s="9">
        <v>143416</v>
      </c>
      <c r="BR17" s="10">
        <f t="shared" si="42"/>
        <v>91786.240000000005</v>
      </c>
      <c r="BS17" s="9">
        <v>140525</v>
      </c>
      <c r="BT17" s="10">
        <f t="shared" si="43"/>
        <v>89936</v>
      </c>
      <c r="BU17" s="9">
        <v>137417</v>
      </c>
      <c r="BV17" s="10">
        <f t="shared" si="44"/>
        <v>87946.880000000005</v>
      </c>
      <c r="BW17" s="9">
        <v>149520</v>
      </c>
      <c r="BX17" s="10">
        <f t="shared" si="45"/>
        <v>95692.800000000003</v>
      </c>
      <c r="BY17" s="9">
        <v>136758</v>
      </c>
      <c r="BZ17" s="10">
        <f t="shared" si="46"/>
        <v>87525.119999999995</v>
      </c>
      <c r="CA17" s="9">
        <v>148316</v>
      </c>
      <c r="CB17" s="10">
        <f t="shared" si="47"/>
        <v>94922.240000000005</v>
      </c>
      <c r="CC17" s="9">
        <v>159250</v>
      </c>
      <c r="CD17" s="10">
        <f t="shared" si="48"/>
        <v>101920</v>
      </c>
      <c r="CE17" s="19">
        <f t="shared" si="49"/>
        <v>141648.5</v>
      </c>
      <c r="CF17" s="10">
        <f t="shared" si="50"/>
        <v>90655.040000000023</v>
      </c>
      <c r="CG17" s="11">
        <f t="shared" si="0"/>
        <v>143473.08333333334</v>
      </c>
      <c r="CH17" s="12">
        <f t="shared" si="51"/>
        <v>91822.773333333345</v>
      </c>
      <c r="CI17" s="13">
        <v>143473</v>
      </c>
      <c r="CJ17" s="10">
        <f t="shared" si="52"/>
        <v>91822.720000000001</v>
      </c>
      <c r="CK17" s="15">
        <f t="shared" si="1"/>
        <v>16.289137423681495</v>
      </c>
      <c r="CL17" s="15">
        <v>16.29</v>
      </c>
      <c r="CM17" s="14">
        <v>154924</v>
      </c>
      <c r="CN17" s="10">
        <f t="shared" si="52"/>
        <v>99151.360000000001</v>
      </c>
      <c r="CO17" s="14">
        <v>128100</v>
      </c>
      <c r="CP17" s="15">
        <f t="shared" si="53"/>
        <v>81984</v>
      </c>
      <c r="CQ17" s="14">
        <v>168241</v>
      </c>
      <c r="CR17" s="15">
        <f t="shared" si="53"/>
        <v>107674.24000000001</v>
      </c>
      <c r="CS17" s="14">
        <v>113416</v>
      </c>
      <c r="CT17" s="15">
        <f t="shared" si="54"/>
        <v>72586.240000000005</v>
      </c>
      <c r="CU17" s="14">
        <v>125095</v>
      </c>
      <c r="CV17" s="15">
        <f t="shared" si="55"/>
        <v>80060.800000000003</v>
      </c>
      <c r="CW17" s="14">
        <v>129262</v>
      </c>
      <c r="CX17" s="15">
        <f t="shared" si="56"/>
        <v>82727.680000000008</v>
      </c>
      <c r="CY17" s="14"/>
      <c r="CZ17" s="15">
        <f t="shared" si="57"/>
        <v>0</v>
      </c>
      <c r="DA17" s="14"/>
      <c r="DB17" s="15">
        <f t="shared" si="58"/>
        <v>0</v>
      </c>
      <c r="DC17" s="14"/>
      <c r="DD17" s="15">
        <f t="shared" si="59"/>
        <v>0</v>
      </c>
      <c r="DE17" s="14"/>
      <c r="DF17" s="15">
        <f t="shared" si="60"/>
        <v>0</v>
      </c>
      <c r="DG17" s="14"/>
      <c r="DH17" s="15">
        <f t="shared" si="61"/>
        <v>0</v>
      </c>
      <c r="DI17" s="14"/>
      <c r="DJ17" s="15">
        <f t="shared" si="62"/>
        <v>0</v>
      </c>
      <c r="DK17" s="16">
        <f t="shared" si="2"/>
        <v>819038</v>
      </c>
      <c r="DL17" s="17">
        <f t="shared" si="3"/>
        <v>524184.31999999995</v>
      </c>
      <c r="DM17" s="68">
        <f t="shared" si="63"/>
        <v>136506.33333333334</v>
      </c>
      <c r="DN17" s="68">
        <f t="shared" si="64"/>
        <v>87364.05333333333</v>
      </c>
      <c r="DO17" s="69">
        <f t="shared" si="4"/>
        <v>14.856079535877431</v>
      </c>
      <c r="DP17" s="70">
        <f t="shared" si="65"/>
        <v>-1.4330578878040647</v>
      </c>
      <c r="DQ17" s="71">
        <f t="shared" si="66"/>
        <v>-3.6302302295235762</v>
      </c>
      <c r="DR17" s="71">
        <f t="shared" si="67"/>
        <v>-4.8557888616738438</v>
      </c>
      <c r="DS17" s="71">
        <f t="shared" si="72"/>
        <v>-4458.7200000000157</v>
      </c>
      <c r="DT17" s="71">
        <f t="shared" si="68"/>
        <v>-3290.9866666666931</v>
      </c>
      <c r="DU17" s="71">
        <f t="shared" si="69"/>
        <v>-318.4800000000011</v>
      </c>
      <c r="DV17" s="71">
        <f t="shared" si="70"/>
        <v>-235.07047619047808</v>
      </c>
      <c r="DW17" s="71">
        <f t="shared" si="71"/>
        <v>-1410.4228571428685</v>
      </c>
    </row>
    <row r="18" spans="1:127">
      <c r="A18" s="7">
        <v>15</v>
      </c>
      <c r="B18" s="8" t="s">
        <v>62</v>
      </c>
      <c r="C18" s="8" t="s">
        <v>14</v>
      </c>
      <c r="D18" s="7">
        <v>0.64</v>
      </c>
      <c r="E18" s="7" t="s">
        <v>20</v>
      </c>
      <c r="F18" s="7">
        <v>1230</v>
      </c>
      <c r="G18" s="9">
        <v>74970</v>
      </c>
      <c r="H18" s="10">
        <f t="shared" si="9"/>
        <v>47980.800000000003</v>
      </c>
      <c r="I18" s="9">
        <v>68278</v>
      </c>
      <c r="J18" s="10">
        <f t="shared" si="10"/>
        <v>43697.919999999998</v>
      </c>
      <c r="K18" s="9">
        <v>73962</v>
      </c>
      <c r="L18" s="10">
        <f t="shared" si="11"/>
        <v>47335.68</v>
      </c>
      <c r="M18" s="9">
        <v>48118</v>
      </c>
      <c r="N18" s="10">
        <f t="shared" si="12"/>
        <v>30795.52</v>
      </c>
      <c r="O18" s="9">
        <v>58968</v>
      </c>
      <c r="P18" s="10">
        <f t="shared" si="13"/>
        <v>37739.520000000004</v>
      </c>
      <c r="Q18" s="9">
        <v>63574</v>
      </c>
      <c r="R18" s="10">
        <f t="shared" si="14"/>
        <v>40687.360000000001</v>
      </c>
      <c r="S18" s="9">
        <v>57927</v>
      </c>
      <c r="T18" s="10">
        <f t="shared" si="15"/>
        <v>37073.279999999999</v>
      </c>
      <c r="U18" s="9">
        <v>66318</v>
      </c>
      <c r="V18" s="10">
        <f t="shared" si="16"/>
        <v>42443.520000000004</v>
      </c>
      <c r="W18" s="9">
        <v>60858</v>
      </c>
      <c r="X18" s="10">
        <f t="shared" si="17"/>
        <v>38949.120000000003</v>
      </c>
      <c r="Y18" s="9">
        <v>64358</v>
      </c>
      <c r="Z18" s="10">
        <f t="shared" si="18"/>
        <v>41189.120000000003</v>
      </c>
      <c r="AA18" s="9">
        <v>66906</v>
      </c>
      <c r="AB18" s="10">
        <f t="shared" si="19"/>
        <v>42819.840000000004</v>
      </c>
      <c r="AC18" s="9">
        <v>73374</v>
      </c>
      <c r="AD18" s="10">
        <f t="shared" si="20"/>
        <v>46959.360000000001</v>
      </c>
      <c r="AE18" s="11">
        <f t="shared" si="21"/>
        <v>64800.916666666664</v>
      </c>
      <c r="AF18" s="12">
        <f t="shared" si="22"/>
        <v>41472.586666666662</v>
      </c>
      <c r="AG18" s="9">
        <v>80892</v>
      </c>
      <c r="AH18" s="10">
        <f t="shared" si="23"/>
        <v>51770.880000000005</v>
      </c>
      <c r="AI18" s="9">
        <v>53830</v>
      </c>
      <c r="AJ18" s="10">
        <f t="shared" si="24"/>
        <v>34451.199999999997</v>
      </c>
      <c r="AK18" s="9">
        <v>55370</v>
      </c>
      <c r="AL18" s="10">
        <f t="shared" si="25"/>
        <v>35436.800000000003</v>
      </c>
      <c r="AM18" s="9">
        <v>52542</v>
      </c>
      <c r="AN18" s="10">
        <f t="shared" si="26"/>
        <v>33626.879999999997</v>
      </c>
      <c r="AO18" s="9">
        <v>50932</v>
      </c>
      <c r="AP18" s="10">
        <f t="shared" si="27"/>
        <v>32596.48</v>
      </c>
      <c r="AQ18" s="9">
        <v>57764</v>
      </c>
      <c r="AR18" s="10">
        <f t="shared" si="28"/>
        <v>36968.959999999999</v>
      </c>
      <c r="AS18" s="9">
        <v>57736</v>
      </c>
      <c r="AT18" s="10">
        <f t="shared" si="29"/>
        <v>36951.040000000001</v>
      </c>
      <c r="AU18" s="9">
        <v>56924</v>
      </c>
      <c r="AV18" s="10">
        <f t="shared" si="30"/>
        <v>36431.360000000001</v>
      </c>
      <c r="AW18" s="9">
        <v>57470</v>
      </c>
      <c r="AX18" s="10">
        <f t="shared" si="31"/>
        <v>36780.800000000003</v>
      </c>
      <c r="AY18" s="9">
        <v>61329</v>
      </c>
      <c r="AZ18" s="10">
        <f t="shared" si="32"/>
        <v>39250.559999999998</v>
      </c>
      <c r="BA18" s="9">
        <v>62412</v>
      </c>
      <c r="BB18" s="10">
        <f t="shared" si="33"/>
        <v>39943.68</v>
      </c>
      <c r="BC18" s="9">
        <v>74214</v>
      </c>
      <c r="BD18" s="10">
        <f t="shared" si="34"/>
        <v>47496.959999999999</v>
      </c>
      <c r="BE18" s="11">
        <f t="shared" si="35"/>
        <v>60117.916666666664</v>
      </c>
      <c r="BF18" s="12">
        <f t="shared" si="36"/>
        <v>38475.466666666667</v>
      </c>
      <c r="BG18" s="9">
        <v>67704</v>
      </c>
      <c r="BH18" s="10">
        <f t="shared" si="37"/>
        <v>43330.559999999998</v>
      </c>
      <c r="BI18" s="9">
        <v>60746</v>
      </c>
      <c r="BJ18" s="10">
        <f t="shared" si="38"/>
        <v>38877.440000000002</v>
      </c>
      <c r="BK18" s="9">
        <v>59836</v>
      </c>
      <c r="BL18" s="10">
        <f t="shared" si="39"/>
        <v>38295.040000000001</v>
      </c>
      <c r="BM18" s="9">
        <v>50484</v>
      </c>
      <c r="BN18" s="10">
        <f t="shared" si="40"/>
        <v>32309.760000000002</v>
      </c>
      <c r="BO18" s="9">
        <v>59738</v>
      </c>
      <c r="BP18" s="10">
        <f t="shared" si="41"/>
        <v>38232.32</v>
      </c>
      <c r="BQ18" s="9">
        <v>58751</v>
      </c>
      <c r="BR18" s="10">
        <f t="shared" si="42"/>
        <v>37600.639999999999</v>
      </c>
      <c r="BS18" s="9">
        <v>60256</v>
      </c>
      <c r="BT18" s="10">
        <f t="shared" si="43"/>
        <v>38563.840000000004</v>
      </c>
      <c r="BU18" s="9">
        <v>54824</v>
      </c>
      <c r="BV18" s="10">
        <f t="shared" si="44"/>
        <v>35087.360000000001</v>
      </c>
      <c r="BW18" s="9">
        <v>60466</v>
      </c>
      <c r="BX18" s="10">
        <f t="shared" si="45"/>
        <v>38698.239999999998</v>
      </c>
      <c r="BY18" s="9">
        <v>67844</v>
      </c>
      <c r="BZ18" s="10">
        <f t="shared" si="46"/>
        <v>43420.160000000003</v>
      </c>
      <c r="CA18" s="9">
        <v>63854</v>
      </c>
      <c r="CB18" s="10">
        <f t="shared" si="47"/>
        <v>40866.559999999998</v>
      </c>
      <c r="CC18" s="9">
        <v>77781</v>
      </c>
      <c r="CD18" s="10">
        <f t="shared" si="48"/>
        <v>49779.840000000004</v>
      </c>
      <c r="CE18" s="19">
        <f t="shared" si="49"/>
        <v>59543.166666666664</v>
      </c>
      <c r="CF18" s="10">
        <f t="shared" si="50"/>
        <v>38107.626666666671</v>
      </c>
      <c r="CG18" s="11">
        <f t="shared" si="0"/>
        <v>61857</v>
      </c>
      <c r="CH18" s="12">
        <f t="shared" si="51"/>
        <v>39588.480000000003</v>
      </c>
      <c r="CI18" s="13">
        <v>61857</v>
      </c>
      <c r="CJ18" s="10">
        <f t="shared" si="52"/>
        <v>39588.480000000003</v>
      </c>
      <c r="CK18" s="15">
        <f t="shared" si="1"/>
        <v>7.0229003950218276</v>
      </c>
      <c r="CL18" s="15">
        <v>7.02</v>
      </c>
      <c r="CM18" s="14">
        <v>68715</v>
      </c>
      <c r="CN18" s="10">
        <f t="shared" si="52"/>
        <v>43977.599999999999</v>
      </c>
      <c r="CO18" s="14">
        <v>60634</v>
      </c>
      <c r="CP18" s="15">
        <f t="shared" si="53"/>
        <v>38805.760000000002</v>
      </c>
      <c r="CQ18" s="14">
        <v>70656</v>
      </c>
      <c r="CR18" s="15">
        <f t="shared" si="53"/>
        <v>45219.840000000004</v>
      </c>
      <c r="CS18" s="14">
        <v>50554</v>
      </c>
      <c r="CT18" s="15">
        <f t="shared" si="54"/>
        <v>32354.560000000001</v>
      </c>
      <c r="CU18" s="14">
        <v>59329</v>
      </c>
      <c r="CV18" s="15">
        <f t="shared" si="55"/>
        <v>37970.559999999998</v>
      </c>
      <c r="CW18" s="14">
        <v>56182</v>
      </c>
      <c r="CX18" s="15">
        <f t="shared" si="56"/>
        <v>35956.480000000003</v>
      </c>
      <c r="CY18" s="14"/>
      <c r="CZ18" s="15">
        <f t="shared" si="57"/>
        <v>0</v>
      </c>
      <c r="DA18" s="14"/>
      <c r="DB18" s="15">
        <f t="shared" si="58"/>
        <v>0</v>
      </c>
      <c r="DC18" s="14"/>
      <c r="DD18" s="15">
        <f t="shared" si="59"/>
        <v>0</v>
      </c>
      <c r="DE18" s="14"/>
      <c r="DF18" s="15">
        <f t="shared" si="60"/>
        <v>0</v>
      </c>
      <c r="DG18" s="14"/>
      <c r="DH18" s="15">
        <f t="shared" si="61"/>
        <v>0</v>
      </c>
      <c r="DI18" s="14"/>
      <c r="DJ18" s="15">
        <f t="shared" si="62"/>
        <v>0</v>
      </c>
      <c r="DK18" s="16">
        <f t="shared" si="2"/>
        <v>366070</v>
      </c>
      <c r="DL18" s="17">
        <f t="shared" si="3"/>
        <v>234284.80000000002</v>
      </c>
      <c r="DM18" s="68">
        <f t="shared" si="63"/>
        <v>61011.666666666664</v>
      </c>
      <c r="DN18" s="68">
        <f t="shared" si="64"/>
        <v>39047.466666666667</v>
      </c>
      <c r="DO18" s="69">
        <f t="shared" si="4"/>
        <v>6.6399422684889489</v>
      </c>
      <c r="DP18" s="70">
        <f t="shared" si="65"/>
        <v>-0.38295812653287875</v>
      </c>
      <c r="DQ18" s="71">
        <f t="shared" si="66"/>
        <v>2.4662779664053005</v>
      </c>
      <c r="DR18" s="71">
        <f t="shared" si="67"/>
        <v>-1.3665928404761587</v>
      </c>
      <c r="DS18" s="71">
        <f t="shared" si="72"/>
        <v>-541.01333333333605</v>
      </c>
      <c r="DT18" s="71">
        <f t="shared" si="68"/>
        <v>939.83999999999651</v>
      </c>
      <c r="DU18" s="71">
        <f t="shared" si="69"/>
        <v>-38.643809523809715</v>
      </c>
      <c r="DV18" s="71">
        <f t="shared" si="70"/>
        <v>67.131428571428316</v>
      </c>
      <c r="DW18" s="71">
        <f t="shared" si="71"/>
        <v>402.78857142856987</v>
      </c>
    </row>
    <row r="19" spans="1:127">
      <c r="A19" s="7">
        <v>16</v>
      </c>
      <c r="B19" s="8" t="s">
        <v>31</v>
      </c>
      <c r="C19" s="8" t="s">
        <v>14</v>
      </c>
      <c r="D19" s="7">
        <v>0.64</v>
      </c>
      <c r="E19" s="7" t="s">
        <v>20</v>
      </c>
      <c r="F19" s="7">
        <v>1250</v>
      </c>
      <c r="G19" s="9">
        <v>9128</v>
      </c>
      <c r="H19" s="10">
        <f t="shared" si="9"/>
        <v>5841.92</v>
      </c>
      <c r="I19" s="9">
        <v>6594</v>
      </c>
      <c r="J19" s="10">
        <f t="shared" si="10"/>
        <v>4220.16</v>
      </c>
      <c r="K19" s="9">
        <v>10458</v>
      </c>
      <c r="L19" s="10">
        <f t="shared" si="11"/>
        <v>6693.12</v>
      </c>
      <c r="M19" s="9">
        <v>7602</v>
      </c>
      <c r="N19" s="10">
        <f t="shared" si="12"/>
        <v>4865.28</v>
      </c>
      <c r="O19" s="9">
        <v>7350</v>
      </c>
      <c r="P19" s="10">
        <f t="shared" si="13"/>
        <v>4704</v>
      </c>
      <c r="Q19" s="9">
        <v>9688</v>
      </c>
      <c r="R19" s="10">
        <f t="shared" si="14"/>
        <v>6200.32</v>
      </c>
      <c r="S19" s="9">
        <v>7000</v>
      </c>
      <c r="T19" s="10">
        <f t="shared" si="15"/>
        <v>4480</v>
      </c>
      <c r="U19" s="9">
        <v>8358</v>
      </c>
      <c r="V19" s="10">
        <f t="shared" si="16"/>
        <v>5349.12</v>
      </c>
      <c r="W19" s="9">
        <v>6860</v>
      </c>
      <c r="X19" s="10">
        <f t="shared" si="17"/>
        <v>4390.4000000000005</v>
      </c>
      <c r="Y19" s="9">
        <v>7700</v>
      </c>
      <c r="Z19" s="10">
        <f t="shared" si="18"/>
        <v>4928</v>
      </c>
      <c r="AA19" s="9">
        <v>8568</v>
      </c>
      <c r="AB19" s="10">
        <f t="shared" si="19"/>
        <v>5483.52</v>
      </c>
      <c r="AC19" s="9">
        <v>10920</v>
      </c>
      <c r="AD19" s="10">
        <f t="shared" si="20"/>
        <v>6988.8</v>
      </c>
      <c r="AE19" s="11">
        <f t="shared" si="21"/>
        <v>8352.1666666666661</v>
      </c>
      <c r="AF19" s="12">
        <f t="shared" si="22"/>
        <v>5345.3866666666663</v>
      </c>
      <c r="AG19" s="9">
        <v>12866</v>
      </c>
      <c r="AH19" s="10">
        <f t="shared" si="23"/>
        <v>8234.24</v>
      </c>
      <c r="AI19" s="9">
        <v>7532</v>
      </c>
      <c r="AJ19" s="10">
        <f t="shared" si="24"/>
        <v>4820.4800000000005</v>
      </c>
      <c r="AK19" s="9">
        <v>7742</v>
      </c>
      <c r="AL19" s="10">
        <f t="shared" si="25"/>
        <v>4954.88</v>
      </c>
      <c r="AM19" s="9">
        <v>7000</v>
      </c>
      <c r="AN19" s="10">
        <f t="shared" si="26"/>
        <v>4480</v>
      </c>
      <c r="AO19" s="9">
        <v>3780</v>
      </c>
      <c r="AP19" s="10">
        <f t="shared" si="27"/>
        <v>2419.2000000000003</v>
      </c>
      <c r="AQ19" s="9">
        <v>4760</v>
      </c>
      <c r="AR19" s="10">
        <f t="shared" si="28"/>
        <v>3046.4</v>
      </c>
      <c r="AS19" s="9">
        <v>8540</v>
      </c>
      <c r="AT19" s="10">
        <f t="shared" si="29"/>
        <v>5465.6</v>
      </c>
      <c r="AU19" s="9">
        <v>7546</v>
      </c>
      <c r="AV19" s="10">
        <f t="shared" si="30"/>
        <v>4829.4400000000005</v>
      </c>
      <c r="AW19" s="9">
        <v>7070</v>
      </c>
      <c r="AX19" s="10">
        <f t="shared" si="31"/>
        <v>4524.8</v>
      </c>
      <c r="AY19" s="9">
        <v>3780</v>
      </c>
      <c r="AZ19" s="10">
        <f t="shared" si="32"/>
        <v>2419.2000000000003</v>
      </c>
      <c r="BA19" s="9">
        <v>5586</v>
      </c>
      <c r="BB19" s="10">
        <f t="shared" si="33"/>
        <v>3575.04</v>
      </c>
      <c r="BC19" s="9">
        <v>8070</v>
      </c>
      <c r="BD19" s="10">
        <f t="shared" si="34"/>
        <v>5164.8</v>
      </c>
      <c r="BE19" s="11">
        <f t="shared" si="35"/>
        <v>7022.666666666667</v>
      </c>
      <c r="BF19" s="12">
        <f t="shared" si="36"/>
        <v>4494.5066666666671</v>
      </c>
      <c r="BG19" s="9">
        <v>6426</v>
      </c>
      <c r="BH19" s="10">
        <f t="shared" si="37"/>
        <v>4112.6400000000003</v>
      </c>
      <c r="BI19" s="9">
        <v>5473</v>
      </c>
      <c r="BJ19" s="10">
        <f t="shared" si="38"/>
        <v>3502.7200000000003</v>
      </c>
      <c r="BK19" s="9">
        <v>6440</v>
      </c>
      <c r="BL19" s="10">
        <f t="shared" si="39"/>
        <v>4121.6000000000004</v>
      </c>
      <c r="BM19" s="9">
        <v>3542</v>
      </c>
      <c r="BN19" s="10">
        <f t="shared" si="40"/>
        <v>2266.88</v>
      </c>
      <c r="BO19" s="9">
        <v>5124</v>
      </c>
      <c r="BP19" s="10">
        <f t="shared" si="41"/>
        <v>3279.36</v>
      </c>
      <c r="BQ19" s="9">
        <v>6335</v>
      </c>
      <c r="BR19" s="10">
        <f t="shared" si="42"/>
        <v>4054.4</v>
      </c>
      <c r="BS19" s="9">
        <v>5614</v>
      </c>
      <c r="BT19" s="10">
        <f t="shared" si="43"/>
        <v>3592.96</v>
      </c>
      <c r="BU19" s="9">
        <v>8190</v>
      </c>
      <c r="BV19" s="10">
        <f t="shared" si="44"/>
        <v>5241.6000000000004</v>
      </c>
      <c r="BW19" s="9">
        <v>8190</v>
      </c>
      <c r="BX19" s="10">
        <f t="shared" si="45"/>
        <v>5241.6000000000004</v>
      </c>
      <c r="BY19" s="9">
        <v>5670</v>
      </c>
      <c r="BZ19" s="10">
        <f t="shared" si="46"/>
        <v>3628.8</v>
      </c>
      <c r="CA19" s="9">
        <v>5670</v>
      </c>
      <c r="CB19" s="10">
        <f t="shared" si="47"/>
        <v>3628.8</v>
      </c>
      <c r="CC19" s="9">
        <v>6510</v>
      </c>
      <c r="CD19" s="10">
        <f t="shared" si="48"/>
        <v>4166.3999999999996</v>
      </c>
      <c r="CE19" s="19">
        <f t="shared" si="49"/>
        <v>5556.666666666667</v>
      </c>
      <c r="CF19" s="10">
        <f t="shared" si="50"/>
        <v>3556.2666666666669</v>
      </c>
      <c r="CG19" s="11">
        <f t="shared" si="0"/>
        <v>6098.666666666667</v>
      </c>
      <c r="CH19" s="12">
        <f t="shared" si="51"/>
        <v>3903.146666666667</v>
      </c>
      <c r="CI19" s="13">
        <v>6099</v>
      </c>
      <c r="CJ19" s="10">
        <f t="shared" si="52"/>
        <v>3903.36</v>
      </c>
      <c r="CK19" s="15">
        <f t="shared" si="1"/>
        <v>0.69240875798114665</v>
      </c>
      <c r="CL19" s="15">
        <v>0.69</v>
      </c>
      <c r="CM19" s="14">
        <v>6650</v>
      </c>
      <c r="CN19" s="10">
        <f t="shared" si="52"/>
        <v>4256</v>
      </c>
      <c r="CO19" s="14">
        <v>3500</v>
      </c>
      <c r="CP19" s="15">
        <f t="shared" si="53"/>
        <v>2240</v>
      </c>
      <c r="CQ19" s="14">
        <v>6762</v>
      </c>
      <c r="CR19" s="15">
        <f t="shared" si="53"/>
        <v>4327.68</v>
      </c>
      <c r="CS19" s="14">
        <v>3514</v>
      </c>
      <c r="CT19" s="15">
        <f t="shared" si="54"/>
        <v>2248.96</v>
      </c>
      <c r="CU19" s="14">
        <v>4410</v>
      </c>
      <c r="CV19" s="15">
        <f t="shared" si="55"/>
        <v>2822.4</v>
      </c>
      <c r="CW19" s="14">
        <v>6356</v>
      </c>
      <c r="CX19" s="15">
        <f t="shared" si="56"/>
        <v>4067.84</v>
      </c>
      <c r="CY19" s="14"/>
      <c r="CZ19" s="15">
        <f t="shared" si="57"/>
        <v>0</v>
      </c>
      <c r="DA19" s="14"/>
      <c r="DB19" s="15">
        <f t="shared" si="58"/>
        <v>0</v>
      </c>
      <c r="DC19" s="14"/>
      <c r="DD19" s="15">
        <f t="shared" si="59"/>
        <v>0</v>
      </c>
      <c r="DE19" s="14"/>
      <c r="DF19" s="15">
        <f t="shared" si="60"/>
        <v>0</v>
      </c>
      <c r="DG19" s="14"/>
      <c r="DH19" s="15">
        <f t="shared" si="61"/>
        <v>0</v>
      </c>
      <c r="DI19" s="14"/>
      <c r="DJ19" s="15">
        <f t="shared" si="62"/>
        <v>0</v>
      </c>
      <c r="DK19" s="16">
        <f t="shared" si="2"/>
        <v>31192</v>
      </c>
      <c r="DL19" s="17">
        <f t="shared" si="3"/>
        <v>19962.879999999997</v>
      </c>
      <c r="DM19" s="68">
        <f t="shared" si="63"/>
        <v>5198.666666666667</v>
      </c>
      <c r="DN19" s="68">
        <f t="shared" si="64"/>
        <v>3327.1466666666661</v>
      </c>
      <c r="DO19" s="69">
        <f t="shared" si="4"/>
        <v>0.5657745219185053</v>
      </c>
      <c r="DP19" s="70">
        <f t="shared" si="65"/>
        <v>-0.12663423606264135</v>
      </c>
      <c r="DQ19" s="71">
        <f t="shared" si="66"/>
        <v>-6.4427114577084836</v>
      </c>
      <c r="DR19" s="71">
        <f t="shared" si="67"/>
        <v>-14.757324005247071</v>
      </c>
      <c r="DS19" s="71">
        <f t="shared" si="72"/>
        <v>-576.00000000000091</v>
      </c>
      <c r="DT19" s="71">
        <f t="shared" si="68"/>
        <v>-229.1200000000008</v>
      </c>
      <c r="DU19" s="71">
        <f t="shared" si="69"/>
        <v>-41.14285714285721</v>
      </c>
      <c r="DV19" s="71">
        <f t="shared" si="70"/>
        <v>-16.365714285714343</v>
      </c>
      <c r="DW19" s="71">
        <f t="shared" si="71"/>
        <v>-98.194285714286053</v>
      </c>
    </row>
    <row r="20" spans="1:127">
      <c r="A20" s="7">
        <v>17</v>
      </c>
      <c r="B20" s="8" t="s">
        <v>32</v>
      </c>
      <c r="C20" s="8" t="s">
        <v>14</v>
      </c>
      <c r="D20" s="7">
        <v>0.64</v>
      </c>
      <c r="E20" s="7" t="s">
        <v>20</v>
      </c>
      <c r="F20" s="7">
        <v>1180</v>
      </c>
      <c r="G20" s="9"/>
      <c r="H20" s="10">
        <f t="shared" si="9"/>
        <v>0</v>
      </c>
      <c r="I20" s="9"/>
      <c r="J20" s="10">
        <f t="shared" si="10"/>
        <v>0</v>
      </c>
      <c r="K20" s="9"/>
      <c r="L20" s="10">
        <f t="shared" si="11"/>
        <v>0</v>
      </c>
      <c r="M20" s="9"/>
      <c r="N20" s="10">
        <f t="shared" si="12"/>
        <v>0</v>
      </c>
      <c r="O20" s="9"/>
      <c r="P20" s="10">
        <f t="shared" si="13"/>
        <v>0</v>
      </c>
      <c r="Q20" s="9"/>
      <c r="R20" s="10">
        <f t="shared" si="14"/>
        <v>0</v>
      </c>
      <c r="S20" s="9"/>
      <c r="T20" s="10">
        <f t="shared" si="15"/>
        <v>0</v>
      </c>
      <c r="U20" s="9"/>
      <c r="V20" s="10">
        <f t="shared" si="16"/>
        <v>0</v>
      </c>
      <c r="W20" s="9"/>
      <c r="X20" s="10">
        <f t="shared" si="17"/>
        <v>0</v>
      </c>
      <c r="Y20" s="9"/>
      <c r="Z20" s="10">
        <f t="shared" si="18"/>
        <v>0</v>
      </c>
      <c r="AA20" s="9"/>
      <c r="AB20" s="10">
        <f t="shared" si="19"/>
        <v>0</v>
      </c>
      <c r="AC20" s="9"/>
      <c r="AD20" s="10">
        <f t="shared" si="20"/>
        <v>0</v>
      </c>
      <c r="AE20" s="11">
        <f t="shared" si="21"/>
        <v>0</v>
      </c>
      <c r="AF20" s="12">
        <f t="shared" si="22"/>
        <v>0</v>
      </c>
      <c r="AG20" s="9"/>
      <c r="AH20" s="10">
        <f t="shared" si="23"/>
        <v>0</v>
      </c>
      <c r="AI20" s="9"/>
      <c r="AJ20" s="10">
        <f t="shared" si="24"/>
        <v>0</v>
      </c>
      <c r="AK20" s="9"/>
      <c r="AL20" s="10">
        <f t="shared" si="25"/>
        <v>0</v>
      </c>
      <c r="AM20" s="9"/>
      <c r="AN20" s="10">
        <f t="shared" si="26"/>
        <v>0</v>
      </c>
      <c r="AO20" s="9"/>
      <c r="AP20" s="10">
        <f t="shared" si="27"/>
        <v>0</v>
      </c>
      <c r="AQ20" s="9"/>
      <c r="AR20" s="10">
        <f t="shared" si="28"/>
        <v>0</v>
      </c>
      <c r="AS20" s="9"/>
      <c r="AT20" s="10">
        <f t="shared" si="29"/>
        <v>0</v>
      </c>
      <c r="AU20" s="9"/>
      <c r="AV20" s="10">
        <f t="shared" si="30"/>
        <v>0</v>
      </c>
      <c r="AW20" s="9"/>
      <c r="AX20" s="10">
        <f t="shared" si="31"/>
        <v>0</v>
      </c>
      <c r="AY20" s="9"/>
      <c r="AZ20" s="10">
        <f t="shared" si="32"/>
        <v>0</v>
      </c>
      <c r="BA20" s="9"/>
      <c r="BB20" s="10">
        <f t="shared" si="33"/>
        <v>0</v>
      </c>
      <c r="BC20" s="9"/>
      <c r="BD20" s="10">
        <f t="shared" si="34"/>
        <v>0</v>
      </c>
      <c r="BE20" s="11">
        <f t="shared" si="35"/>
        <v>0</v>
      </c>
      <c r="BF20" s="12">
        <f t="shared" si="36"/>
        <v>0</v>
      </c>
      <c r="BG20" s="9"/>
      <c r="BH20" s="10">
        <f t="shared" si="37"/>
        <v>0</v>
      </c>
      <c r="BI20" s="9"/>
      <c r="BJ20" s="10">
        <f t="shared" si="38"/>
        <v>0</v>
      </c>
      <c r="BK20" s="9">
        <v>2942</v>
      </c>
      <c r="BL20" s="10">
        <f t="shared" si="39"/>
        <v>1882.88</v>
      </c>
      <c r="BM20" s="9">
        <v>651</v>
      </c>
      <c r="BN20" s="10">
        <f t="shared" si="40"/>
        <v>416.64</v>
      </c>
      <c r="BO20" s="9">
        <v>2143</v>
      </c>
      <c r="BP20" s="10">
        <f t="shared" si="41"/>
        <v>1371.52</v>
      </c>
      <c r="BQ20" s="9">
        <v>1267</v>
      </c>
      <c r="BR20" s="10">
        <f t="shared" si="42"/>
        <v>810.88</v>
      </c>
      <c r="BS20" s="9">
        <v>371</v>
      </c>
      <c r="BT20" s="10">
        <f t="shared" si="43"/>
        <v>237.44</v>
      </c>
      <c r="BU20" s="9">
        <v>336</v>
      </c>
      <c r="BV20" s="10">
        <f t="shared" si="44"/>
        <v>215.04</v>
      </c>
      <c r="BW20" s="9">
        <v>770</v>
      </c>
      <c r="BX20" s="10">
        <f t="shared" si="45"/>
        <v>492.8</v>
      </c>
      <c r="BY20" s="9">
        <v>3164</v>
      </c>
      <c r="BZ20" s="10">
        <f t="shared" si="46"/>
        <v>2024.96</v>
      </c>
      <c r="CA20" s="9">
        <v>196</v>
      </c>
      <c r="CB20" s="10">
        <f t="shared" si="47"/>
        <v>125.44</v>
      </c>
      <c r="CC20" s="9">
        <v>280</v>
      </c>
      <c r="CD20" s="10">
        <f t="shared" si="48"/>
        <v>179.20000000000002</v>
      </c>
      <c r="CE20" s="19">
        <f t="shared" si="49"/>
        <v>1167.1666666666667</v>
      </c>
      <c r="CF20" s="10">
        <f t="shared" si="50"/>
        <v>746.98666666666668</v>
      </c>
      <c r="CG20" s="11">
        <f t="shared" si="0"/>
        <v>1010</v>
      </c>
      <c r="CH20" s="12">
        <f t="shared" si="51"/>
        <v>646.4</v>
      </c>
      <c r="CI20" s="13">
        <v>1010</v>
      </c>
      <c r="CJ20" s="10">
        <f t="shared" si="52"/>
        <v>646.4</v>
      </c>
      <c r="CK20" s="15">
        <f t="shared" si="1"/>
        <v>0.11466979321616058</v>
      </c>
      <c r="CL20" s="15">
        <v>0.11</v>
      </c>
      <c r="CM20" s="14">
        <v>210</v>
      </c>
      <c r="CN20" s="10">
        <f t="shared" si="52"/>
        <v>134.4</v>
      </c>
      <c r="CO20" s="14">
        <v>168</v>
      </c>
      <c r="CP20" s="15">
        <f t="shared" si="53"/>
        <v>107.52</v>
      </c>
      <c r="CQ20" s="14">
        <v>686</v>
      </c>
      <c r="CR20" s="15">
        <f t="shared" si="53"/>
        <v>439.04</v>
      </c>
      <c r="CS20" s="14">
        <v>112</v>
      </c>
      <c r="CT20" s="15">
        <f t="shared" si="54"/>
        <v>71.680000000000007</v>
      </c>
      <c r="CU20" s="14">
        <v>294</v>
      </c>
      <c r="CV20" s="15">
        <f t="shared" si="55"/>
        <v>188.16</v>
      </c>
      <c r="CW20" s="14">
        <v>126</v>
      </c>
      <c r="CX20" s="15">
        <f t="shared" si="56"/>
        <v>80.64</v>
      </c>
      <c r="CY20" s="14"/>
      <c r="CZ20" s="15">
        <f t="shared" si="57"/>
        <v>0</v>
      </c>
      <c r="DA20" s="14"/>
      <c r="DB20" s="15">
        <f t="shared" si="58"/>
        <v>0</v>
      </c>
      <c r="DC20" s="14"/>
      <c r="DD20" s="15">
        <f t="shared" si="59"/>
        <v>0</v>
      </c>
      <c r="DE20" s="14"/>
      <c r="DF20" s="15">
        <f t="shared" si="60"/>
        <v>0</v>
      </c>
      <c r="DG20" s="14"/>
      <c r="DH20" s="15">
        <f t="shared" si="61"/>
        <v>0</v>
      </c>
      <c r="DI20" s="14"/>
      <c r="DJ20" s="15">
        <f t="shared" si="62"/>
        <v>0</v>
      </c>
      <c r="DK20" s="16">
        <f t="shared" si="2"/>
        <v>1596</v>
      </c>
      <c r="DL20" s="17">
        <f t="shared" si="3"/>
        <v>1021.44</v>
      </c>
      <c r="DM20" s="68">
        <f t="shared" si="63"/>
        <v>266</v>
      </c>
      <c r="DN20" s="68">
        <f t="shared" si="64"/>
        <v>170.24</v>
      </c>
      <c r="DO20" s="69">
        <f t="shared" si="4"/>
        <v>2.8948965663693725E-2</v>
      </c>
      <c r="DP20" s="70">
        <f t="shared" si="65"/>
        <v>-8.5720827552466849E-2</v>
      </c>
      <c r="DQ20" s="71">
        <f t="shared" si="66"/>
        <v>-77.209767242610312</v>
      </c>
      <c r="DR20" s="71">
        <f t="shared" si="67"/>
        <v>-73.663366336633658</v>
      </c>
      <c r="DS20" s="71">
        <f t="shared" si="72"/>
        <v>-476.15999999999997</v>
      </c>
      <c r="DT20" s="71">
        <f t="shared" si="68"/>
        <v>-576.74666666666667</v>
      </c>
      <c r="DU20" s="71">
        <f t="shared" si="69"/>
        <v>-34.011428571428567</v>
      </c>
      <c r="DV20" s="71">
        <f t="shared" si="70"/>
        <v>-41.196190476190473</v>
      </c>
      <c r="DW20" s="71">
        <f t="shared" si="71"/>
        <v>-247.17714285714283</v>
      </c>
    </row>
    <row r="21" spans="1:127">
      <c r="A21" s="7">
        <v>18</v>
      </c>
      <c r="B21" s="8" t="s">
        <v>33</v>
      </c>
      <c r="C21" s="8" t="s">
        <v>14</v>
      </c>
      <c r="D21" s="7">
        <v>0.64</v>
      </c>
      <c r="E21" s="7" t="s">
        <v>18</v>
      </c>
      <c r="F21" s="7">
        <v>1230</v>
      </c>
      <c r="G21" s="9">
        <v>12312</v>
      </c>
      <c r="H21" s="10">
        <f t="shared" ref="H21:H25" si="73">G21*$D21</f>
        <v>7879.68</v>
      </c>
      <c r="I21" s="9">
        <v>9552</v>
      </c>
      <c r="J21" s="10">
        <f t="shared" ref="J21:J25" si="74">I21*$D21</f>
        <v>6113.28</v>
      </c>
      <c r="K21" s="9">
        <v>17280</v>
      </c>
      <c r="L21" s="10">
        <f t="shared" ref="L21:L25" si="75">K21*$D21</f>
        <v>11059.2</v>
      </c>
      <c r="M21" s="9">
        <v>8328</v>
      </c>
      <c r="N21" s="10">
        <f t="shared" ref="N21:N25" si="76">M21*$D21</f>
        <v>5329.92</v>
      </c>
      <c r="O21" s="9">
        <v>8640</v>
      </c>
      <c r="P21" s="10">
        <f t="shared" ref="P21:P25" si="77">O21*$D21</f>
        <v>5529.6</v>
      </c>
      <c r="Q21" s="9">
        <v>15312</v>
      </c>
      <c r="R21" s="10">
        <f t="shared" ref="R21:R25" si="78">Q21*$D21</f>
        <v>9799.68</v>
      </c>
      <c r="S21" s="9">
        <v>10944</v>
      </c>
      <c r="T21" s="10">
        <f t="shared" ref="T21:T25" si="79">S21*$D21</f>
        <v>7004.16</v>
      </c>
      <c r="U21" s="9">
        <v>12888</v>
      </c>
      <c r="V21" s="10">
        <f t="shared" ref="V21:V25" si="80">U21*$D21</f>
        <v>8248.32</v>
      </c>
      <c r="W21" s="9">
        <v>11496</v>
      </c>
      <c r="X21" s="10">
        <f t="shared" ref="X21:X25" si="81">W21*$D21</f>
        <v>7357.4400000000005</v>
      </c>
      <c r="Y21" s="9">
        <v>8736</v>
      </c>
      <c r="Z21" s="10">
        <f t="shared" ref="Z21:Z25" si="82">Y21*$D21</f>
        <v>5591.04</v>
      </c>
      <c r="AA21" s="9">
        <v>5760</v>
      </c>
      <c r="AB21" s="10">
        <f t="shared" ref="AB21:AB25" si="83">AA21*$D21</f>
        <v>3686.4</v>
      </c>
      <c r="AC21" s="9">
        <v>13536</v>
      </c>
      <c r="AD21" s="10">
        <f t="shared" ref="AD21:AD25" si="84">AC21*$D21</f>
        <v>8663.0400000000009</v>
      </c>
      <c r="AE21" s="11">
        <f t="shared" ref="AE21:AE35" si="85">(AC21+AA21+Y21+W21+U21+S21+Q21+O21+M21+K21+I21+G21)/12</f>
        <v>11232</v>
      </c>
      <c r="AF21" s="12">
        <f t="shared" ref="AF21:AF25" si="86">AE21*$D21</f>
        <v>7188.4800000000005</v>
      </c>
      <c r="AG21" s="9">
        <v>15072</v>
      </c>
      <c r="AH21" s="10">
        <f t="shared" ref="AH21:AH25" si="87">AG21*$D21</f>
        <v>9646.08</v>
      </c>
      <c r="AI21" s="9">
        <v>5352</v>
      </c>
      <c r="AJ21" s="10">
        <f t="shared" ref="AJ21:AJ25" si="88">AI21*$D21</f>
        <v>3425.28</v>
      </c>
      <c r="AK21" s="9">
        <v>11496</v>
      </c>
      <c r="AL21" s="10">
        <f t="shared" ref="AL21:AL25" si="89">AK21*$D21</f>
        <v>7357.4400000000005</v>
      </c>
      <c r="AM21" s="9">
        <v>10296</v>
      </c>
      <c r="AN21" s="10">
        <f t="shared" ref="AN21:AN25" si="90">AM21*$D21</f>
        <v>6589.4400000000005</v>
      </c>
      <c r="AO21" s="9">
        <v>9336</v>
      </c>
      <c r="AP21" s="10">
        <f t="shared" ref="AP21:AP25" si="91">AO21*$D21</f>
        <v>5975.04</v>
      </c>
      <c r="AQ21" s="9">
        <v>11016</v>
      </c>
      <c r="AR21" s="10">
        <f t="shared" ref="AR21:AR25" si="92">AQ21*$D21</f>
        <v>7050.24</v>
      </c>
      <c r="AS21" s="9">
        <v>13056</v>
      </c>
      <c r="AT21" s="10">
        <f t="shared" ref="AT21:AT25" si="93">AS21*$D21</f>
        <v>8355.84</v>
      </c>
      <c r="AU21" s="9">
        <v>14400</v>
      </c>
      <c r="AV21" s="10">
        <f t="shared" ref="AV21:AV25" si="94">AU21*$D21</f>
        <v>9216</v>
      </c>
      <c r="AW21" s="9">
        <v>12576</v>
      </c>
      <c r="AX21" s="10">
        <f t="shared" ref="AX21:AX25" si="95">AW21*$D21</f>
        <v>8048.64</v>
      </c>
      <c r="AY21" s="9">
        <v>10680</v>
      </c>
      <c r="AZ21" s="10">
        <f t="shared" ref="AZ21:AZ25" si="96">AY21*$D21</f>
        <v>6835.2</v>
      </c>
      <c r="BA21" s="9">
        <v>6942</v>
      </c>
      <c r="BB21" s="10">
        <f t="shared" ref="BB21:BB25" si="97">BA21*$D21</f>
        <v>4442.88</v>
      </c>
      <c r="BC21" s="9">
        <v>17568</v>
      </c>
      <c r="BD21" s="10">
        <f t="shared" ref="BD21:BD25" si="98">BC21*$D21</f>
        <v>11243.52</v>
      </c>
      <c r="BE21" s="11">
        <f t="shared" ref="BE21:BE35" si="99">(BC21+BA21+AY21+AW21+AU21+AS21+AQ21+AO21+AM21+AK21+AI21+AG21)/12</f>
        <v>11482.5</v>
      </c>
      <c r="BF21" s="12">
        <f t="shared" ref="BF21:BF25" si="100">BE21*$D21</f>
        <v>7348.8</v>
      </c>
      <c r="BG21" s="9">
        <v>5832</v>
      </c>
      <c r="BH21" s="10">
        <f t="shared" ref="BH21:BH25" si="101">BG21*$D21</f>
        <v>3732.48</v>
      </c>
      <c r="BI21" s="9">
        <v>7320</v>
      </c>
      <c r="BJ21" s="10">
        <f t="shared" ref="BJ21:BJ25" si="102">BI21*$D21</f>
        <v>4684.8</v>
      </c>
      <c r="BK21" s="9">
        <v>12024</v>
      </c>
      <c r="BL21" s="10">
        <f t="shared" ref="BL21:BL25" si="103">BK21*$D21</f>
        <v>7695.3600000000006</v>
      </c>
      <c r="BM21" s="9">
        <v>6528</v>
      </c>
      <c r="BN21" s="10">
        <f t="shared" ref="BN21:BN25" si="104">BM21*$D21</f>
        <v>4177.92</v>
      </c>
      <c r="BO21" s="9">
        <v>7944</v>
      </c>
      <c r="BP21" s="10">
        <f t="shared" ref="BP21:BP25" si="105">BO21*$D21</f>
        <v>5084.16</v>
      </c>
      <c r="BQ21" s="9">
        <v>9492</v>
      </c>
      <c r="BR21" s="10">
        <f t="shared" ref="BR21:BR25" si="106">BQ21*$D21</f>
        <v>6074.88</v>
      </c>
      <c r="BS21" s="9">
        <v>11832</v>
      </c>
      <c r="BT21" s="10">
        <f t="shared" ref="BT21:BT25" si="107">BS21*$D21</f>
        <v>7572.4800000000005</v>
      </c>
      <c r="BU21" s="9">
        <v>12852</v>
      </c>
      <c r="BV21" s="10">
        <f t="shared" ref="BV21:BV25" si="108">BU21*$D21</f>
        <v>8225.2800000000007</v>
      </c>
      <c r="BW21" s="9">
        <v>10104</v>
      </c>
      <c r="BX21" s="10">
        <f t="shared" ref="BX21:BX25" si="109">BW21*$D21</f>
        <v>6466.56</v>
      </c>
      <c r="BY21" s="9">
        <v>12240</v>
      </c>
      <c r="BZ21" s="10">
        <f t="shared" ref="BZ21:BZ25" si="110">BY21*$D21</f>
        <v>7833.6</v>
      </c>
      <c r="CA21" s="9">
        <v>8880</v>
      </c>
      <c r="CB21" s="10">
        <f t="shared" ref="CB21:CB25" si="111">CA21*$D21</f>
        <v>5683.2</v>
      </c>
      <c r="CC21" s="9">
        <v>12951</v>
      </c>
      <c r="CD21" s="10">
        <f t="shared" ref="CD21:CD25" si="112">CC21*$D21</f>
        <v>8288.64</v>
      </c>
      <c r="CE21" s="19">
        <f t="shared" si="49"/>
        <v>8190</v>
      </c>
      <c r="CF21" s="10">
        <f t="shared" si="50"/>
        <v>5241.6000000000004</v>
      </c>
      <c r="CG21" s="11">
        <f t="shared" si="0"/>
        <v>9833.25</v>
      </c>
      <c r="CH21" s="12">
        <f t="shared" ref="CH21:CH35" si="113">CG21*$D21</f>
        <v>6293.28</v>
      </c>
      <c r="CI21" s="13">
        <v>9833</v>
      </c>
      <c r="CJ21" s="10">
        <f t="shared" si="52"/>
        <v>6293.12</v>
      </c>
      <c r="CK21" s="15">
        <f t="shared" si="1"/>
        <v>1.1164126179631793</v>
      </c>
      <c r="CL21" s="15">
        <v>1.1200000000000001</v>
      </c>
      <c r="CM21" s="14">
        <v>10968</v>
      </c>
      <c r="CN21" s="10">
        <f t="shared" si="52"/>
        <v>7019.52</v>
      </c>
      <c r="CO21" s="14">
        <v>10200</v>
      </c>
      <c r="CP21" s="15">
        <f t="shared" ref="CP21:CR35" si="114">CO21*$D21</f>
        <v>6528</v>
      </c>
      <c r="CQ21" s="14">
        <v>14808</v>
      </c>
      <c r="CR21" s="15">
        <f t="shared" si="114"/>
        <v>9477.1200000000008</v>
      </c>
      <c r="CS21" s="14">
        <v>8928</v>
      </c>
      <c r="CT21" s="15">
        <f t="shared" ref="CT21:CT35" si="115">CS21*$D21</f>
        <v>5713.92</v>
      </c>
      <c r="CU21" s="14">
        <v>13152</v>
      </c>
      <c r="CV21" s="15">
        <f t="shared" ref="CV21:CV35" si="116">CU21*$D21</f>
        <v>8417.2800000000007</v>
      </c>
      <c r="CW21" s="14">
        <v>13198</v>
      </c>
      <c r="CX21" s="15">
        <f t="shared" ref="CX21:CX35" si="117">CW21*$D21</f>
        <v>8446.7199999999993</v>
      </c>
      <c r="CY21" s="14"/>
      <c r="CZ21" s="15">
        <f t="shared" ref="CZ21:CZ35" si="118">CY21*$D21</f>
        <v>0</v>
      </c>
      <c r="DA21" s="14"/>
      <c r="DB21" s="15">
        <f t="shared" ref="DB21:DB35" si="119">DA21*$D21</f>
        <v>0</v>
      </c>
      <c r="DC21" s="14"/>
      <c r="DD21" s="15">
        <f t="shared" ref="DD21:DD35" si="120">DC21*$D21</f>
        <v>0</v>
      </c>
      <c r="DE21" s="14"/>
      <c r="DF21" s="15">
        <f t="shared" ref="DF21:DF35" si="121">DE21*$D21</f>
        <v>0</v>
      </c>
      <c r="DG21" s="14"/>
      <c r="DH21" s="15">
        <f t="shared" ref="DH21:DH35" si="122">DG21*$D21</f>
        <v>0</v>
      </c>
      <c r="DI21" s="14"/>
      <c r="DJ21" s="15">
        <f t="shared" ref="DJ21:DJ35" si="123">DI21*$D21</f>
        <v>0</v>
      </c>
      <c r="DK21" s="16">
        <f t="shared" si="2"/>
        <v>71254</v>
      </c>
      <c r="DL21" s="17">
        <f t="shared" si="3"/>
        <v>45602.559999999998</v>
      </c>
      <c r="DM21" s="68">
        <f t="shared" si="63"/>
        <v>11875.666666666666</v>
      </c>
      <c r="DN21" s="68">
        <f t="shared" si="64"/>
        <v>7600.4266666666663</v>
      </c>
      <c r="DO21" s="69">
        <f t="shared" si="4"/>
        <v>1.2924370923564115</v>
      </c>
      <c r="DP21" s="70">
        <f t="shared" si="65"/>
        <v>0.17602447439323221</v>
      </c>
      <c r="DQ21" s="71">
        <f t="shared" si="66"/>
        <v>45.002035002035001</v>
      </c>
      <c r="DR21" s="71">
        <f t="shared" si="67"/>
        <v>20.770515004364441</v>
      </c>
      <c r="DS21" s="71">
        <f t="shared" si="72"/>
        <v>1307.1466666666665</v>
      </c>
      <c r="DT21" s="71">
        <f t="shared" si="68"/>
        <v>2358.8266666666659</v>
      </c>
      <c r="DU21" s="71">
        <f t="shared" si="69"/>
        <v>93.367619047619044</v>
      </c>
      <c r="DV21" s="71">
        <f t="shared" si="70"/>
        <v>168.48761904761901</v>
      </c>
      <c r="DW21" s="71">
        <f t="shared" si="71"/>
        <v>1010.9257142857141</v>
      </c>
    </row>
    <row r="22" spans="1:127">
      <c r="A22" s="7">
        <v>19</v>
      </c>
      <c r="B22" s="8" t="s">
        <v>34</v>
      </c>
      <c r="C22" s="8" t="s">
        <v>16</v>
      </c>
      <c r="D22" s="7">
        <v>0.6</v>
      </c>
      <c r="E22" s="7" t="s">
        <v>18</v>
      </c>
      <c r="F22" s="7">
        <v>900</v>
      </c>
      <c r="G22" s="9"/>
      <c r="H22" s="10">
        <f t="shared" si="73"/>
        <v>0</v>
      </c>
      <c r="I22" s="9"/>
      <c r="J22" s="10">
        <f t="shared" si="74"/>
        <v>0</v>
      </c>
      <c r="K22" s="9"/>
      <c r="L22" s="10">
        <f t="shared" si="75"/>
        <v>0</v>
      </c>
      <c r="M22" s="9"/>
      <c r="N22" s="10">
        <f t="shared" si="76"/>
        <v>0</v>
      </c>
      <c r="O22" s="9"/>
      <c r="P22" s="10">
        <f t="shared" si="77"/>
        <v>0</v>
      </c>
      <c r="Q22" s="9"/>
      <c r="R22" s="10">
        <f t="shared" si="78"/>
        <v>0</v>
      </c>
      <c r="S22" s="9"/>
      <c r="T22" s="10">
        <f t="shared" si="79"/>
        <v>0</v>
      </c>
      <c r="U22" s="9"/>
      <c r="V22" s="10">
        <f t="shared" si="80"/>
        <v>0</v>
      </c>
      <c r="W22" s="9"/>
      <c r="X22" s="10">
        <f t="shared" si="81"/>
        <v>0</v>
      </c>
      <c r="Y22" s="9"/>
      <c r="Z22" s="10">
        <f t="shared" si="82"/>
        <v>0</v>
      </c>
      <c r="AA22" s="9"/>
      <c r="AB22" s="10">
        <f t="shared" si="83"/>
        <v>0</v>
      </c>
      <c r="AC22" s="9"/>
      <c r="AD22" s="10">
        <f t="shared" si="84"/>
        <v>0</v>
      </c>
      <c r="AE22" s="11">
        <f t="shared" si="85"/>
        <v>0</v>
      </c>
      <c r="AF22" s="12">
        <f t="shared" si="86"/>
        <v>0</v>
      </c>
      <c r="AG22" s="9"/>
      <c r="AH22" s="10">
        <f t="shared" si="87"/>
        <v>0</v>
      </c>
      <c r="AI22" s="9"/>
      <c r="AJ22" s="10">
        <f t="shared" si="88"/>
        <v>0</v>
      </c>
      <c r="AK22" s="9"/>
      <c r="AL22" s="10">
        <f t="shared" si="89"/>
        <v>0</v>
      </c>
      <c r="AM22" s="9"/>
      <c r="AN22" s="10">
        <f t="shared" si="90"/>
        <v>0</v>
      </c>
      <c r="AO22" s="9"/>
      <c r="AP22" s="10">
        <f t="shared" si="91"/>
        <v>0</v>
      </c>
      <c r="AQ22" s="9"/>
      <c r="AR22" s="10">
        <f t="shared" si="92"/>
        <v>0</v>
      </c>
      <c r="AS22" s="9"/>
      <c r="AT22" s="10">
        <f t="shared" si="93"/>
        <v>0</v>
      </c>
      <c r="AU22" s="9"/>
      <c r="AV22" s="10">
        <f t="shared" si="94"/>
        <v>0</v>
      </c>
      <c r="AW22" s="9"/>
      <c r="AX22" s="10">
        <f t="shared" si="95"/>
        <v>0</v>
      </c>
      <c r="AY22" s="9"/>
      <c r="AZ22" s="10">
        <f t="shared" si="96"/>
        <v>0</v>
      </c>
      <c r="BA22" s="9"/>
      <c r="BB22" s="10">
        <f t="shared" si="97"/>
        <v>0</v>
      </c>
      <c r="BC22" s="9"/>
      <c r="BD22" s="10">
        <f t="shared" si="98"/>
        <v>0</v>
      </c>
      <c r="BE22" s="11">
        <f t="shared" si="99"/>
        <v>0</v>
      </c>
      <c r="BF22" s="12">
        <f t="shared" si="100"/>
        <v>0</v>
      </c>
      <c r="BG22" s="9"/>
      <c r="BH22" s="10">
        <f t="shared" si="101"/>
        <v>0</v>
      </c>
      <c r="BI22" s="9"/>
      <c r="BJ22" s="10">
        <f t="shared" si="102"/>
        <v>0</v>
      </c>
      <c r="BK22" s="9"/>
      <c r="BL22" s="10">
        <f t="shared" si="103"/>
        <v>0</v>
      </c>
      <c r="BM22" s="9"/>
      <c r="BN22" s="10">
        <f t="shared" si="104"/>
        <v>0</v>
      </c>
      <c r="BO22" s="9">
        <v>12608</v>
      </c>
      <c r="BP22" s="10">
        <f t="shared" si="105"/>
        <v>7564.7999999999993</v>
      </c>
      <c r="BQ22" s="9">
        <v>6380</v>
      </c>
      <c r="BR22" s="10">
        <f t="shared" si="106"/>
        <v>3828</v>
      </c>
      <c r="BS22" s="9">
        <v>18960</v>
      </c>
      <c r="BT22" s="10">
        <f t="shared" si="107"/>
        <v>11376</v>
      </c>
      <c r="BU22" s="9">
        <v>12922</v>
      </c>
      <c r="BV22" s="10">
        <f t="shared" si="108"/>
        <v>7753.2</v>
      </c>
      <c r="BW22" s="9">
        <v>27118</v>
      </c>
      <c r="BX22" s="10">
        <f t="shared" si="109"/>
        <v>16270.8</v>
      </c>
      <c r="BY22" s="9">
        <v>29069</v>
      </c>
      <c r="BZ22" s="10">
        <f t="shared" si="110"/>
        <v>17441.399999999998</v>
      </c>
      <c r="CA22" s="9">
        <v>28498</v>
      </c>
      <c r="CB22" s="10">
        <f t="shared" si="111"/>
        <v>17098.8</v>
      </c>
      <c r="CC22" s="9">
        <v>30810</v>
      </c>
      <c r="CD22" s="10">
        <f t="shared" si="112"/>
        <v>18486</v>
      </c>
      <c r="CE22" s="19">
        <f t="shared" si="49"/>
        <v>3164.6666666666665</v>
      </c>
      <c r="CF22" s="10">
        <f t="shared" si="50"/>
        <v>1898.8</v>
      </c>
      <c r="CG22" s="11">
        <f t="shared" si="0"/>
        <v>13863.75</v>
      </c>
      <c r="CH22" s="12">
        <f t="shared" si="113"/>
        <v>8318.25</v>
      </c>
      <c r="CI22" s="13">
        <v>20795</v>
      </c>
      <c r="CJ22" s="10">
        <f t="shared" ref="CJ22:CN35" si="124">CI22*$D22</f>
        <v>12477</v>
      </c>
      <c r="CK22" s="15">
        <f t="shared" si="1"/>
        <v>1.4756373877170912</v>
      </c>
      <c r="CL22" s="15"/>
      <c r="CM22" s="18">
        <v>42798</v>
      </c>
      <c r="CN22" s="10">
        <f t="shared" si="124"/>
        <v>25678.799999999999</v>
      </c>
      <c r="CO22" s="14">
        <v>32991</v>
      </c>
      <c r="CP22" s="15">
        <f t="shared" si="114"/>
        <v>19794.599999999999</v>
      </c>
      <c r="CQ22" s="14">
        <v>26400</v>
      </c>
      <c r="CR22" s="15">
        <f t="shared" si="114"/>
        <v>15840</v>
      </c>
      <c r="CS22" s="14">
        <v>39264</v>
      </c>
      <c r="CT22" s="15">
        <f t="shared" si="115"/>
        <v>23558.399999999998</v>
      </c>
      <c r="CU22" s="14">
        <v>37848</v>
      </c>
      <c r="CV22" s="15">
        <f t="shared" si="116"/>
        <v>22708.799999999999</v>
      </c>
      <c r="CW22" s="14">
        <v>38424</v>
      </c>
      <c r="CX22" s="15">
        <f t="shared" si="117"/>
        <v>23054.399999999998</v>
      </c>
      <c r="CY22" s="14"/>
      <c r="CZ22" s="15">
        <f t="shared" si="118"/>
        <v>0</v>
      </c>
      <c r="DA22" s="14"/>
      <c r="DB22" s="15">
        <f t="shared" si="119"/>
        <v>0</v>
      </c>
      <c r="DC22" s="14"/>
      <c r="DD22" s="15">
        <f t="shared" si="120"/>
        <v>0</v>
      </c>
      <c r="DE22" s="14"/>
      <c r="DF22" s="15">
        <f t="shared" si="121"/>
        <v>0</v>
      </c>
      <c r="DG22" s="14"/>
      <c r="DH22" s="15">
        <f t="shared" si="122"/>
        <v>0</v>
      </c>
      <c r="DI22" s="14"/>
      <c r="DJ22" s="15">
        <f t="shared" si="123"/>
        <v>0</v>
      </c>
      <c r="DK22" s="16">
        <f t="shared" si="2"/>
        <v>217725</v>
      </c>
      <c r="DL22" s="17">
        <f t="shared" si="3"/>
        <v>130634.99999999999</v>
      </c>
      <c r="DM22" s="68">
        <f t="shared" si="63"/>
        <v>36287.5</v>
      </c>
      <c r="DN22" s="68">
        <f t="shared" si="64"/>
        <v>21772.499999999996</v>
      </c>
      <c r="DO22" s="69">
        <f t="shared" si="4"/>
        <v>3.7023693310195696</v>
      </c>
      <c r="DP22" s="70">
        <f t="shared" si="65"/>
        <v>2.2267319433024784</v>
      </c>
      <c r="DQ22" s="71">
        <f t="shared" si="66"/>
        <v>1046.6452496313459</v>
      </c>
      <c r="DR22" s="71">
        <f t="shared" si="67"/>
        <v>161.74375619871967</v>
      </c>
      <c r="DS22" s="71">
        <f t="shared" si="72"/>
        <v>13454.249999999996</v>
      </c>
      <c r="DT22" s="71">
        <f t="shared" si="68"/>
        <v>19873.699999999997</v>
      </c>
      <c r="DU22" s="71">
        <f t="shared" si="69"/>
        <v>961.01785714285688</v>
      </c>
      <c r="DV22" s="71">
        <f t="shared" si="70"/>
        <v>1419.5499999999997</v>
      </c>
      <c r="DW22" s="71">
        <f t="shared" si="71"/>
        <v>8517.2999999999993</v>
      </c>
    </row>
    <row r="23" spans="1:127">
      <c r="A23" s="7">
        <v>20</v>
      </c>
      <c r="B23" s="8" t="s">
        <v>35</v>
      </c>
      <c r="C23" s="8" t="s">
        <v>14</v>
      </c>
      <c r="D23" s="7">
        <v>0.64</v>
      </c>
      <c r="E23" s="7" t="s">
        <v>20</v>
      </c>
      <c r="F23" s="7">
        <v>1230</v>
      </c>
      <c r="G23" s="9"/>
      <c r="H23" s="10">
        <f t="shared" si="73"/>
        <v>0</v>
      </c>
      <c r="I23" s="9"/>
      <c r="J23" s="10">
        <f t="shared" si="74"/>
        <v>0</v>
      </c>
      <c r="K23" s="9"/>
      <c r="L23" s="10">
        <f t="shared" si="75"/>
        <v>0</v>
      </c>
      <c r="M23" s="9"/>
      <c r="N23" s="10">
        <f t="shared" si="76"/>
        <v>0</v>
      </c>
      <c r="O23" s="9"/>
      <c r="P23" s="10">
        <f t="shared" si="77"/>
        <v>0</v>
      </c>
      <c r="Q23" s="9"/>
      <c r="R23" s="10">
        <f t="shared" si="78"/>
        <v>0</v>
      </c>
      <c r="S23" s="9"/>
      <c r="T23" s="10">
        <f t="shared" si="79"/>
        <v>0</v>
      </c>
      <c r="U23" s="9"/>
      <c r="V23" s="10">
        <f t="shared" si="80"/>
        <v>0</v>
      </c>
      <c r="W23" s="9"/>
      <c r="X23" s="10">
        <f t="shared" si="81"/>
        <v>0</v>
      </c>
      <c r="Y23" s="9"/>
      <c r="Z23" s="10">
        <f t="shared" si="82"/>
        <v>0</v>
      </c>
      <c r="AA23" s="9"/>
      <c r="AB23" s="10">
        <f t="shared" si="83"/>
        <v>0</v>
      </c>
      <c r="AC23" s="9"/>
      <c r="AD23" s="10">
        <f t="shared" si="84"/>
        <v>0</v>
      </c>
      <c r="AE23" s="11">
        <f t="shared" si="85"/>
        <v>0</v>
      </c>
      <c r="AF23" s="12">
        <f t="shared" si="86"/>
        <v>0</v>
      </c>
      <c r="AG23" s="9"/>
      <c r="AH23" s="10">
        <f t="shared" si="87"/>
        <v>0</v>
      </c>
      <c r="AI23" s="9"/>
      <c r="AJ23" s="10">
        <f t="shared" si="88"/>
        <v>0</v>
      </c>
      <c r="AK23" s="9"/>
      <c r="AL23" s="10">
        <f t="shared" si="89"/>
        <v>0</v>
      </c>
      <c r="AM23" s="9"/>
      <c r="AN23" s="10">
        <f t="shared" si="90"/>
        <v>0</v>
      </c>
      <c r="AO23" s="9"/>
      <c r="AP23" s="10">
        <f t="shared" si="91"/>
        <v>0</v>
      </c>
      <c r="AQ23" s="9"/>
      <c r="AR23" s="10">
        <f t="shared" si="92"/>
        <v>0</v>
      </c>
      <c r="AS23" s="9"/>
      <c r="AT23" s="10">
        <f t="shared" si="93"/>
        <v>0</v>
      </c>
      <c r="AU23" s="9"/>
      <c r="AV23" s="10">
        <f t="shared" si="94"/>
        <v>0</v>
      </c>
      <c r="AW23" s="9"/>
      <c r="AX23" s="10">
        <f t="shared" si="95"/>
        <v>0</v>
      </c>
      <c r="AY23" s="9"/>
      <c r="AZ23" s="10">
        <f t="shared" si="96"/>
        <v>0</v>
      </c>
      <c r="BA23" s="9"/>
      <c r="BB23" s="10">
        <f t="shared" si="97"/>
        <v>0</v>
      </c>
      <c r="BC23" s="9"/>
      <c r="BD23" s="10">
        <f t="shared" si="98"/>
        <v>0</v>
      </c>
      <c r="BE23" s="11">
        <f t="shared" si="99"/>
        <v>0</v>
      </c>
      <c r="BF23" s="12">
        <f t="shared" si="100"/>
        <v>0</v>
      </c>
      <c r="BG23" s="9"/>
      <c r="BH23" s="10">
        <f t="shared" si="101"/>
        <v>0</v>
      </c>
      <c r="BI23" s="9"/>
      <c r="BJ23" s="10">
        <f t="shared" si="102"/>
        <v>0</v>
      </c>
      <c r="BK23" s="9">
        <v>5419</v>
      </c>
      <c r="BL23" s="10">
        <f t="shared" si="103"/>
        <v>3468.16</v>
      </c>
      <c r="BM23" s="9">
        <v>840</v>
      </c>
      <c r="BN23" s="10">
        <f t="shared" si="104"/>
        <v>537.6</v>
      </c>
      <c r="BO23" s="9">
        <v>2533</v>
      </c>
      <c r="BP23" s="10">
        <f t="shared" si="105"/>
        <v>1621.1200000000001</v>
      </c>
      <c r="BQ23" s="9">
        <v>2394</v>
      </c>
      <c r="BR23" s="10">
        <f t="shared" si="106"/>
        <v>1532.16</v>
      </c>
      <c r="BS23" s="9">
        <v>623</v>
      </c>
      <c r="BT23" s="10">
        <f t="shared" si="107"/>
        <v>398.72</v>
      </c>
      <c r="BU23" s="9">
        <v>504</v>
      </c>
      <c r="BV23" s="10">
        <f t="shared" si="108"/>
        <v>322.56</v>
      </c>
      <c r="BW23" s="9">
        <v>322</v>
      </c>
      <c r="BX23" s="10">
        <f t="shared" si="109"/>
        <v>206.08</v>
      </c>
      <c r="BY23" s="9">
        <v>373</v>
      </c>
      <c r="BZ23" s="10">
        <f t="shared" si="110"/>
        <v>238.72</v>
      </c>
      <c r="CA23" s="9">
        <v>1512</v>
      </c>
      <c r="CB23" s="10">
        <f t="shared" si="111"/>
        <v>967.68000000000006</v>
      </c>
      <c r="CC23" s="9">
        <v>168</v>
      </c>
      <c r="CD23" s="10">
        <f t="shared" si="112"/>
        <v>107.52</v>
      </c>
      <c r="CE23" s="19">
        <f t="shared" si="49"/>
        <v>1864.3333333333333</v>
      </c>
      <c r="CF23" s="10">
        <f t="shared" si="50"/>
        <v>1193.1733333333334</v>
      </c>
      <c r="CG23" s="11">
        <f t="shared" si="0"/>
        <v>1224</v>
      </c>
      <c r="CH23" s="12">
        <f t="shared" si="113"/>
        <v>783.36</v>
      </c>
      <c r="CI23" s="13">
        <v>1224</v>
      </c>
      <c r="CJ23" s="10">
        <f t="shared" si="124"/>
        <v>783.36</v>
      </c>
      <c r="CK23" s="15">
        <f t="shared" si="1"/>
        <v>0.13896616524413916</v>
      </c>
      <c r="CL23" s="15"/>
      <c r="CM23" s="18">
        <v>98</v>
      </c>
      <c r="CN23" s="10">
        <f t="shared" si="124"/>
        <v>62.72</v>
      </c>
      <c r="CO23" s="14">
        <v>2380</v>
      </c>
      <c r="CP23" s="15">
        <f t="shared" si="114"/>
        <v>1523.2</v>
      </c>
      <c r="CQ23" s="14"/>
      <c r="CR23" s="15">
        <f t="shared" si="114"/>
        <v>0</v>
      </c>
      <c r="CS23" s="14"/>
      <c r="CT23" s="15">
        <f t="shared" si="115"/>
        <v>0</v>
      </c>
      <c r="CU23" s="14"/>
      <c r="CV23" s="15">
        <f t="shared" si="116"/>
        <v>0</v>
      </c>
      <c r="CW23" s="14"/>
      <c r="CX23" s="15">
        <f t="shared" si="117"/>
        <v>0</v>
      </c>
      <c r="CY23" s="14"/>
      <c r="CZ23" s="15">
        <f t="shared" si="118"/>
        <v>0</v>
      </c>
      <c r="DA23" s="14"/>
      <c r="DB23" s="15">
        <f t="shared" si="119"/>
        <v>0</v>
      </c>
      <c r="DC23" s="14"/>
      <c r="DD23" s="15">
        <f t="shared" si="120"/>
        <v>0</v>
      </c>
      <c r="DE23" s="14"/>
      <c r="DF23" s="15">
        <f t="shared" si="121"/>
        <v>0</v>
      </c>
      <c r="DG23" s="14"/>
      <c r="DH23" s="15">
        <f t="shared" si="122"/>
        <v>0</v>
      </c>
      <c r="DI23" s="14"/>
      <c r="DJ23" s="15">
        <f t="shared" si="123"/>
        <v>0</v>
      </c>
      <c r="DK23" s="16">
        <f t="shared" si="2"/>
        <v>2478</v>
      </c>
      <c r="DL23" s="17">
        <f t="shared" si="3"/>
        <v>1585.92</v>
      </c>
      <c r="DM23" s="68">
        <f t="shared" si="63"/>
        <v>413</v>
      </c>
      <c r="DN23" s="68">
        <f t="shared" si="64"/>
        <v>264.32</v>
      </c>
      <c r="DO23" s="69">
        <f t="shared" si="4"/>
        <v>4.4947078267313943E-2</v>
      </c>
      <c r="DP23" s="70">
        <f t="shared" si="65"/>
        <v>-9.4019086976825206E-2</v>
      </c>
      <c r="DQ23" s="71">
        <f t="shared" si="66"/>
        <v>-77.847309136420535</v>
      </c>
      <c r="DR23" s="71">
        <f t="shared" si="67"/>
        <v>-66.258169934640534</v>
      </c>
      <c r="DS23" s="71">
        <f t="shared" si="72"/>
        <v>-519.04</v>
      </c>
      <c r="DT23" s="71">
        <f t="shared" si="68"/>
        <v>-928.85333333333347</v>
      </c>
      <c r="DU23" s="71">
        <f t="shared" si="69"/>
        <v>-37.074285714285715</v>
      </c>
      <c r="DV23" s="71">
        <f t="shared" si="70"/>
        <v>-66.346666666666678</v>
      </c>
      <c r="DW23" s="71">
        <f t="shared" si="71"/>
        <v>-398.08000000000004</v>
      </c>
    </row>
    <row r="24" spans="1:127">
      <c r="A24" s="7">
        <v>21</v>
      </c>
      <c r="B24" s="8" t="s">
        <v>36</v>
      </c>
      <c r="C24" s="8" t="s">
        <v>16</v>
      </c>
      <c r="D24" s="7">
        <v>1</v>
      </c>
      <c r="E24" s="7" t="s">
        <v>15</v>
      </c>
      <c r="F24" s="7">
        <v>1220</v>
      </c>
      <c r="G24" s="9"/>
      <c r="H24" s="10">
        <f t="shared" si="73"/>
        <v>0</v>
      </c>
      <c r="I24" s="9"/>
      <c r="J24" s="10">
        <f t="shared" si="74"/>
        <v>0</v>
      </c>
      <c r="K24" s="9"/>
      <c r="L24" s="10">
        <f t="shared" si="75"/>
        <v>0</v>
      </c>
      <c r="M24" s="9"/>
      <c r="N24" s="10">
        <f t="shared" si="76"/>
        <v>0</v>
      </c>
      <c r="O24" s="9"/>
      <c r="P24" s="10">
        <f t="shared" si="77"/>
        <v>0</v>
      </c>
      <c r="Q24" s="9"/>
      <c r="R24" s="10">
        <f t="shared" si="78"/>
        <v>0</v>
      </c>
      <c r="S24" s="9"/>
      <c r="T24" s="10">
        <f t="shared" si="79"/>
        <v>0</v>
      </c>
      <c r="U24" s="9"/>
      <c r="V24" s="10">
        <f t="shared" si="80"/>
        <v>0</v>
      </c>
      <c r="W24" s="9"/>
      <c r="X24" s="10">
        <f t="shared" si="81"/>
        <v>0</v>
      </c>
      <c r="Y24" s="9"/>
      <c r="Z24" s="10">
        <f t="shared" si="82"/>
        <v>0</v>
      </c>
      <c r="AA24" s="9"/>
      <c r="AB24" s="10">
        <f t="shared" si="83"/>
        <v>0</v>
      </c>
      <c r="AC24" s="9"/>
      <c r="AD24" s="10">
        <f t="shared" si="84"/>
        <v>0</v>
      </c>
      <c r="AE24" s="11">
        <f t="shared" si="85"/>
        <v>0</v>
      </c>
      <c r="AF24" s="12">
        <f t="shared" si="86"/>
        <v>0</v>
      </c>
      <c r="AG24" s="9"/>
      <c r="AH24" s="10">
        <f t="shared" si="87"/>
        <v>0</v>
      </c>
      <c r="AI24" s="9"/>
      <c r="AJ24" s="10">
        <f t="shared" si="88"/>
        <v>0</v>
      </c>
      <c r="AK24" s="9"/>
      <c r="AL24" s="10">
        <f t="shared" si="89"/>
        <v>0</v>
      </c>
      <c r="AM24" s="9"/>
      <c r="AN24" s="10">
        <f t="shared" si="90"/>
        <v>0</v>
      </c>
      <c r="AO24" s="9"/>
      <c r="AP24" s="10">
        <f t="shared" si="91"/>
        <v>0</v>
      </c>
      <c r="AQ24" s="9"/>
      <c r="AR24" s="10">
        <f t="shared" si="92"/>
        <v>0</v>
      </c>
      <c r="AS24" s="9"/>
      <c r="AT24" s="10">
        <f t="shared" si="93"/>
        <v>0</v>
      </c>
      <c r="AU24" s="9"/>
      <c r="AV24" s="10">
        <f t="shared" si="94"/>
        <v>0</v>
      </c>
      <c r="AW24" s="9"/>
      <c r="AX24" s="10">
        <f t="shared" si="95"/>
        <v>0</v>
      </c>
      <c r="AY24" s="9"/>
      <c r="AZ24" s="10">
        <f t="shared" si="96"/>
        <v>0</v>
      </c>
      <c r="BA24" s="9"/>
      <c r="BB24" s="10">
        <f t="shared" si="97"/>
        <v>0</v>
      </c>
      <c r="BC24" s="9"/>
      <c r="BD24" s="10">
        <f t="shared" si="98"/>
        <v>0</v>
      </c>
      <c r="BE24" s="11">
        <f t="shared" si="99"/>
        <v>0</v>
      </c>
      <c r="BF24" s="12">
        <f t="shared" si="100"/>
        <v>0</v>
      </c>
      <c r="BG24" s="9"/>
      <c r="BH24" s="10">
        <f t="shared" si="101"/>
        <v>0</v>
      </c>
      <c r="BI24" s="9"/>
      <c r="BJ24" s="10">
        <f t="shared" si="102"/>
        <v>0</v>
      </c>
      <c r="BK24" s="9"/>
      <c r="BL24" s="10">
        <f t="shared" si="103"/>
        <v>0</v>
      </c>
      <c r="BM24" s="9"/>
      <c r="BN24" s="10">
        <f t="shared" si="104"/>
        <v>0</v>
      </c>
      <c r="BO24" s="9"/>
      <c r="BP24" s="10">
        <f t="shared" si="105"/>
        <v>0</v>
      </c>
      <c r="BQ24" s="9"/>
      <c r="BR24" s="10">
        <f t="shared" si="106"/>
        <v>0</v>
      </c>
      <c r="BS24" s="9"/>
      <c r="BT24" s="10">
        <f t="shared" si="107"/>
        <v>0</v>
      </c>
      <c r="BU24" s="9"/>
      <c r="BV24" s="10">
        <f t="shared" si="108"/>
        <v>0</v>
      </c>
      <c r="BW24" s="9">
        <v>1800</v>
      </c>
      <c r="BX24" s="10">
        <f t="shared" si="109"/>
        <v>1800</v>
      </c>
      <c r="BY24" s="9">
        <v>1225</v>
      </c>
      <c r="BZ24" s="10">
        <f t="shared" si="110"/>
        <v>1225</v>
      </c>
      <c r="CA24" s="9">
        <v>2352</v>
      </c>
      <c r="CB24" s="10">
        <f t="shared" si="111"/>
        <v>2352</v>
      </c>
      <c r="CC24" s="9">
        <v>3829</v>
      </c>
      <c r="CD24" s="10">
        <f t="shared" si="112"/>
        <v>3829</v>
      </c>
      <c r="CE24" s="19">
        <f t="shared" si="49"/>
        <v>0</v>
      </c>
      <c r="CF24" s="10">
        <f t="shared" si="50"/>
        <v>0</v>
      </c>
      <c r="CG24" s="11">
        <f t="shared" si="0"/>
        <v>767.16666666666663</v>
      </c>
      <c r="CH24" s="12">
        <f t="shared" si="113"/>
        <v>767.16666666666663</v>
      </c>
      <c r="CI24" s="13">
        <v>767</v>
      </c>
      <c r="CJ24" s="10">
        <f t="shared" si="124"/>
        <v>767</v>
      </c>
      <c r="CK24" s="15">
        <f t="shared" si="1"/>
        <v>0.13609350716119717</v>
      </c>
      <c r="CL24" s="15"/>
      <c r="CM24" s="18">
        <v>8591</v>
      </c>
      <c r="CN24" s="10">
        <f t="shared" si="124"/>
        <v>8591</v>
      </c>
      <c r="CO24" s="14">
        <v>7187</v>
      </c>
      <c r="CP24" s="15">
        <f t="shared" si="114"/>
        <v>7187</v>
      </c>
      <c r="CQ24" s="14">
        <v>4257</v>
      </c>
      <c r="CR24" s="15">
        <f t="shared" si="114"/>
        <v>4257</v>
      </c>
      <c r="CS24" s="14">
        <v>4920</v>
      </c>
      <c r="CT24" s="15">
        <f t="shared" si="115"/>
        <v>4920</v>
      </c>
      <c r="CU24" s="14">
        <v>7955</v>
      </c>
      <c r="CV24" s="15">
        <f t="shared" si="116"/>
        <v>7955</v>
      </c>
      <c r="CW24" s="14">
        <v>4860</v>
      </c>
      <c r="CX24" s="15">
        <f t="shared" si="117"/>
        <v>4860</v>
      </c>
      <c r="CY24" s="14"/>
      <c r="CZ24" s="15">
        <f t="shared" si="118"/>
        <v>0</v>
      </c>
      <c r="DA24" s="14"/>
      <c r="DB24" s="15">
        <f t="shared" si="119"/>
        <v>0</v>
      </c>
      <c r="DC24" s="14"/>
      <c r="DD24" s="15">
        <f t="shared" si="120"/>
        <v>0</v>
      </c>
      <c r="DE24" s="14"/>
      <c r="DF24" s="15">
        <f t="shared" si="121"/>
        <v>0</v>
      </c>
      <c r="DG24" s="14"/>
      <c r="DH24" s="15">
        <f t="shared" si="122"/>
        <v>0</v>
      </c>
      <c r="DI24" s="14"/>
      <c r="DJ24" s="15">
        <f t="shared" si="123"/>
        <v>0</v>
      </c>
      <c r="DK24" s="16">
        <f t="shared" si="2"/>
        <v>37770</v>
      </c>
      <c r="DL24" s="17">
        <f t="shared" si="3"/>
        <v>37770</v>
      </c>
      <c r="DM24" s="68">
        <f t="shared" si="63"/>
        <v>6295</v>
      </c>
      <c r="DN24" s="68">
        <f t="shared" si="64"/>
        <v>6295</v>
      </c>
      <c r="DO24" s="69">
        <f t="shared" si="4"/>
        <v>1.0704519434501409</v>
      </c>
      <c r="DP24" s="70">
        <f t="shared" si="65"/>
        <v>0.93435843628894377</v>
      </c>
      <c r="DQ24" s="71" t="e">
        <f t="shared" si="66"/>
        <v>#DIV/0!</v>
      </c>
      <c r="DR24" s="71">
        <f t="shared" si="67"/>
        <v>720.5518140343255</v>
      </c>
      <c r="DS24" s="71">
        <f t="shared" si="72"/>
        <v>5527.833333333333</v>
      </c>
      <c r="DT24" s="71">
        <f t="shared" si="68"/>
        <v>6295</v>
      </c>
      <c r="DU24" s="71">
        <f t="shared" si="69"/>
        <v>394.84523809523807</v>
      </c>
      <c r="DV24" s="71">
        <f t="shared" si="70"/>
        <v>449.64285714285717</v>
      </c>
      <c r="DW24" s="71">
        <f t="shared" si="71"/>
        <v>2697.8571428571431</v>
      </c>
    </row>
    <row r="25" spans="1:127">
      <c r="A25" s="7">
        <v>22</v>
      </c>
      <c r="B25" s="8" t="s">
        <v>37</v>
      </c>
      <c r="C25" s="8" t="s">
        <v>16</v>
      </c>
      <c r="D25" s="7">
        <v>0.6</v>
      </c>
      <c r="E25" s="7" t="s">
        <v>18</v>
      </c>
      <c r="F25" s="7">
        <v>915</v>
      </c>
      <c r="G25" s="9"/>
      <c r="H25" s="10">
        <f t="shared" si="73"/>
        <v>0</v>
      </c>
      <c r="I25" s="9"/>
      <c r="J25" s="10">
        <f t="shared" si="74"/>
        <v>0</v>
      </c>
      <c r="K25" s="9"/>
      <c r="L25" s="10">
        <f t="shared" si="75"/>
        <v>0</v>
      </c>
      <c r="M25" s="9"/>
      <c r="N25" s="10">
        <f t="shared" si="76"/>
        <v>0</v>
      </c>
      <c r="O25" s="9"/>
      <c r="P25" s="10">
        <f t="shared" si="77"/>
        <v>0</v>
      </c>
      <c r="Q25" s="9"/>
      <c r="R25" s="10">
        <f t="shared" si="78"/>
        <v>0</v>
      </c>
      <c r="S25" s="9"/>
      <c r="T25" s="10">
        <f t="shared" si="79"/>
        <v>0</v>
      </c>
      <c r="U25" s="9"/>
      <c r="V25" s="10">
        <f t="shared" si="80"/>
        <v>0</v>
      </c>
      <c r="W25" s="9"/>
      <c r="X25" s="10">
        <f t="shared" si="81"/>
        <v>0</v>
      </c>
      <c r="Y25" s="9"/>
      <c r="Z25" s="10">
        <f t="shared" si="82"/>
        <v>0</v>
      </c>
      <c r="AA25" s="9"/>
      <c r="AB25" s="10">
        <f t="shared" si="83"/>
        <v>0</v>
      </c>
      <c r="AC25" s="9"/>
      <c r="AD25" s="10">
        <f t="shared" si="84"/>
        <v>0</v>
      </c>
      <c r="AE25" s="11">
        <f t="shared" si="85"/>
        <v>0</v>
      </c>
      <c r="AF25" s="12">
        <f t="shared" si="86"/>
        <v>0</v>
      </c>
      <c r="AG25" s="9"/>
      <c r="AH25" s="10">
        <f t="shared" si="87"/>
        <v>0</v>
      </c>
      <c r="AI25" s="9"/>
      <c r="AJ25" s="10">
        <f t="shared" si="88"/>
        <v>0</v>
      </c>
      <c r="AK25" s="9"/>
      <c r="AL25" s="10">
        <f t="shared" si="89"/>
        <v>0</v>
      </c>
      <c r="AM25" s="9"/>
      <c r="AN25" s="10">
        <f t="shared" si="90"/>
        <v>0</v>
      </c>
      <c r="AO25" s="9"/>
      <c r="AP25" s="10">
        <f t="shared" si="91"/>
        <v>0</v>
      </c>
      <c r="AQ25" s="9"/>
      <c r="AR25" s="10">
        <f t="shared" si="92"/>
        <v>0</v>
      </c>
      <c r="AS25" s="9"/>
      <c r="AT25" s="10">
        <f t="shared" si="93"/>
        <v>0</v>
      </c>
      <c r="AU25" s="9"/>
      <c r="AV25" s="10">
        <f t="shared" si="94"/>
        <v>0</v>
      </c>
      <c r="AW25" s="9"/>
      <c r="AX25" s="10">
        <f t="shared" si="95"/>
        <v>0</v>
      </c>
      <c r="AY25" s="9"/>
      <c r="AZ25" s="10">
        <f t="shared" si="96"/>
        <v>0</v>
      </c>
      <c r="BA25" s="9"/>
      <c r="BB25" s="10">
        <f t="shared" si="97"/>
        <v>0</v>
      </c>
      <c r="BC25" s="9"/>
      <c r="BD25" s="10">
        <f t="shared" si="98"/>
        <v>0</v>
      </c>
      <c r="BE25" s="11">
        <f t="shared" si="99"/>
        <v>0</v>
      </c>
      <c r="BF25" s="12">
        <f t="shared" si="100"/>
        <v>0</v>
      </c>
      <c r="BG25" s="9"/>
      <c r="BH25" s="10">
        <f t="shared" si="101"/>
        <v>0</v>
      </c>
      <c r="BI25" s="9"/>
      <c r="BJ25" s="10">
        <f t="shared" si="102"/>
        <v>0</v>
      </c>
      <c r="BK25" s="9"/>
      <c r="BL25" s="10">
        <f t="shared" si="103"/>
        <v>0</v>
      </c>
      <c r="BM25" s="9"/>
      <c r="BN25" s="10">
        <f t="shared" si="104"/>
        <v>0</v>
      </c>
      <c r="BO25" s="9"/>
      <c r="BP25" s="10">
        <f t="shared" si="105"/>
        <v>0</v>
      </c>
      <c r="BQ25" s="9"/>
      <c r="BR25" s="10">
        <f t="shared" si="106"/>
        <v>0</v>
      </c>
      <c r="BS25" s="9"/>
      <c r="BT25" s="10">
        <f t="shared" si="107"/>
        <v>0</v>
      </c>
      <c r="BU25" s="9"/>
      <c r="BV25" s="10">
        <f t="shared" si="108"/>
        <v>0</v>
      </c>
      <c r="BW25" s="9">
        <v>3192</v>
      </c>
      <c r="BX25" s="10">
        <f t="shared" si="109"/>
        <v>1915.1999999999998</v>
      </c>
      <c r="BY25" s="9">
        <v>3095</v>
      </c>
      <c r="BZ25" s="10">
        <f t="shared" si="110"/>
        <v>1857</v>
      </c>
      <c r="CA25" s="9">
        <v>2112</v>
      </c>
      <c r="CB25" s="10">
        <f t="shared" si="111"/>
        <v>1267.2</v>
      </c>
      <c r="CC25" s="9">
        <v>3870</v>
      </c>
      <c r="CD25" s="10">
        <f t="shared" si="112"/>
        <v>2322</v>
      </c>
      <c r="CE25" s="19">
        <f t="shared" si="49"/>
        <v>0</v>
      </c>
      <c r="CF25" s="10">
        <f t="shared" si="50"/>
        <v>0</v>
      </c>
      <c r="CG25" s="11">
        <f t="shared" si="0"/>
        <v>1022.4166666666666</v>
      </c>
      <c r="CH25" s="12">
        <f t="shared" si="113"/>
        <v>613.44999999999993</v>
      </c>
      <c r="CI25" s="13">
        <v>1022</v>
      </c>
      <c r="CJ25" s="10">
        <f t="shared" si="124"/>
        <v>613.19999999999993</v>
      </c>
      <c r="CK25" s="15">
        <f t="shared" si="1"/>
        <v>0.10882454308238507</v>
      </c>
      <c r="CL25" s="15">
        <v>1.86</v>
      </c>
      <c r="CM25" s="18">
        <v>3756</v>
      </c>
      <c r="CN25" s="10">
        <f t="shared" si="124"/>
        <v>2253.6</v>
      </c>
      <c r="CO25" s="14">
        <v>2577</v>
      </c>
      <c r="CP25" s="15">
        <f t="shared" si="114"/>
        <v>1546.2</v>
      </c>
      <c r="CQ25" s="14">
        <v>2112</v>
      </c>
      <c r="CR25" s="15">
        <f t="shared" si="114"/>
        <v>1267.2</v>
      </c>
      <c r="CS25" s="14">
        <v>1992</v>
      </c>
      <c r="CT25" s="15">
        <f t="shared" si="115"/>
        <v>1195.2</v>
      </c>
      <c r="CU25" s="14">
        <v>1296</v>
      </c>
      <c r="CV25" s="15">
        <f t="shared" si="116"/>
        <v>777.6</v>
      </c>
      <c r="CW25" s="14">
        <v>1536</v>
      </c>
      <c r="CX25" s="15">
        <f t="shared" si="117"/>
        <v>921.59999999999991</v>
      </c>
      <c r="CY25" s="14"/>
      <c r="CZ25" s="15">
        <f t="shared" si="118"/>
        <v>0</v>
      </c>
      <c r="DA25" s="14"/>
      <c r="DB25" s="15">
        <f t="shared" si="119"/>
        <v>0</v>
      </c>
      <c r="DC25" s="14"/>
      <c r="DD25" s="15">
        <f t="shared" si="120"/>
        <v>0</v>
      </c>
      <c r="DE25" s="14"/>
      <c r="DF25" s="15">
        <f t="shared" si="121"/>
        <v>0</v>
      </c>
      <c r="DG25" s="14"/>
      <c r="DH25" s="15">
        <f t="shared" si="122"/>
        <v>0</v>
      </c>
      <c r="DI25" s="14"/>
      <c r="DJ25" s="15">
        <f t="shared" si="123"/>
        <v>0</v>
      </c>
      <c r="DK25" s="16">
        <f t="shared" si="2"/>
        <v>13269</v>
      </c>
      <c r="DL25" s="17">
        <f t="shared" si="3"/>
        <v>7961.4</v>
      </c>
      <c r="DM25" s="68">
        <f t="shared" si="63"/>
        <v>2211.5</v>
      </c>
      <c r="DN25" s="68">
        <f t="shared" si="64"/>
        <v>1326.8999999999999</v>
      </c>
      <c r="DO25" s="69">
        <f t="shared" si="4"/>
        <v>0.22563664555424812</v>
      </c>
      <c r="DP25" s="70">
        <f t="shared" si="65"/>
        <v>0.11681210247186305</v>
      </c>
      <c r="DQ25" s="71" t="e">
        <f t="shared" si="66"/>
        <v>#DIV/0!</v>
      </c>
      <c r="DR25" s="71">
        <f t="shared" si="67"/>
        <v>116.30124704539898</v>
      </c>
      <c r="DS25" s="71">
        <f t="shared" si="72"/>
        <v>713.44999999999993</v>
      </c>
      <c r="DT25" s="71">
        <f t="shared" si="68"/>
        <v>1326.8999999999999</v>
      </c>
      <c r="DU25" s="71">
        <f t="shared" si="69"/>
        <v>50.960714285714282</v>
      </c>
      <c r="DV25" s="71">
        <f t="shared" si="70"/>
        <v>94.778571428571425</v>
      </c>
      <c r="DW25" s="71">
        <f t="shared" si="71"/>
        <v>568.67142857142858</v>
      </c>
    </row>
    <row r="26" spans="1:127">
      <c r="A26" s="7"/>
      <c r="B26" s="8" t="s">
        <v>64</v>
      </c>
      <c r="C26" s="8" t="s">
        <v>160</v>
      </c>
      <c r="D26" s="7">
        <v>0.6</v>
      </c>
      <c r="E26" s="7" t="s">
        <v>15</v>
      </c>
      <c r="F26" s="7">
        <v>800</v>
      </c>
      <c r="G26" s="9"/>
      <c r="H26" s="10"/>
      <c r="I26" s="9"/>
      <c r="J26" s="10"/>
      <c r="K26" s="9"/>
      <c r="L26" s="10"/>
      <c r="M26" s="9"/>
      <c r="N26" s="10"/>
      <c r="O26" s="9"/>
      <c r="P26" s="10"/>
      <c r="Q26" s="9"/>
      <c r="R26" s="10"/>
      <c r="S26" s="9"/>
      <c r="T26" s="10"/>
      <c r="U26" s="9"/>
      <c r="V26" s="10"/>
      <c r="W26" s="9"/>
      <c r="X26" s="10"/>
      <c r="Y26" s="9"/>
      <c r="Z26" s="10"/>
      <c r="AA26" s="9"/>
      <c r="AB26" s="10"/>
      <c r="AC26" s="9"/>
      <c r="AD26" s="10"/>
      <c r="AE26" s="11"/>
      <c r="AF26" s="12"/>
      <c r="AG26" s="9"/>
      <c r="AH26" s="10"/>
      <c r="AI26" s="9"/>
      <c r="AJ26" s="10"/>
      <c r="AK26" s="9"/>
      <c r="AL26" s="10"/>
      <c r="AM26" s="9"/>
      <c r="AN26" s="10"/>
      <c r="AO26" s="9"/>
      <c r="AP26" s="10"/>
      <c r="AQ26" s="9"/>
      <c r="AR26" s="10"/>
      <c r="AS26" s="9"/>
      <c r="AT26" s="10"/>
      <c r="AU26" s="9"/>
      <c r="AV26" s="10"/>
      <c r="AW26" s="9"/>
      <c r="AX26" s="10"/>
      <c r="AY26" s="9"/>
      <c r="AZ26" s="10"/>
      <c r="BA26" s="9"/>
      <c r="BB26" s="10"/>
      <c r="BC26" s="9"/>
      <c r="BD26" s="10"/>
      <c r="BE26" s="11"/>
      <c r="BF26" s="12"/>
      <c r="BG26" s="9"/>
      <c r="BH26" s="10"/>
      <c r="BI26" s="9"/>
      <c r="BJ26" s="10"/>
      <c r="BK26" s="9"/>
      <c r="BL26" s="10"/>
      <c r="BM26" s="9"/>
      <c r="BN26" s="10"/>
      <c r="BO26" s="9"/>
      <c r="BP26" s="10"/>
      <c r="BQ26" s="9"/>
      <c r="BR26" s="10"/>
      <c r="BS26" s="9"/>
      <c r="BT26" s="10"/>
      <c r="BU26" s="9"/>
      <c r="BV26" s="10"/>
      <c r="BW26" s="9"/>
      <c r="BX26" s="10"/>
      <c r="BY26" s="9"/>
      <c r="BZ26" s="10"/>
      <c r="CA26" s="9"/>
      <c r="CB26" s="10"/>
      <c r="CC26" s="9"/>
      <c r="CD26" s="10"/>
      <c r="CE26" s="19">
        <f t="shared" si="49"/>
        <v>0</v>
      </c>
      <c r="CF26" s="10">
        <f t="shared" si="50"/>
        <v>0</v>
      </c>
      <c r="CG26" s="11">
        <f t="shared" si="0"/>
        <v>0</v>
      </c>
      <c r="CH26" s="12">
        <f t="shared" ref="CH26:CH27" si="125">CG26*$D26</f>
        <v>0</v>
      </c>
      <c r="CI26" s="13"/>
      <c r="CJ26" s="10"/>
      <c r="CK26" s="15">
        <f t="shared" si="1"/>
        <v>0</v>
      </c>
      <c r="CL26" s="15"/>
      <c r="CM26" s="18"/>
      <c r="CN26" s="10"/>
      <c r="CO26" s="14"/>
      <c r="CP26" s="15"/>
      <c r="CQ26" s="14"/>
      <c r="CR26" s="15"/>
      <c r="CS26" s="14"/>
      <c r="CT26" s="15"/>
      <c r="CU26" s="14"/>
      <c r="CV26" s="15"/>
      <c r="CW26" s="14">
        <v>6144</v>
      </c>
      <c r="CX26" s="15">
        <f t="shared" ref="CX26:CX27" si="126">CW26*$D26</f>
        <v>3686.3999999999996</v>
      </c>
      <c r="CY26" s="14"/>
      <c r="CZ26" s="15">
        <f t="shared" ref="CZ26:CZ27" si="127">CY26*$D26</f>
        <v>0</v>
      </c>
      <c r="DA26" s="14"/>
      <c r="DB26" s="15">
        <f t="shared" ref="DB26:DB27" si="128">DA26*$D26</f>
        <v>0</v>
      </c>
      <c r="DC26" s="14"/>
      <c r="DD26" s="15">
        <f t="shared" ref="DD26:DD27" si="129">DC26*$D26</f>
        <v>0</v>
      </c>
      <c r="DE26" s="14"/>
      <c r="DF26" s="15">
        <f t="shared" ref="DF26:DF27" si="130">DE26*$D26</f>
        <v>0</v>
      </c>
      <c r="DG26" s="14"/>
      <c r="DH26" s="15">
        <f t="shared" ref="DH26:DH27" si="131">DG26*$D26</f>
        <v>0</v>
      </c>
      <c r="DI26" s="14"/>
      <c r="DJ26" s="15">
        <f t="shared" ref="DJ26:DJ27" si="132">DI26*$D26</f>
        <v>0</v>
      </c>
      <c r="DK26" s="16">
        <f t="shared" ref="DK26:DK27" si="133">SUM(CM26,CO26,CQ26,CS26,CU26,CW26,CY26,DA26,DC26,DE26,DG26,DI26)</f>
        <v>6144</v>
      </c>
      <c r="DL26" s="17">
        <f t="shared" ref="DL26:DL27" si="134">SUM(CN26,CP26,CR26,CT26,CV26,CX26,CZ26,DB26,DD26,DF26,DH26,DJ26)</f>
        <v>3686.3999999999996</v>
      </c>
      <c r="DM26" s="68">
        <f t="shared" si="63"/>
        <v>1024</v>
      </c>
      <c r="DN26" s="68">
        <f t="shared" si="64"/>
        <v>614.4</v>
      </c>
      <c r="DO26" s="69">
        <f t="shared" si="4"/>
        <v>0.10447747006445855</v>
      </c>
      <c r="DP26" s="70">
        <f t="shared" si="65"/>
        <v>0.10447747006445855</v>
      </c>
      <c r="DQ26" s="71" t="e">
        <f t="shared" si="66"/>
        <v>#DIV/0!</v>
      </c>
      <c r="DR26" s="71" t="e">
        <f t="shared" si="67"/>
        <v>#DIV/0!</v>
      </c>
      <c r="DS26" s="71">
        <f t="shared" si="72"/>
        <v>614.4</v>
      </c>
      <c r="DT26" s="71">
        <f t="shared" si="68"/>
        <v>614.4</v>
      </c>
      <c r="DU26" s="71">
        <f t="shared" si="69"/>
        <v>43.885714285714286</v>
      </c>
      <c r="DV26" s="71">
        <f t="shared" si="70"/>
        <v>43.885714285714286</v>
      </c>
      <c r="DW26" s="71">
        <f t="shared" si="71"/>
        <v>263.31428571428569</v>
      </c>
    </row>
    <row r="27" spans="1:127">
      <c r="A27" s="7"/>
      <c r="B27" s="8" t="s">
        <v>40</v>
      </c>
      <c r="C27" s="8" t="s">
        <v>160</v>
      </c>
      <c r="D27" s="7">
        <v>0.6</v>
      </c>
      <c r="E27" s="7" t="s">
        <v>15</v>
      </c>
      <c r="F27" s="7">
        <v>800</v>
      </c>
      <c r="G27" s="9"/>
      <c r="H27" s="10"/>
      <c r="I27" s="9"/>
      <c r="J27" s="10"/>
      <c r="K27" s="9"/>
      <c r="L27" s="10"/>
      <c r="M27" s="9"/>
      <c r="N27" s="10"/>
      <c r="O27" s="9"/>
      <c r="P27" s="10"/>
      <c r="Q27" s="9"/>
      <c r="R27" s="10"/>
      <c r="S27" s="9"/>
      <c r="T27" s="10"/>
      <c r="U27" s="9"/>
      <c r="V27" s="10"/>
      <c r="W27" s="9"/>
      <c r="X27" s="10"/>
      <c r="Y27" s="9"/>
      <c r="Z27" s="10"/>
      <c r="AA27" s="9"/>
      <c r="AB27" s="10"/>
      <c r="AC27" s="9"/>
      <c r="AD27" s="10"/>
      <c r="AE27" s="11"/>
      <c r="AF27" s="12"/>
      <c r="AG27" s="9"/>
      <c r="AH27" s="10"/>
      <c r="AI27" s="9"/>
      <c r="AJ27" s="10"/>
      <c r="AK27" s="9"/>
      <c r="AL27" s="10"/>
      <c r="AM27" s="9"/>
      <c r="AN27" s="10"/>
      <c r="AO27" s="9"/>
      <c r="AP27" s="10"/>
      <c r="AQ27" s="9"/>
      <c r="AR27" s="10"/>
      <c r="AS27" s="9"/>
      <c r="AT27" s="10"/>
      <c r="AU27" s="9"/>
      <c r="AV27" s="10"/>
      <c r="AW27" s="9"/>
      <c r="AX27" s="10"/>
      <c r="AY27" s="9"/>
      <c r="AZ27" s="10"/>
      <c r="BA27" s="9"/>
      <c r="BB27" s="10"/>
      <c r="BC27" s="9"/>
      <c r="BD27" s="10"/>
      <c r="BE27" s="11"/>
      <c r="BF27" s="12"/>
      <c r="BG27" s="9"/>
      <c r="BH27" s="10"/>
      <c r="BI27" s="9"/>
      <c r="BJ27" s="10"/>
      <c r="BK27" s="9"/>
      <c r="BL27" s="10"/>
      <c r="BM27" s="9"/>
      <c r="BN27" s="10"/>
      <c r="BO27" s="9"/>
      <c r="BP27" s="10"/>
      <c r="BQ27" s="9"/>
      <c r="BR27" s="10"/>
      <c r="BS27" s="9"/>
      <c r="BT27" s="10"/>
      <c r="BU27" s="9"/>
      <c r="BV27" s="10"/>
      <c r="BW27" s="9"/>
      <c r="BX27" s="10"/>
      <c r="BY27" s="9"/>
      <c r="BZ27" s="10"/>
      <c r="CA27" s="9"/>
      <c r="CB27" s="10"/>
      <c r="CC27" s="9"/>
      <c r="CD27" s="10"/>
      <c r="CE27" s="19">
        <f t="shared" si="49"/>
        <v>0</v>
      </c>
      <c r="CF27" s="10">
        <f t="shared" si="50"/>
        <v>0</v>
      </c>
      <c r="CG27" s="11">
        <f t="shared" si="0"/>
        <v>0</v>
      </c>
      <c r="CH27" s="12">
        <f t="shared" si="125"/>
        <v>0</v>
      </c>
      <c r="CI27" s="13"/>
      <c r="CJ27" s="10"/>
      <c r="CK27" s="15">
        <f t="shared" si="1"/>
        <v>0</v>
      </c>
      <c r="CL27" s="15"/>
      <c r="CM27" s="18"/>
      <c r="CN27" s="10"/>
      <c r="CO27" s="14"/>
      <c r="CP27" s="15"/>
      <c r="CQ27" s="14"/>
      <c r="CR27" s="15"/>
      <c r="CS27" s="14"/>
      <c r="CT27" s="15"/>
      <c r="CU27" s="14"/>
      <c r="CV27" s="15"/>
      <c r="CW27" s="14">
        <v>6432</v>
      </c>
      <c r="CX27" s="15">
        <f t="shared" si="126"/>
        <v>3859.2</v>
      </c>
      <c r="CY27" s="14"/>
      <c r="CZ27" s="15">
        <f t="shared" si="127"/>
        <v>0</v>
      </c>
      <c r="DA27" s="14"/>
      <c r="DB27" s="15">
        <f t="shared" si="128"/>
        <v>0</v>
      </c>
      <c r="DC27" s="14"/>
      <c r="DD27" s="15">
        <f t="shared" si="129"/>
        <v>0</v>
      </c>
      <c r="DE27" s="14"/>
      <c r="DF27" s="15">
        <f t="shared" si="130"/>
        <v>0</v>
      </c>
      <c r="DG27" s="14"/>
      <c r="DH27" s="15">
        <f t="shared" si="131"/>
        <v>0</v>
      </c>
      <c r="DI27" s="14"/>
      <c r="DJ27" s="15">
        <f t="shared" si="132"/>
        <v>0</v>
      </c>
      <c r="DK27" s="16">
        <f t="shared" si="133"/>
        <v>6432</v>
      </c>
      <c r="DL27" s="17">
        <f t="shared" si="134"/>
        <v>3859.2</v>
      </c>
      <c r="DM27" s="68">
        <f t="shared" si="63"/>
        <v>1072</v>
      </c>
      <c r="DN27" s="68">
        <f t="shared" si="64"/>
        <v>643.19999999999993</v>
      </c>
      <c r="DO27" s="69">
        <f t="shared" si="4"/>
        <v>0.10937485147373004</v>
      </c>
      <c r="DP27" s="70">
        <f t="shared" si="65"/>
        <v>0.10937485147373004</v>
      </c>
      <c r="DQ27" s="71" t="e">
        <f t="shared" si="66"/>
        <v>#DIV/0!</v>
      </c>
      <c r="DR27" s="71" t="e">
        <f t="shared" si="67"/>
        <v>#DIV/0!</v>
      </c>
      <c r="DS27" s="71">
        <f t="shared" si="72"/>
        <v>643.19999999999993</v>
      </c>
      <c r="DT27" s="71">
        <f t="shared" si="68"/>
        <v>643.19999999999993</v>
      </c>
      <c r="DU27" s="71">
        <f t="shared" si="69"/>
        <v>45.942857142857136</v>
      </c>
      <c r="DV27" s="71">
        <f t="shared" si="70"/>
        <v>45.942857142857136</v>
      </c>
      <c r="DW27" s="71">
        <f t="shared" si="71"/>
        <v>275.65714285714284</v>
      </c>
    </row>
    <row r="28" spans="1:127">
      <c r="A28" s="7">
        <v>23</v>
      </c>
      <c r="B28" s="8" t="s">
        <v>40</v>
      </c>
      <c r="C28" s="8" t="s">
        <v>14</v>
      </c>
      <c r="D28" s="7">
        <v>0.64</v>
      </c>
      <c r="E28" s="7" t="s">
        <v>18</v>
      </c>
      <c r="F28" s="7">
        <v>800</v>
      </c>
      <c r="G28" s="9"/>
      <c r="H28" s="10">
        <v>0</v>
      </c>
      <c r="I28" s="9"/>
      <c r="J28" s="10">
        <v>0</v>
      </c>
      <c r="K28" s="9"/>
      <c r="L28" s="10">
        <v>0</v>
      </c>
      <c r="M28" s="9"/>
      <c r="N28" s="10">
        <v>0</v>
      </c>
      <c r="O28" s="9"/>
      <c r="P28" s="10">
        <v>0</v>
      </c>
      <c r="Q28" s="9"/>
      <c r="R28" s="10">
        <v>0</v>
      </c>
      <c r="S28" s="9"/>
      <c r="T28" s="10">
        <v>0</v>
      </c>
      <c r="U28" s="9"/>
      <c r="V28" s="10">
        <v>0</v>
      </c>
      <c r="W28" s="9"/>
      <c r="X28" s="10">
        <v>0</v>
      </c>
      <c r="Y28" s="9"/>
      <c r="Z28" s="10">
        <v>0</v>
      </c>
      <c r="AA28" s="9"/>
      <c r="AB28" s="10">
        <v>0</v>
      </c>
      <c r="AC28" s="9"/>
      <c r="AD28" s="10">
        <v>0</v>
      </c>
      <c r="AE28" s="11">
        <v>0</v>
      </c>
      <c r="AF28" s="12">
        <v>0</v>
      </c>
      <c r="AG28" s="9"/>
      <c r="AH28" s="10">
        <v>0</v>
      </c>
      <c r="AI28" s="9"/>
      <c r="AJ28" s="10">
        <v>0</v>
      </c>
      <c r="AK28" s="9"/>
      <c r="AL28" s="10">
        <v>0</v>
      </c>
      <c r="AM28" s="9">
        <v>5029</v>
      </c>
      <c r="AN28" s="10">
        <v>3218.56</v>
      </c>
      <c r="AO28" s="9">
        <v>520</v>
      </c>
      <c r="AP28" s="10">
        <v>332.8</v>
      </c>
      <c r="AQ28" s="9">
        <v>192</v>
      </c>
      <c r="AR28" s="10">
        <v>122.88</v>
      </c>
      <c r="AS28" s="9">
        <v>192</v>
      </c>
      <c r="AT28" s="10">
        <v>122.88</v>
      </c>
      <c r="AU28" s="9">
        <v>72</v>
      </c>
      <c r="AV28" s="10">
        <v>46.08</v>
      </c>
      <c r="AW28" s="9">
        <v>576</v>
      </c>
      <c r="AX28" s="10">
        <v>368.64</v>
      </c>
      <c r="AY28" s="9">
        <v>24</v>
      </c>
      <c r="AZ28" s="10">
        <v>15.36</v>
      </c>
      <c r="BA28" s="9">
        <v>264</v>
      </c>
      <c r="BB28" s="10">
        <v>168.96</v>
      </c>
      <c r="BC28" s="9">
        <v>120</v>
      </c>
      <c r="BD28" s="10">
        <v>76.8</v>
      </c>
      <c r="BE28" s="11">
        <v>582.41666666666663</v>
      </c>
      <c r="BF28" s="12">
        <v>372.74666666666667</v>
      </c>
      <c r="BG28" s="9"/>
      <c r="BH28" s="10">
        <v>0</v>
      </c>
      <c r="BI28" s="9">
        <v>144</v>
      </c>
      <c r="BJ28" s="10">
        <v>92.16</v>
      </c>
      <c r="BK28" s="9">
        <v>4149</v>
      </c>
      <c r="BL28" s="10">
        <v>2655.36</v>
      </c>
      <c r="BM28" s="9">
        <v>18550</v>
      </c>
      <c r="BN28" s="10">
        <v>11872</v>
      </c>
      <c r="BO28" s="9">
        <v>20986</v>
      </c>
      <c r="BP28" s="10">
        <v>13431.04</v>
      </c>
      <c r="BQ28" s="9">
        <v>17002</v>
      </c>
      <c r="BR28" s="10">
        <v>10881.28</v>
      </c>
      <c r="BS28" s="9">
        <v>21224</v>
      </c>
      <c r="BT28" s="10">
        <v>13583.36</v>
      </c>
      <c r="BU28" s="9">
        <v>18204</v>
      </c>
      <c r="BV28" s="10">
        <v>11650.56</v>
      </c>
      <c r="BW28" s="9">
        <v>17136</v>
      </c>
      <c r="BX28" s="10">
        <v>10967.04</v>
      </c>
      <c r="BY28" s="9">
        <v>20256</v>
      </c>
      <c r="BZ28" s="10">
        <v>12963.84</v>
      </c>
      <c r="CA28" s="9">
        <v>18185</v>
      </c>
      <c r="CB28" s="10">
        <v>11638.4</v>
      </c>
      <c r="CC28" s="9">
        <v>11232</v>
      </c>
      <c r="CD28" s="10">
        <v>7188.4800000000005</v>
      </c>
      <c r="CE28" s="19">
        <f t="shared" si="49"/>
        <v>10138.5</v>
      </c>
      <c r="CF28" s="10">
        <f t="shared" si="50"/>
        <v>6488.64</v>
      </c>
      <c r="CG28" s="11">
        <f t="shared" si="0"/>
        <v>13922.333333333334</v>
      </c>
      <c r="CH28" s="12">
        <f t="shared" si="113"/>
        <v>8910.2933333333331</v>
      </c>
      <c r="CI28" s="13">
        <v>13922</v>
      </c>
      <c r="CJ28" s="10">
        <v>8910.08</v>
      </c>
      <c r="CK28" s="15">
        <f t="shared" si="1"/>
        <v>1.5806644400195971</v>
      </c>
      <c r="CL28" s="15"/>
      <c r="CM28" s="14">
        <v>14112</v>
      </c>
      <c r="CN28" s="10">
        <v>9031.68</v>
      </c>
      <c r="CO28" s="14">
        <v>17376</v>
      </c>
      <c r="CP28" s="15">
        <v>11120.64</v>
      </c>
      <c r="CQ28" s="14">
        <v>20266</v>
      </c>
      <c r="CR28" s="15">
        <f t="shared" si="114"/>
        <v>12970.24</v>
      </c>
      <c r="CS28" s="14">
        <v>21648</v>
      </c>
      <c r="CT28" s="15">
        <f t="shared" si="115"/>
        <v>13854.720000000001</v>
      </c>
      <c r="CU28" s="14">
        <v>31114</v>
      </c>
      <c r="CV28" s="15">
        <f t="shared" si="116"/>
        <v>19912.96</v>
      </c>
      <c r="CW28" s="14">
        <v>13233</v>
      </c>
      <c r="CX28" s="15">
        <f t="shared" si="117"/>
        <v>8469.1200000000008</v>
      </c>
      <c r="CY28" s="14"/>
      <c r="CZ28" s="15">
        <f t="shared" si="118"/>
        <v>0</v>
      </c>
      <c r="DA28" s="14"/>
      <c r="DB28" s="15">
        <f t="shared" si="119"/>
        <v>0</v>
      </c>
      <c r="DC28" s="14"/>
      <c r="DD28" s="15">
        <f t="shared" si="120"/>
        <v>0</v>
      </c>
      <c r="DE28" s="14"/>
      <c r="DF28" s="15">
        <f t="shared" si="121"/>
        <v>0</v>
      </c>
      <c r="DG28" s="14"/>
      <c r="DH28" s="15">
        <f t="shared" si="122"/>
        <v>0</v>
      </c>
      <c r="DI28" s="14"/>
      <c r="DJ28" s="15">
        <f t="shared" si="123"/>
        <v>0</v>
      </c>
      <c r="DK28" s="16">
        <f t="shared" ref="DK28:DL35" si="135">SUM(CM28,CO28,CQ28,CS28,CU28,CW28,CY28,DA28,DC28,DE28,DG28,DI28)</f>
        <v>117749</v>
      </c>
      <c r="DL28" s="17">
        <f t="shared" si="135"/>
        <v>75359.359999999986</v>
      </c>
      <c r="DM28" s="68">
        <f t="shared" si="63"/>
        <v>19624.833333333332</v>
      </c>
      <c r="DN28" s="68">
        <f t="shared" si="64"/>
        <v>12559.893333333332</v>
      </c>
      <c r="DO28" s="69">
        <f t="shared" si="4"/>
        <v>2.1357843094826263</v>
      </c>
      <c r="DP28" s="70">
        <f t="shared" si="65"/>
        <v>0.55511986946302927</v>
      </c>
      <c r="DQ28" s="71">
        <f t="shared" si="66"/>
        <v>93.567424503953532</v>
      </c>
      <c r="DR28" s="71">
        <f t="shared" si="67"/>
        <v>40.959369837431439</v>
      </c>
      <c r="DS28" s="71">
        <f t="shared" si="72"/>
        <v>3649.5999999999985</v>
      </c>
      <c r="DT28" s="71">
        <f t="shared" si="68"/>
        <v>6071.2533333333313</v>
      </c>
      <c r="DU28" s="71">
        <f t="shared" si="69"/>
        <v>260.6857142857142</v>
      </c>
      <c r="DV28" s="71">
        <f t="shared" si="70"/>
        <v>433.66095238095221</v>
      </c>
      <c r="DW28" s="71">
        <f t="shared" si="71"/>
        <v>2601.9657142857131</v>
      </c>
    </row>
    <row r="29" spans="1:127">
      <c r="A29" s="7">
        <v>24</v>
      </c>
      <c r="B29" s="8" t="s">
        <v>64</v>
      </c>
      <c r="C29" s="8" t="s">
        <v>14</v>
      </c>
      <c r="D29" s="7">
        <v>0.64</v>
      </c>
      <c r="E29" s="7" t="s">
        <v>63</v>
      </c>
      <c r="F29" s="7">
        <v>830</v>
      </c>
      <c r="G29" s="9"/>
      <c r="H29" s="10"/>
      <c r="I29" s="9"/>
      <c r="J29" s="10"/>
      <c r="K29" s="9"/>
      <c r="L29" s="10"/>
      <c r="M29" s="9"/>
      <c r="N29" s="10"/>
      <c r="O29" s="9"/>
      <c r="P29" s="10"/>
      <c r="Q29" s="9"/>
      <c r="R29" s="10"/>
      <c r="S29" s="9"/>
      <c r="T29" s="10"/>
      <c r="U29" s="9"/>
      <c r="V29" s="10"/>
      <c r="W29" s="9"/>
      <c r="X29" s="10"/>
      <c r="Y29" s="9"/>
      <c r="Z29" s="10"/>
      <c r="AA29" s="9"/>
      <c r="AB29" s="10"/>
      <c r="AC29" s="9"/>
      <c r="AD29" s="10"/>
      <c r="AE29" s="11"/>
      <c r="AF29" s="12"/>
      <c r="AG29" s="9"/>
      <c r="AH29" s="10"/>
      <c r="AI29" s="9"/>
      <c r="AJ29" s="10"/>
      <c r="AK29" s="9"/>
      <c r="AL29" s="10"/>
      <c r="AM29" s="9"/>
      <c r="AN29" s="10"/>
      <c r="AO29" s="9"/>
      <c r="AP29" s="10"/>
      <c r="AQ29" s="9"/>
      <c r="AR29" s="10"/>
      <c r="AS29" s="9"/>
      <c r="AT29" s="10"/>
      <c r="AU29" s="9"/>
      <c r="AV29" s="10"/>
      <c r="AW29" s="9"/>
      <c r="AX29" s="10"/>
      <c r="AY29" s="9"/>
      <c r="AZ29" s="10"/>
      <c r="BA29" s="9"/>
      <c r="BB29" s="10"/>
      <c r="BC29" s="9"/>
      <c r="BD29" s="10"/>
      <c r="BE29" s="11"/>
      <c r="BF29" s="12"/>
      <c r="BG29" s="9"/>
      <c r="BH29" s="10"/>
      <c r="BI29" s="9"/>
      <c r="BJ29" s="10"/>
      <c r="BK29" s="9"/>
      <c r="BL29" s="10"/>
      <c r="BM29" s="9"/>
      <c r="BN29" s="10"/>
      <c r="BO29" s="9"/>
      <c r="BP29" s="10"/>
      <c r="BQ29" s="9"/>
      <c r="BR29" s="10"/>
      <c r="BS29" s="9"/>
      <c r="BT29" s="10"/>
      <c r="BU29" s="9"/>
      <c r="BV29" s="10"/>
      <c r="BW29" s="9"/>
      <c r="BX29" s="10"/>
      <c r="BY29" s="9"/>
      <c r="BZ29" s="10"/>
      <c r="CA29" s="9"/>
      <c r="CB29" s="10"/>
      <c r="CC29" s="9"/>
      <c r="CD29" s="10"/>
      <c r="CE29" s="19">
        <f t="shared" si="49"/>
        <v>0</v>
      </c>
      <c r="CF29" s="10">
        <f t="shared" si="50"/>
        <v>0</v>
      </c>
      <c r="CG29" s="11">
        <f t="shared" si="0"/>
        <v>0</v>
      </c>
      <c r="CH29" s="12">
        <f t="shared" si="113"/>
        <v>0</v>
      </c>
      <c r="CI29" s="13"/>
      <c r="CJ29" s="10"/>
      <c r="CK29" s="15">
        <f t="shared" si="1"/>
        <v>0</v>
      </c>
      <c r="CL29" s="15">
        <v>1.58</v>
      </c>
      <c r="CM29" s="14"/>
      <c r="CN29" s="10"/>
      <c r="CO29" s="14"/>
      <c r="CP29" s="15"/>
      <c r="CQ29" s="14"/>
      <c r="CR29" s="15"/>
      <c r="CS29" s="14">
        <v>4158</v>
      </c>
      <c r="CT29" s="15">
        <f t="shared" si="115"/>
        <v>2661.12</v>
      </c>
      <c r="CU29" s="14">
        <v>10876</v>
      </c>
      <c r="CV29" s="15">
        <f t="shared" si="116"/>
        <v>6960.64</v>
      </c>
      <c r="CW29" s="14">
        <v>10206</v>
      </c>
      <c r="CX29" s="15">
        <f t="shared" si="117"/>
        <v>6531.84</v>
      </c>
      <c r="CY29" s="14"/>
      <c r="CZ29" s="15">
        <f t="shared" si="118"/>
        <v>0</v>
      </c>
      <c r="DA29" s="14"/>
      <c r="DB29" s="15">
        <f t="shared" si="119"/>
        <v>0</v>
      </c>
      <c r="DC29" s="14"/>
      <c r="DD29" s="15">
        <f t="shared" si="120"/>
        <v>0</v>
      </c>
      <c r="DE29" s="14"/>
      <c r="DF29" s="15">
        <f t="shared" si="121"/>
        <v>0</v>
      </c>
      <c r="DG29" s="14"/>
      <c r="DH29" s="15">
        <f t="shared" si="122"/>
        <v>0</v>
      </c>
      <c r="DI29" s="14"/>
      <c r="DJ29" s="15">
        <f t="shared" si="123"/>
        <v>0</v>
      </c>
      <c r="DK29" s="16">
        <f t="shared" si="135"/>
        <v>25240</v>
      </c>
      <c r="DL29" s="17">
        <f t="shared" si="135"/>
        <v>16153.6</v>
      </c>
      <c r="DM29" s="68">
        <f t="shared" si="63"/>
        <v>4206.666666666667</v>
      </c>
      <c r="DN29" s="68">
        <f t="shared" si="64"/>
        <v>2692.2666666666669</v>
      </c>
      <c r="DO29" s="69">
        <f t="shared" si="4"/>
        <v>0.45781446951856497</v>
      </c>
      <c r="DP29" s="70">
        <f t="shared" si="65"/>
        <v>0.45781446951856497</v>
      </c>
      <c r="DQ29" s="71" t="e">
        <f t="shared" si="66"/>
        <v>#DIV/0!</v>
      </c>
      <c r="DR29" s="71" t="e">
        <f t="shared" si="67"/>
        <v>#DIV/0!</v>
      </c>
      <c r="DS29" s="71">
        <f t="shared" si="72"/>
        <v>2692.2666666666669</v>
      </c>
      <c r="DT29" s="71">
        <f t="shared" si="68"/>
        <v>2692.2666666666669</v>
      </c>
      <c r="DU29" s="71">
        <f t="shared" si="69"/>
        <v>192.30476190476193</v>
      </c>
      <c r="DV29" s="71">
        <f t="shared" si="70"/>
        <v>192.30476190476193</v>
      </c>
      <c r="DW29" s="71">
        <f t="shared" si="71"/>
        <v>1153.8285714285716</v>
      </c>
    </row>
    <row r="30" spans="1:127">
      <c r="A30" s="7">
        <v>25</v>
      </c>
      <c r="B30" s="8" t="s">
        <v>38</v>
      </c>
      <c r="C30" s="8" t="s">
        <v>14</v>
      </c>
      <c r="D30" s="7">
        <v>0.7</v>
      </c>
      <c r="E30" s="7" t="s">
        <v>15</v>
      </c>
      <c r="F30" s="7">
        <v>3600</v>
      </c>
      <c r="G30" s="9">
        <v>404</v>
      </c>
      <c r="H30" s="10">
        <f>G30*$D30</f>
        <v>282.79999999999995</v>
      </c>
      <c r="I30" s="9">
        <v>592</v>
      </c>
      <c r="J30" s="10">
        <f>I30*$D30</f>
        <v>414.4</v>
      </c>
      <c r="K30" s="9">
        <v>866</v>
      </c>
      <c r="L30" s="10">
        <f>K30*$D30</f>
        <v>606.19999999999993</v>
      </c>
      <c r="M30" s="9">
        <v>636</v>
      </c>
      <c r="N30" s="10">
        <f>M30*$D30</f>
        <v>445.2</v>
      </c>
      <c r="O30" s="9">
        <v>977</v>
      </c>
      <c r="P30" s="10">
        <f>O30*$D30</f>
        <v>683.9</v>
      </c>
      <c r="Q30" s="9">
        <v>468</v>
      </c>
      <c r="R30" s="10">
        <f>Q30*$D30</f>
        <v>327.59999999999997</v>
      </c>
      <c r="S30" s="9">
        <v>96</v>
      </c>
      <c r="T30" s="10">
        <f>S30*$D30</f>
        <v>67.199999999999989</v>
      </c>
      <c r="U30" s="9">
        <v>396</v>
      </c>
      <c r="V30" s="10">
        <f>U30*$D30</f>
        <v>277.2</v>
      </c>
      <c r="W30" s="9">
        <v>24</v>
      </c>
      <c r="X30" s="10">
        <f>W30*$D30</f>
        <v>16.799999999999997</v>
      </c>
      <c r="Y30" s="9">
        <v>845</v>
      </c>
      <c r="Z30" s="10">
        <f>Y30*$D30</f>
        <v>591.5</v>
      </c>
      <c r="AA30" s="9">
        <v>1146</v>
      </c>
      <c r="AB30" s="10">
        <f>AA30*$D30</f>
        <v>802.19999999999993</v>
      </c>
      <c r="AC30" s="9">
        <v>759</v>
      </c>
      <c r="AD30" s="10">
        <f>AC30*$D30</f>
        <v>531.29999999999995</v>
      </c>
      <c r="AE30" s="11">
        <f t="shared" si="85"/>
        <v>600.75</v>
      </c>
      <c r="AF30" s="12">
        <f>AE30*$D30</f>
        <v>420.52499999999998</v>
      </c>
      <c r="AG30" s="9">
        <v>910</v>
      </c>
      <c r="AH30" s="10">
        <f>AG30*$D30</f>
        <v>637</v>
      </c>
      <c r="AI30" s="9">
        <v>517</v>
      </c>
      <c r="AJ30" s="10">
        <f>AI30*$D30</f>
        <v>361.9</v>
      </c>
      <c r="AK30" s="9">
        <v>250</v>
      </c>
      <c r="AL30" s="10">
        <f>AK30*$D30</f>
        <v>175</v>
      </c>
      <c r="AM30" s="9">
        <v>515</v>
      </c>
      <c r="AN30" s="10">
        <f>AM30*$D30</f>
        <v>360.5</v>
      </c>
      <c r="AO30" s="9">
        <v>738</v>
      </c>
      <c r="AP30" s="10">
        <f>AO30*$D30</f>
        <v>516.6</v>
      </c>
      <c r="AQ30" s="9">
        <v>352</v>
      </c>
      <c r="AR30" s="10">
        <f>AQ30*$D30</f>
        <v>246.39999999999998</v>
      </c>
      <c r="AS30" s="9">
        <v>415</v>
      </c>
      <c r="AT30" s="10">
        <f>AS30*$D30</f>
        <v>290.5</v>
      </c>
      <c r="AU30" s="9">
        <v>305</v>
      </c>
      <c r="AV30" s="10">
        <f>AU30*$D30</f>
        <v>213.5</v>
      </c>
      <c r="AW30" s="9">
        <v>840</v>
      </c>
      <c r="AX30" s="10">
        <f>AW30*$D30</f>
        <v>588</v>
      </c>
      <c r="AY30" s="9">
        <v>446</v>
      </c>
      <c r="AZ30" s="10">
        <f>AY30*$D30</f>
        <v>312.2</v>
      </c>
      <c r="BA30" s="9">
        <v>180</v>
      </c>
      <c r="BB30" s="10">
        <f>BA30*$D30</f>
        <v>125.99999999999999</v>
      </c>
      <c r="BC30" s="9">
        <v>1272</v>
      </c>
      <c r="BD30" s="10">
        <f>BC30*$D30</f>
        <v>890.4</v>
      </c>
      <c r="BE30" s="11">
        <f t="shared" si="99"/>
        <v>561.66666666666663</v>
      </c>
      <c r="BF30" s="12">
        <f>BE30*$D30</f>
        <v>393.16666666666663</v>
      </c>
      <c r="BG30" s="9">
        <v>372</v>
      </c>
      <c r="BH30" s="10">
        <f>BG30*$D30</f>
        <v>260.39999999999998</v>
      </c>
      <c r="BI30" s="9">
        <v>1045</v>
      </c>
      <c r="BJ30" s="10">
        <f>BI30*$D30</f>
        <v>731.5</v>
      </c>
      <c r="BK30" s="9">
        <v>2335</v>
      </c>
      <c r="BL30" s="10">
        <f>BK30*$D30</f>
        <v>1634.5</v>
      </c>
      <c r="BM30" s="9">
        <v>252</v>
      </c>
      <c r="BN30" s="10">
        <f>BM30*$D30</f>
        <v>176.39999999999998</v>
      </c>
      <c r="BO30" s="9">
        <v>870</v>
      </c>
      <c r="BP30" s="10">
        <f>BO30*$D30</f>
        <v>609</v>
      </c>
      <c r="BQ30" s="9">
        <v>448</v>
      </c>
      <c r="BR30" s="10">
        <f>BQ30*$D30</f>
        <v>313.59999999999997</v>
      </c>
      <c r="BS30" s="9">
        <v>2144</v>
      </c>
      <c r="BT30" s="10">
        <f>BS30*$D30</f>
        <v>1500.8</v>
      </c>
      <c r="BU30" s="9">
        <v>1209</v>
      </c>
      <c r="BV30" s="10">
        <f>BU30*$D30</f>
        <v>846.3</v>
      </c>
      <c r="BW30" s="9">
        <v>324</v>
      </c>
      <c r="BX30" s="10">
        <f>BW30*$D30</f>
        <v>226.79999999999998</v>
      </c>
      <c r="BY30" s="9">
        <v>772</v>
      </c>
      <c r="BZ30" s="10">
        <f>BY30*$D30</f>
        <v>540.4</v>
      </c>
      <c r="CA30" s="9">
        <v>948</v>
      </c>
      <c r="CB30" s="10">
        <f>CA30*$D30</f>
        <v>663.59999999999991</v>
      </c>
      <c r="CC30" s="9">
        <v>12</v>
      </c>
      <c r="CD30" s="10">
        <f>CC30*$D30</f>
        <v>8.3999999999999986</v>
      </c>
      <c r="CE30" s="19">
        <f t="shared" si="49"/>
        <v>887</v>
      </c>
      <c r="CF30" s="10">
        <f t="shared" si="50"/>
        <v>620.9</v>
      </c>
      <c r="CG30" s="11">
        <f t="shared" si="0"/>
        <v>894.25</v>
      </c>
      <c r="CH30" s="12">
        <f t="shared" si="113"/>
        <v>625.97499999999991</v>
      </c>
      <c r="CI30" s="13">
        <v>894</v>
      </c>
      <c r="CJ30" s="10">
        <f>CI30*$D30</f>
        <v>625.79999999999995</v>
      </c>
      <c r="CK30" s="15">
        <f t="shared" si="1"/>
        <v>0.1110464477235243</v>
      </c>
      <c r="CL30" s="15"/>
      <c r="CM30" s="18">
        <v>121</v>
      </c>
      <c r="CN30" s="10">
        <f>CM30*$D30</f>
        <v>84.699999999999989</v>
      </c>
      <c r="CO30" s="14">
        <v>141</v>
      </c>
      <c r="CP30" s="15">
        <f>CO30*$D30</f>
        <v>98.699999999999989</v>
      </c>
      <c r="CQ30" s="14">
        <v>234</v>
      </c>
      <c r="CR30" s="15">
        <f>CQ30*$D30</f>
        <v>163.79999999999998</v>
      </c>
      <c r="CS30" s="14">
        <v>51</v>
      </c>
      <c r="CT30" s="15">
        <f t="shared" si="115"/>
        <v>35.699999999999996</v>
      </c>
      <c r="CU30" s="14">
        <v>540</v>
      </c>
      <c r="CV30" s="15">
        <f t="shared" si="116"/>
        <v>378</v>
      </c>
      <c r="CW30" s="14">
        <v>314</v>
      </c>
      <c r="CX30" s="15">
        <f t="shared" si="117"/>
        <v>219.79999999999998</v>
      </c>
      <c r="CY30" s="14"/>
      <c r="CZ30" s="15">
        <f t="shared" si="118"/>
        <v>0</v>
      </c>
      <c r="DA30" s="14"/>
      <c r="DB30" s="15">
        <f t="shared" si="119"/>
        <v>0</v>
      </c>
      <c r="DC30" s="14"/>
      <c r="DD30" s="15">
        <f t="shared" si="120"/>
        <v>0</v>
      </c>
      <c r="DE30" s="14"/>
      <c r="DF30" s="15">
        <f t="shared" si="121"/>
        <v>0</v>
      </c>
      <c r="DG30" s="14"/>
      <c r="DH30" s="15">
        <f t="shared" si="122"/>
        <v>0</v>
      </c>
      <c r="DI30" s="14"/>
      <c r="DJ30" s="15">
        <f t="shared" si="123"/>
        <v>0</v>
      </c>
      <c r="DK30" s="16">
        <f t="shared" si="135"/>
        <v>1401</v>
      </c>
      <c r="DL30" s="17">
        <f t="shared" si="135"/>
        <v>980.69999999999982</v>
      </c>
      <c r="DM30" s="68">
        <f t="shared" si="63"/>
        <v>233.5</v>
      </c>
      <c r="DN30" s="68">
        <f t="shared" si="64"/>
        <v>163.44999999999996</v>
      </c>
      <c r="DO30" s="69">
        <f t="shared" si="4"/>
        <v>2.7794339977271723E-2</v>
      </c>
      <c r="DP30" s="70">
        <f t="shared" si="65"/>
        <v>-8.3252107746252579E-2</v>
      </c>
      <c r="DQ30" s="71">
        <f t="shared" si="66"/>
        <v>-73.675310033821873</v>
      </c>
      <c r="DR30" s="71">
        <f t="shared" si="67"/>
        <v>-73.888733575622041</v>
      </c>
      <c r="DS30" s="71">
        <f t="shared" si="72"/>
        <v>-462.52499999999998</v>
      </c>
      <c r="DT30" s="71">
        <f t="shared" si="68"/>
        <v>-457.45000000000005</v>
      </c>
      <c r="DU30" s="71">
        <f t="shared" si="69"/>
        <v>-33.037500000000001</v>
      </c>
      <c r="DV30" s="71">
        <f t="shared" si="70"/>
        <v>-32.675000000000004</v>
      </c>
      <c r="DW30" s="71">
        <f t="shared" si="71"/>
        <v>-196.05</v>
      </c>
    </row>
    <row r="31" spans="1:127">
      <c r="A31" s="7">
        <v>26</v>
      </c>
      <c r="B31" s="8" t="s">
        <v>39</v>
      </c>
      <c r="C31" s="8" t="s">
        <v>14</v>
      </c>
      <c r="D31" s="7">
        <v>0.35</v>
      </c>
      <c r="E31" s="7" t="s">
        <v>18</v>
      </c>
      <c r="F31" s="7">
        <v>2100</v>
      </c>
      <c r="G31" s="9"/>
      <c r="H31" s="10">
        <f>G31*$D31</f>
        <v>0</v>
      </c>
      <c r="I31" s="9"/>
      <c r="J31" s="10">
        <f>I31*$D31</f>
        <v>0</v>
      </c>
      <c r="K31" s="9"/>
      <c r="L31" s="10">
        <f>K31*$D31</f>
        <v>0</v>
      </c>
      <c r="M31" s="9"/>
      <c r="N31" s="10">
        <f>M31*$D31</f>
        <v>0</v>
      </c>
      <c r="O31" s="9"/>
      <c r="P31" s="10">
        <f>O31*$D31</f>
        <v>0</v>
      </c>
      <c r="Q31" s="9"/>
      <c r="R31" s="10">
        <f>Q31*$D31</f>
        <v>0</v>
      </c>
      <c r="S31" s="9"/>
      <c r="T31" s="10">
        <f>S31*$D31</f>
        <v>0</v>
      </c>
      <c r="U31" s="9">
        <v>372</v>
      </c>
      <c r="V31" s="10">
        <f>U31*$D31</f>
        <v>130.19999999999999</v>
      </c>
      <c r="W31" s="9"/>
      <c r="X31" s="10">
        <f>W31*$D31</f>
        <v>0</v>
      </c>
      <c r="Y31" s="9">
        <v>1379</v>
      </c>
      <c r="Z31" s="10">
        <f>Y31*$D31</f>
        <v>482.65</v>
      </c>
      <c r="AA31" s="9">
        <v>476</v>
      </c>
      <c r="AB31" s="10">
        <f>AA31*$D31</f>
        <v>166.6</v>
      </c>
      <c r="AC31" s="9">
        <v>427</v>
      </c>
      <c r="AD31" s="10">
        <f>AC31*$D31</f>
        <v>149.44999999999999</v>
      </c>
      <c r="AE31" s="11">
        <f t="shared" si="85"/>
        <v>221.16666666666666</v>
      </c>
      <c r="AF31" s="12">
        <f>AE31*$D31</f>
        <v>77.408333333333331</v>
      </c>
      <c r="AG31" s="9">
        <v>339</v>
      </c>
      <c r="AH31" s="10">
        <f>AG31*$D31</f>
        <v>118.64999999999999</v>
      </c>
      <c r="AI31" s="9">
        <v>98</v>
      </c>
      <c r="AJ31" s="10">
        <f>AI31*$D31</f>
        <v>34.299999999999997</v>
      </c>
      <c r="AK31" s="9">
        <v>185</v>
      </c>
      <c r="AL31" s="10">
        <f>AK31*$D31</f>
        <v>64.75</v>
      </c>
      <c r="AM31" s="9">
        <v>65</v>
      </c>
      <c r="AN31" s="10">
        <f>AM31*$D31</f>
        <v>22.75</v>
      </c>
      <c r="AO31" s="9">
        <v>67</v>
      </c>
      <c r="AP31" s="10">
        <f>AO31*$D31</f>
        <v>23.45</v>
      </c>
      <c r="AQ31" s="9">
        <v>34</v>
      </c>
      <c r="AR31" s="10">
        <f>AQ31*$D31</f>
        <v>11.899999999999999</v>
      </c>
      <c r="AS31" s="9">
        <v>39</v>
      </c>
      <c r="AT31" s="10">
        <f>AS31*$D31</f>
        <v>13.649999999999999</v>
      </c>
      <c r="AU31" s="9">
        <v>30</v>
      </c>
      <c r="AV31" s="10">
        <f>AU31*$D31</f>
        <v>10.5</v>
      </c>
      <c r="AW31" s="9">
        <v>195</v>
      </c>
      <c r="AX31" s="10">
        <f>AW31*$D31</f>
        <v>68.25</v>
      </c>
      <c r="AY31" s="9">
        <v>30</v>
      </c>
      <c r="AZ31" s="10">
        <f>AY31*$D31</f>
        <v>10.5</v>
      </c>
      <c r="BA31" s="9">
        <v>60</v>
      </c>
      <c r="BB31" s="10">
        <f>BA31*$D31</f>
        <v>21</v>
      </c>
      <c r="BC31" s="9">
        <v>342</v>
      </c>
      <c r="BD31" s="10">
        <f>BC31*$D31</f>
        <v>119.69999999999999</v>
      </c>
      <c r="BE31" s="11">
        <f t="shared" si="99"/>
        <v>123.66666666666667</v>
      </c>
      <c r="BF31" s="12">
        <f>BE31*$D31</f>
        <v>43.283333333333331</v>
      </c>
      <c r="BG31" s="9">
        <v>24</v>
      </c>
      <c r="BH31" s="10">
        <f>BG31*$D31</f>
        <v>8.3999999999999986</v>
      </c>
      <c r="BI31" s="9">
        <v>234</v>
      </c>
      <c r="BJ31" s="10">
        <f>BI31*$D31</f>
        <v>81.899999999999991</v>
      </c>
      <c r="BK31" s="9">
        <v>474</v>
      </c>
      <c r="BL31" s="10">
        <f>BK31*$D31</f>
        <v>165.89999999999998</v>
      </c>
      <c r="BM31" s="9">
        <v>412</v>
      </c>
      <c r="BN31" s="10">
        <f>BM31*$D31</f>
        <v>144.19999999999999</v>
      </c>
      <c r="BO31" s="9">
        <v>510</v>
      </c>
      <c r="BP31" s="10">
        <f>BO31*$D31</f>
        <v>178.5</v>
      </c>
      <c r="BQ31" s="9">
        <v>399</v>
      </c>
      <c r="BR31" s="10">
        <f>BQ31*$D31</f>
        <v>139.64999999999998</v>
      </c>
      <c r="BS31" s="9">
        <v>1270</v>
      </c>
      <c r="BT31" s="10">
        <f>BS31*$D31</f>
        <v>444.5</v>
      </c>
      <c r="BU31" s="9">
        <v>966</v>
      </c>
      <c r="BV31" s="10">
        <f>BU31*$D31</f>
        <v>338.09999999999997</v>
      </c>
      <c r="BW31" s="9">
        <v>330</v>
      </c>
      <c r="BX31" s="10">
        <f>BW31*$D31</f>
        <v>115.49999999999999</v>
      </c>
      <c r="BY31" s="9">
        <v>899</v>
      </c>
      <c r="BZ31" s="10">
        <f>BY31*$D31</f>
        <v>314.64999999999998</v>
      </c>
      <c r="CA31" s="9">
        <v>810</v>
      </c>
      <c r="CB31" s="10">
        <f>CA31*$D31</f>
        <v>283.5</v>
      </c>
      <c r="CC31" s="9">
        <v>12</v>
      </c>
      <c r="CD31" s="10">
        <f>CC31*$D31</f>
        <v>4.1999999999999993</v>
      </c>
      <c r="CE31" s="19">
        <f t="shared" si="49"/>
        <v>342.16666666666669</v>
      </c>
      <c r="CF31" s="10">
        <f t="shared" si="50"/>
        <v>119.75833333333331</v>
      </c>
      <c r="CG31" s="11">
        <f t="shared" si="0"/>
        <v>528.33333333333337</v>
      </c>
      <c r="CH31" s="12">
        <f t="shared" si="113"/>
        <v>184.91666666666666</v>
      </c>
      <c r="CI31" s="13">
        <v>528</v>
      </c>
      <c r="CJ31" s="10">
        <f>CI31*$D31</f>
        <v>184.79999999999998</v>
      </c>
      <c r="CK31" s="15">
        <f t="shared" si="1"/>
        <v>3.2803768454344615E-2</v>
      </c>
      <c r="CL31" s="15">
        <v>0.14000000000000001</v>
      </c>
      <c r="CM31" s="18">
        <v>26</v>
      </c>
      <c r="CN31" s="10">
        <f>CM31*$D31</f>
        <v>9.1</v>
      </c>
      <c r="CO31" s="14">
        <v>90</v>
      </c>
      <c r="CP31" s="15">
        <f>CO31*$D31</f>
        <v>31.499999999999996</v>
      </c>
      <c r="CQ31" s="14">
        <v>264</v>
      </c>
      <c r="CR31" s="15">
        <f>CQ31*$D31</f>
        <v>92.399999999999991</v>
      </c>
      <c r="CS31" s="14">
        <v>481</v>
      </c>
      <c r="CT31" s="15">
        <f t="shared" si="115"/>
        <v>168.35</v>
      </c>
      <c r="CU31" s="14">
        <v>331</v>
      </c>
      <c r="CV31" s="15">
        <f t="shared" si="116"/>
        <v>115.85</v>
      </c>
      <c r="CW31" s="14">
        <v>1260</v>
      </c>
      <c r="CX31" s="15">
        <f t="shared" si="117"/>
        <v>441</v>
      </c>
      <c r="CY31" s="14"/>
      <c r="CZ31" s="15">
        <f t="shared" si="118"/>
        <v>0</v>
      </c>
      <c r="DA31" s="14"/>
      <c r="DB31" s="15">
        <f t="shared" si="119"/>
        <v>0</v>
      </c>
      <c r="DC31" s="14"/>
      <c r="DD31" s="15">
        <f t="shared" si="120"/>
        <v>0</v>
      </c>
      <c r="DE31" s="14"/>
      <c r="DF31" s="15">
        <f t="shared" si="121"/>
        <v>0</v>
      </c>
      <c r="DG31" s="14"/>
      <c r="DH31" s="15">
        <f t="shared" si="122"/>
        <v>0</v>
      </c>
      <c r="DI31" s="14"/>
      <c r="DJ31" s="15">
        <f t="shared" si="123"/>
        <v>0</v>
      </c>
      <c r="DK31" s="16">
        <f t="shared" si="135"/>
        <v>2452</v>
      </c>
      <c r="DL31" s="17">
        <f t="shared" si="135"/>
        <v>858.2</v>
      </c>
      <c r="DM31" s="68">
        <f t="shared" si="63"/>
        <v>408.66666666666669</v>
      </c>
      <c r="DN31" s="68">
        <f t="shared" si="64"/>
        <v>143.03333333333333</v>
      </c>
      <c r="DO31" s="69">
        <f t="shared" si="4"/>
        <v>2.432252734627776E-2</v>
      </c>
      <c r="DP31" s="70">
        <f t="shared" si="65"/>
        <v>-8.4812411080668546E-3</v>
      </c>
      <c r="DQ31" s="71">
        <f t="shared" si="66"/>
        <v>19.4349732099367</v>
      </c>
      <c r="DR31" s="71">
        <f t="shared" si="67"/>
        <v>-22.64984227129338</v>
      </c>
      <c r="DS31" s="71">
        <f t="shared" si="72"/>
        <v>-41.883333333333326</v>
      </c>
      <c r="DT31" s="71">
        <f t="shared" si="68"/>
        <v>23.27500000000002</v>
      </c>
      <c r="DU31" s="71">
        <f t="shared" si="69"/>
        <v>-2.9916666666666663</v>
      </c>
      <c r="DV31" s="71">
        <f t="shared" si="70"/>
        <v>1.6625000000000014</v>
      </c>
      <c r="DW31" s="71">
        <f t="shared" si="71"/>
        <v>9.9750000000000085</v>
      </c>
    </row>
    <row r="32" spans="1:127">
      <c r="A32" s="7">
        <v>27</v>
      </c>
      <c r="B32" s="8" t="s">
        <v>41</v>
      </c>
      <c r="C32" s="8" t="s">
        <v>14</v>
      </c>
      <c r="D32" s="7">
        <v>0.64</v>
      </c>
      <c r="E32" s="7" t="s">
        <v>18</v>
      </c>
      <c r="F32" s="7">
        <v>1230</v>
      </c>
      <c r="G32" s="9">
        <v>201961</v>
      </c>
      <c r="H32" s="10">
        <f t="shared" ref="H32:H35" si="136">G32*$D32</f>
        <v>129255.04000000001</v>
      </c>
      <c r="I32" s="9">
        <v>171588</v>
      </c>
      <c r="J32" s="10">
        <f t="shared" ref="J32:J35" si="137">I32*$D32</f>
        <v>109816.32000000001</v>
      </c>
      <c r="K32" s="9">
        <v>193632</v>
      </c>
      <c r="L32" s="10">
        <f t="shared" ref="L32:L35" si="138">K32*$D32</f>
        <v>123924.48</v>
      </c>
      <c r="M32" s="9">
        <v>167880</v>
      </c>
      <c r="N32" s="10">
        <f t="shared" ref="N32:N35" si="139">M32*$D32</f>
        <v>107443.2</v>
      </c>
      <c r="O32" s="9">
        <v>178684</v>
      </c>
      <c r="P32" s="10">
        <f t="shared" ref="P32:P35" si="140">O32*$D32</f>
        <v>114357.76000000001</v>
      </c>
      <c r="Q32" s="9">
        <v>175704</v>
      </c>
      <c r="R32" s="10">
        <f t="shared" ref="R32:R35" si="141">Q32*$D32</f>
        <v>112450.56</v>
      </c>
      <c r="S32" s="9">
        <v>171550</v>
      </c>
      <c r="T32" s="10">
        <f t="shared" ref="T32:T35" si="142">S32*$D32</f>
        <v>109792</v>
      </c>
      <c r="U32" s="9">
        <v>188352</v>
      </c>
      <c r="V32" s="10">
        <f t="shared" ref="V32:V35" si="143">U32*$D32</f>
        <v>120545.28</v>
      </c>
      <c r="W32" s="9">
        <v>185043</v>
      </c>
      <c r="X32" s="10">
        <f t="shared" ref="X32:X35" si="144">W32*$D32</f>
        <v>118427.52</v>
      </c>
      <c r="Y32" s="9">
        <v>197568</v>
      </c>
      <c r="Z32" s="10">
        <f t="shared" ref="Z32:Z35" si="145">Y32*$D32</f>
        <v>126443.52</v>
      </c>
      <c r="AA32" s="9">
        <v>212496</v>
      </c>
      <c r="AB32" s="10">
        <f t="shared" ref="AB32:AB35" si="146">AA32*$D32</f>
        <v>135997.44</v>
      </c>
      <c r="AC32" s="9">
        <v>210283</v>
      </c>
      <c r="AD32" s="10">
        <f t="shared" ref="AD32:AD35" si="147">AC32*$D32</f>
        <v>134581.12</v>
      </c>
      <c r="AE32" s="11">
        <f t="shared" si="85"/>
        <v>187895.08333333334</v>
      </c>
      <c r="AF32" s="12">
        <f t="shared" ref="AF32:AF35" si="148">AE32*$D32</f>
        <v>120252.85333333335</v>
      </c>
      <c r="AG32" s="9">
        <v>186336</v>
      </c>
      <c r="AH32" s="10">
        <f t="shared" ref="AH32:AH35" si="149">AG32*$D32</f>
        <v>119255.04000000001</v>
      </c>
      <c r="AI32" s="9">
        <v>172130</v>
      </c>
      <c r="AJ32" s="10">
        <f t="shared" ref="AJ32:AJ35" si="150">AI32*$D32</f>
        <v>110163.2</v>
      </c>
      <c r="AK32" s="9">
        <v>170904</v>
      </c>
      <c r="AL32" s="10">
        <f t="shared" ref="AL32:AL35" si="151">AK32*$D32</f>
        <v>109378.56</v>
      </c>
      <c r="AM32" s="9">
        <v>168240</v>
      </c>
      <c r="AN32" s="10">
        <f t="shared" ref="AN32:AN35" si="152">AM32*$D32</f>
        <v>107673.60000000001</v>
      </c>
      <c r="AO32" s="9">
        <v>135120</v>
      </c>
      <c r="AP32" s="10">
        <f t="shared" ref="AP32:AP35" si="153">AO32*$D32</f>
        <v>86476.800000000003</v>
      </c>
      <c r="AQ32" s="9">
        <v>178344</v>
      </c>
      <c r="AR32" s="10">
        <f t="shared" ref="AR32:AR35" si="154">AQ32*$D32</f>
        <v>114140.16</v>
      </c>
      <c r="AS32" s="9">
        <v>180288</v>
      </c>
      <c r="AT32" s="10">
        <f t="shared" ref="AT32:AT35" si="155">AS32*$D32</f>
        <v>115384.32000000001</v>
      </c>
      <c r="AU32" s="9">
        <v>190538</v>
      </c>
      <c r="AV32" s="10">
        <f t="shared" ref="AV32:AV35" si="156">AU32*$D32</f>
        <v>121944.32000000001</v>
      </c>
      <c r="AW32" s="9">
        <v>179088</v>
      </c>
      <c r="AX32" s="10">
        <f t="shared" ref="AX32:AX35" si="157">AW32*$D32</f>
        <v>114616.32000000001</v>
      </c>
      <c r="AY32" s="9">
        <v>213576</v>
      </c>
      <c r="AZ32" s="10">
        <f t="shared" ref="AZ32:AZ35" si="158">AY32*$D32</f>
        <v>136688.64000000001</v>
      </c>
      <c r="BA32" s="9">
        <v>201456</v>
      </c>
      <c r="BB32" s="10">
        <f t="shared" ref="BB32:BB35" si="159">BA32*$D32</f>
        <v>128931.84</v>
      </c>
      <c r="BC32" s="9">
        <v>221976</v>
      </c>
      <c r="BD32" s="10">
        <f t="shared" ref="BD32:BD35" si="160">BC32*$D32</f>
        <v>142064.64000000001</v>
      </c>
      <c r="BE32" s="11">
        <f t="shared" si="99"/>
        <v>183166.33333333334</v>
      </c>
      <c r="BF32" s="12">
        <f t="shared" ref="BF32:BF35" si="161">BE32*$D32</f>
        <v>117226.45333333334</v>
      </c>
      <c r="BG32" s="9">
        <v>205104</v>
      </c>
      <c r="BH32" s="10">
        <f t="shared" ref="BH32:BH35" si="162">BG32*$D32</f>
        <v>131266.56</v>
      </c>
      <c r="BI32" s="9">
        <v>188737</v>
      </c>
      <c r="BJ32" s="10">
        <f t="shared" ref="BJ32:BJ35" si="163">BI32*$D32</f>
        <v>120791.68000000001</v>
      </c>
      <c r="BK32" s="9">
        <v>178271</v>
      </c>
      <c r="BL32" s="10">
        <f t="shared" ref="BL32:BL35" si="164">BK32*$D32</f>
        <v>114093.44</v>
      </c>
      <c r="BM32" s="9">
        <v>172056</v>
      </c>
      <c r="BN32" s="10">
        <f t="shared" ref="BN32:BN35" si="165">BM32*$D32</f>
        <v>110115.84</v>
      </c>
      <c r="BO32" s="9">
        <v>191772</v>
      </c>
      <c r="BP32" s="10">
        <f t="shared" ref="BP32:BP35" si="166">BO32*$D32</f>
        <v>122734.08</v>
      </c>
      <c r="BQ32" s="9">
        <v>175896</v>
      </c>
      <c r="BR32" s="10">
        <f t="shared" ref="BR32:BR35" si="167">BQ32*$D32</f>
        <v>112573.44</v>
      </c>
      <c r="BS32" s="9">
        <v>189492</v>
      </c>
      <c r="BT32" s="10">
        <f t="shared" ref="BT32:BT35" si="168">BS32*$D32</f>
        <v>121274.88</v>
      </c>
      <c r="BU32" s="9">
        <v>192528</v>
      </c>
      <c r="BV32" s="10">
        <f t="shared" ref="BV32:BV35" si="169">BU32*$D32</f>
        <v>123217.92</v>
      </c>
      <c r="BW32" s="9">
        <v>203688</v>
      </c>
      <c r="BX32" s="10">
        <f t="shared" ref="BX32:BX35" si="170">BW32*$D32</f>
        <v>130360.32000000001</v>
      </c>
      <c r="BY32" s="9">
        <v>209141</v>
      </c>
      <c r="BZ32" s="10">
        <f t="shared" ref="BZ32:BZ35" si="171">BY32*$D32</f>
        <v>133850.23999999999</v>
      </c>
      <c r="CA32" s="9">
        <v>227352</v>
      </c>
      <c r="CB32" s="10">
        <f t="shared" ref="CB32:CB35" si="172">CA32*$D32</f>
        <v>145505.28</v>
      </c>
      <c r="CC32" s="9">
        <v>225907</v>
      </c>
      <c r="CD32" s="10">
        <f t="shared" ref="CD32:CD35" si="173">CC32*$D32</f>
        <v>144580.48000000001</v>
      </c>
      <c r="CE32" s="19">
        <f t="shared" si="49"/>
        <v>185306</v>
      </c>
      <c r="CF32" s="10">
        <f t="shared" si="50"/>
        <v>118595.84000000001</v>
      </c>
      <c r="CG32" s="11">
        <f t="shared" si="0"/>
        <v>196662</v>
      </c>
      <c r="CH32" s="12">
        <f t="shared" si="113"/>
        <v>125863.68000000001</v>
      </c>
      <c r="CI32" s="13">
        <v>196662</v>
      </c>
      <c r="CJ32" s="10">
        <f t="shared" si="124"/>
        <v>125863.68000000001</v>
      </c>
      <c r="CK32" s="15">
        <f t="shared" si="1"/>
        <v>22.327911755917402</v>
      </c>
      <c r="CL32" s="15"/>
      <c r="CM32" s="14">
        <v>209448</v>
      </c>
      <c r="CN32" s="10">
        <f t="shared" si="124"/>
        <v>134046.72</v>
      </c>
      <c r="CO32" s="14">
        <v>178916</v>
      </c>
      <c r="CP32" s="15">
        <f t="shared" si="114"/>
        <v>114506.24000000001</v>
      </c>
      <c r="CQ32" s="14">
        <v>223786</v>
      </c>
      <c r="CR32" s="15">
        <f t="shared" si="114"/>
        <v>143223.04000000001</v>
      </c>
      <c r="CS32" s="14">
        <v>178440</v>
      </c>
      <c r="CT32" s="15">
        <f t="shared" si="115"/>
        <v>114201.60000000001</v>
      </c>
      <c r="CU32" s="14">
        <v>177984</v>
      </c>
      <c r="CV32" s="15">
        <f t="shared" si="116"/>
        <v>113909.76000000001</v>
      </c>
      <c r="CW32" s="14">
        <v>190848</v>
      </c>
      <c r="CX32" s="15">
        <f t="shared" si="117"/>
        <v>122142.72</v>
      </c>
      <c r="CY32" s="14"/>
      <c r="CZ32" s="15">
        <f t="shared" si="118"/>
        <v>0</v>
      </c>
      <c r="DA32" s="14"/>
      <c r="DB32" s="15">
        <f t="shared" si="119"/>
        <v>0</v>
      </c>
      <c r="DC32" s="14"/>
      <c r="DD32" s="15">
        <f t="shared" si="120"/>
        <v>0</v>
      </c>
      <c r="DE32" s="14"/>
      <c r="DF32" s="15">
        <f t="shared" si="121"/>
        <v>0</v>
      </c>
      <c r="DG32" s="14"/>
      <c r="DH32" s="15">
        <f t="shared" si="122"/>
        <v>0</v>
      </c>
      <c r="DI32" s="14"/>
      <c r="DJ32" s="15">
        <f t="shared" si="123"/>
        <v>0</v>
      </c>
      <c r="DK32" s="16">
        <f t="shared" si="135"/>
        <v>1159422</v>
      </c>
      <c r="DL32" s="17">
        <f t="shared" si="135"/>
        <v>742030.08</v>
      </c>
      <c r="DM32" s="68">
        <f t="shared" si="63"/>
        <v>193237</v>
      </c>
      <c r="DN32" s="68">
        <f t="shared" si="64"/>
        <v>123671.67999999999</v>
      </c>
      <c r="DO32" s="69">
        <f t="shared" si="4"/>
        <v>21.030117586297685</v>
      </c>
      <c r="DP32" s="70">
        <f t="shared" si="65"/>
        <v>-1.2977941696197171</v>
      </c>
      <c r="DQ32" s="71">
        <f t="shared" si="66"/>
        <v>4.2799477620799991</v>
      </c>
      <c r="DR32" s="71">
        <f t="shared" si="67"/>
        <v>-1.7415667490415103</v>
      </c>
      <c r="DS32" s="71">
        <f t="shared" si="72"/>
        <v>-2192.0000000000146</v>
      </c>
      <c r="DT32" s="71">
        <f t="shared" si="68"/>
        <v>5075.839999999982</v>
      </c>
      <c r="DU32" s="71">
        <f t="shared" si="69"/>
        <v>-156.57142857142961</v>
      </c>
      <c r="DV32" s="71">
        <f t="shared" si="70"/>
        <v>362.55999999999869</v>
      </c>
      <c r="DW32" s="71">
        <f t="shared" si="71"/>
        <v>2175.3599999999924</v>
      </c>
    </row>
    <row r="33" spans="1:127">
      <c r="A33" s="7">
        <v>28</v>
      </c>
      <c r="B33" s="8" t="s">
        <v>42</v>
      </c>
      <c r="C33" s="8" t="s">
        <v>14</v>
      </c>
      <c r="D33" s="7">
        <v>0.64</v>
      </c>
      <c r="E33" s="7" t="s">
        <v>20</v>
      </c>
      <c r="F33" s="7">
        <v>1230</v>
      </c>
      <c r="G33" s="9">
        <v>20902</v>
      </c>
      <c r="H33" s="10">
        <f t="shared" si="136"/>
        <v>13377.28</v>
      </c>
      <c r="I33" s="9">
        <v>17052</v>
      </c>
      <c r="J33" s="10">
        <f t="shared" si="137"/>
        <v>10913.28</v>
      </c>
      <c r="K33" s="9">
        <v>20062</v>
      </c>
      <c r="L33" s="10">
        <f t="shared" si="138"/>
        <v>12839.68</v>
      </c>
      <c r="M33" s="9">
        <v>15960</v>
      </c>
      <c r="N33" s="10">
        <f t="shared" si="139"/>
        <v>10214.4</v>
      </c>
      <c r="O33" s="9">
        <v>20048</v>
      </c>
      <c r="P33" s="10">
        <f t="shared" si="140"/>
        <v>12830.720000000001</v>
      </c>
      <c r="Q33" s="9">
        <v>16450</v>
      </c>
      <c r="R33" s="10">
        <f t="shared" si="141"/>
        <v>10528</v>
      </c>
      <c r="S33" s="9">
        <v>17010</v>
      </c>
      <c r="T33" s="10">
        <f t="shared" si="142"/>
        <v>10886.4</v>
      </c>
      <c r="U33" s="9">
        <v>15974</v>
      </c>
      <c r="V33" s="10">
        <f t="shared" si="143"/>
        <v>10223.36</v>
      </c>
      <c r="W33" s="9">
        <v>13356</v>
      </c>
      <c r="X33" s="10">
        <f t="shared" si="144"/>
        <v>8547.84</v>
      </c>
      <c r="Y33" s="9">
        <v>19488</v>
      </c>
      <c r="Z33" s="10">
        <f t="shared" si="145"/>
        <v>12472.32</v>
      </c>
      <c r="AA33" s="9">
        <v>11046</v>
      </c>
      <c r="AB33" s="10">
        <f t="shared" si="146"/>
        <v>7069.4400000000005</v>
      </c>
      <c r="AC33" s="9">
        <v>23226</v>
      </c>
      <c r="AD33" s="10">
        <f t="shared" si="147"/>
        <v>14864.64</v>
      </c>
      <c r="AE33" s="11">
        <f t="shared" si="85"/>
        <v>17547.833333333332</v>
      </c>
      <c r="AF33" s="12">
        <f t="shared" si="148"/>
        <v>11230.613333333333</v>
      </c>
      <c r="AG33" s="9">
        <v>15862</v>
      </c>
      <c r="AH33" s="10">
        <f t="shared" si="149"/>
        <v>10151.68</v>
      </c>
      <c r="AI33" s="9">
        <v>16128</v>
      </c>
      <c r="AJ33" s="10">
        <f t="shared" si="150"/>
        <v>10321.92</v>
      </c>
      <c r="AK33" s="9">
        <v>15082</v>
      </c>
      <c r="AL33" s="10">
        <f t="shared" si="151"/>
        <v>9652.48</v>
      </c>
      <c r="AM33" s="9">
        <v>17766</v>
      </c>
      <c r="AN33" s="10">
        <f t="shared" si="152"/>
        <v>11370.24</v>
      </c>
      <c r="AO33" s="9">
        <v>11270</v>
      </c>
      <c r="AP33" s="10">
        <f t="shared" si="153"/>
        <v>7212.8</v>
      </c>
      <c r="AQ33" s="9">
        <v>17654</v>
      </c>
      <c r="AR33" s="10">
        <f t="shared" si="154"/>
        <v>11298.56</v>
      </c>
      <c r="AS33" s="9">
        <v>16464</v>
      </c>
      <c r="AT33" s="10">
        <f t="shared" si="155"/>
        <v>10536.960000000001</v>
      </c>
      <c r="AU33" s="9">
        <v>14602</v>
      </c>
      <c r="AV33" s="10">
        <f t="shared" si="156"/>
        <v>9345.2800000000007</v>
      </c>
      <c r="AW33" s="9">
        <v>16268</v>
      </c>
      <c r="AX33" s="10">
        <f t="shared" si="157"/>
        <v>10411.52</v>
      </c>
      <c r="AY33" s="9">
        <v>14196</v>
      </c>
      <c r="AZ33" s="10">
        <f t="shared" si="158"/>
        <v>9085.44</v>
      </c>
      <c r="BA33" s="9">
        <v>11200</v>
      </c>
      <c r="BB33" s="10">
        <f t="shared" si="159"/>
        <v>7168</v>
      </c>
      <c r="BC33" s="9">
        <v>25116</v>
      </c>
      <c r="BD33" s="10">
        <f t="shared" si="160"/>
        <v>16074.24</v>
      </c>
      <c r="BE33" s="11">
        <f t="shared" si="99"/>
        <v>15967.333333333334</v>
      </c>
      <c r="BF33" s="12">
        <f t="shared" si="161"/>
        <v>10219.093333333334</v>
      </c>
      <c r="BG33" s="9">
        <v>18844</v>
      </c>
      <c r="BH33" s="10">
        <f t="shared" si="162"/>
        <v>12060.16</v>
      </c>
      <c r="BI33" s="9">
        <v>11788</v>
      </c>
      <c r="BJ33" s="10">
        <f t="shared" si="163"/>
        <v>7544.32</v>
      </c>
      <c r="BK33" s="9">
        <v>16646</v>
      </c>
      <c r="BL33" s="10">
        <f t="shared" si="164"/>
        <v>10653.44</v>
      </c>
      <c r="BM33" s="9">
        <v>15669</v>
      </c>
      <c r="BN33" s="10">
        <f t="shared" si="165"/>
        <v>10028.16</v>
      </c>
      <c r="BO33" s="9">
        <v>14661</v>
      </c>
      <c r="BP33" s="10">
        <f t="shared" si="166"/>
        <v>9383.0400000000009</v>
      </c>
      <c r="BQ33" s="9">
        <v>16002</v>
      </c>
      <c r="BR33" s="10">
        <f t="shared" si="167"/>
        <v>10241.280000000001</v>
      </c>
      <c r="BS33" s="9">
        <v>18228</v>
      </c>
      <c r="BT33" s="10">
        <f t="shared" si="168"/>
        <v>11665.92</v>
      </c>
      <c r="BU33" s="9">
        <v>16450</v>
      </c>
      <c r="BV33" s="10">
        <f t="shared" si="169"/>
        <v>10528</v>
      </c>
      <c r="BW33" s="9">
        <v>15610</v>
      </c>
      <c r="BX33" s="10">
        <f t="shared" si="170"/>
        <v>9990.4</v>
      </c>
      <c r="BY33" s="9">
        <v>16590</v>
      </c>
      <c r="BZ33" s="10">
        <f t="shared" si="171"/>
        <v>10617.6</v>
      </c>
      <c r="CA33" s="9">
        <v>17080</v>
      </c>
      <c r="CB33" s="10">
        <f t="shared" si="172"/>
        <v>10931.2</v>
      </c>
      <c r="CC33" s="9">
        <v>20748</v>
      </c>
      <c r="CD33" s="10">
        <f t="shared" si="173"/>
        <v>13278.720000000001</v>
      </c>
      <c r="CE33" s="19">
        <f t="shared" si="49"/>
        <v>15601.666666666666</v>
      </c>
      <c r="CF33" s="10">
        <f t="shared" si="50"/>
        <v>9985.0666666666675</v>
      </c>
      <c r="CG33" s="11">
        <f t="shared" si="0"/>
        <v>16526.333333333332</v>
      </c>
      <c r="CH33" s="12">
        <f t="shared" si="113"/>
        <v>10576.853333333333</v>
      </c>
      <c r="CI33" s="13">
        <v>16526</v>
      </c>
      <c r="CJ33" s="10">
        <f t="shared" si="124"/>
        <v>10576.64</v>
      </c>
      <c r="CK33" s="15">
        <f t="shared" si="1"/>
        <v>1.8763081445095793</v>
      </c>
      <c r="CL33" s="15"/>
      <c r="CM33" s="14">
        <v>16170</v>
      </c>
      <c r="CN33" s="10">
        <f t="shared" si="124"/>
        <v>10348.800000000001</v>
      </c>
      <c r="CO33" s="14">
        <v>16310</v>
      </c>
      <c r="CP33" s="15">
        <f t="shared" si="114"/>
        <v>10438.4</v>
      </c>
      <c r="CQ33" s="14">
        <v>17892</v>
      </c>
      <c r="CR33" s="15">
        <f t="shared" si="114"/>
        <v>11450.880000000001</v>
      </c>
      <c r="CS33" s="14">
        <v>24304</v>
      </c>
      <c r="CT33" s="15">
        <f t="shared" si="115"/>
        <v>15554.56</v>
      </c>
      <c r="CU33" s="14">
        <v>12362</v>
      </c>
      <c r="CV33" s="15">
        <f t="shared" si="116"/>
        <v>7911.68</v>
      </c>
      <c r="CW33" s="14">
        <v>16254</v>
      </c>
      <c r="CX33" s="15">
        <f t="shared" si="117"/>
        <v>10402.56</v>
      </c>
      <c r="CY33" s="14"/>
      <c r="CZ33" s="15">
        <f t="shared" si="118"/>
        <v>0</v>
      </c>
      <c r="DA33" s="14"/>
      <c r="DB33" s="15">
        <f t="shared" si="119"/>
        <v>0</v>
      </c>
      <c r="DC33" s="14"/>
      <c r="DD33" s="15">
        <f t="shared" si="120"/>
        <v>0</v>
      </c>
      <c r="DE33" s="14"/>
      <c r="DF33" s="15">
        <f t="shared" si="121"/>
        <v>0</v>
      </c>
      <c r="DG33" s="14"/>
      <c r="DH33" s="15">
        <f t="shared" si="122"/>
        <v>0</v>
      </c>
      <c r="DI33" s="14"/>
      <c r="DJ33" s="15">
        <f t="shared" si="123"/>
        <v>0</v>
      </c>
      <c r="DK33" s="16">
        <f t="shared" si="135"/>
        <v>103292</v>
      </c>
      <c r="DL33" s="17">
        <f t="shared" si="135"/>
        <v>66106.880000000005</v>
      </c>
      <c r="DM33" s="68">
        <f t="shared" si="63"/>
        <v>17215.333333333332</v>
      </c>
      <c r="DN33" s="68">
        <f t="shared" si="64"/>
        <v>11017.813333333334</v>
      </c>
      <c r="DO33" s="69">
        <f t="shared" si="4"/>
        <v>1.8735567426906343</v>
      </c>
      <c r="DP33" s="70">
        <f t="shared" si="65"/>
        <v>-2.7514018189449541E-3</v>
      </c>
      <c r="DQ33" s="71">
        <f t="shared" si="66"/>
        <v>10.342912082042503</v>
      </c>
      <c r="DR33" s="71">
        <f t="shared" si="67"/>
        <v>4.1691038544545194</v>
      </c>
      <c r="DS33" s="71">
        <f t="shared" si="72"/>
        <v>440.96000000000095</v>
      </c>
      <c r="DT33" s="71">
        <f t="shared" si="68"/>
        <v>1032.746666666666</v>
      </c>
      <c r="DU33" s="71">
        <f t="shared" si="69"/>
        <v>31.497142857142926</v>
      </c>
      <c r="DV33" s="71">
        <f t="shared" si="70"/>
        <v>73.767619047618993</v>
      </c>
      <c r="DW33" s="71">
        <f t="shared" si="71"/>
        <v>442.60571428571393</v>
      </c>
    </row>
    <row r="34" spans="1:127">
      <c r="A34" s="7">
        <v>29</v>
      </c>
      <c r="B34" s="8" t="s">
        <v>43</v>
      </c>
      <c r="C34" s="8" t="s">
        <v>14</v>
      </c>
      <c r="D34" s="7">
        <v>0.64</v>
      </c>
      <c r="E34" s="7" t="s">
        <v>18</v>
      </c>
      <c r="F34" s="7">
        <v>1230</v>
      </c>
      <c r="G34" s="9">
        <v>8544</v>
      </c>
      <c r="H34" s="10">
        <f t="shared" si="136"/>
        <v>5468.16</v>
      </c>
      <c r="I34" s="9">
        <v>9480</v>
      </c>
      <c r="J34" s="10">
        <f t="shared" si="137"/>
        <v>6067.2</v>
      </c>
      <c r="K34" s="9">
        <v>11496</v>
      </c>
      <c r="L34" s="10">
        <f t="shared" si="138"/>
        <v>7357.4400000000005</v>
      </c>
      <c r="M34" s="9">
        <v>7848</v>
      </c>
      <c r="N34" s="10">
        <f t="shared" si="139"/>
        <v>5022.72</v>
      </c>
      <c r="O34" s="9">
        <v>7464</v>
      </c>
      <c r="P34" s="10">
        <f t="shared" si="140"/>
        <v>4776.96</v>
      </c>
      <c r="Q34" s="9">
        <v>8832</v>
      </c>
      <c r="R34" s="10">
        <f t="shared" si="141"/>
        <v>5652.4800000000005</v>
      </c>
      <c r="S34" s="9">
        <v>10368</v>
      </c>
      <c r="T34" s="10">
        <f t="shared" si="142"/>
        <v>6635.52</v>
      </c>
      <c r="U34" s="9">
        <v>10296</v>
      </c>
      <c r="V34" s="10">
        <f t="shared" si="143"/>
        <v>6589.4400000000005</v>
      </c>
      <c r="W34" s="9">
        <v>8378</v>
      </c>
      <c r="X34" s="10">
        <f t="shared" si="144"/>
        <v>5361.92</v>
      </c>
      <c r="Y34" s="9">
        <v>10320</v>
      </c>
      <c r="Z34" s="10">
        <f t="shared" si="145"/>
        <v>6604.8</v>
      </c>
      <c r="AA34" s="9">
        <v>5712</v>
      </c>
      <c r="AB34" s="10">
        <f t="shared" si="146"/>
        <v>3655.6800000000003</v>
      </c>
      <c r="AC34" s="9">
        <v>10464</v>
      </c>
      <c r="AD34" s="10">
        <f t="shared" si="147"/>
        <v>6696.96</v>
      </c>
      <c r="AE34" s="11">
        <f t="shared" si="85"/>
        <v>9100.1666666666661</v>
      </c>
      <c r="AF34" s="12">
        <f t="shared" si="148"/>
        <v>5824.1066666666666</v>
      </c>
      <c r="AG34" s="9">
        <v>13608</v>
      </c>
      <c r="AH34" s="10">
        <f t="shared" si="149"/>
        <v>8709.1200000000008</v>
      </c>
      <c r="AI34" s="9">
        <v>8376</v>
      </c>
      <c r="AJ34" s="10">
        <f t="shared" si="150"/>
        <v>5360.64</v>
      </c>
      <c r="AK34" s="9">
        <v>5904</v>
      </c>
      <c r="AL34" s="10">
        <f t="shared" si="151"/>
        <v>3778.56</v>
      </c>
      <c r="AM34" s="9">
        <v>7968</v>
      </c>
      <c r="AN34" s="10">
        <f t="shared" si="152"/>
        <v>5099.5200000000004</v>
      </c>
      <c r="AO34" s="9">
        <v>6480</v>
      </c>
      <c r="AP34" s="10">
        <f t="shared" si="153"/>
        <v>4147.2</v>
      </c>
      <c r="AQ34" s="9">
        <v>8280</v>
      </c>
      <c r="AR34" s="10">
        <f t="shared" si="154"/>
        <v>5299.2</v>
      </c>
      <c r="AS34" s="9">
        <v>9480</v>
      </c>
      <c r="AT34" s="10">
        <f t="shared" si="155"/>
        <v>6067.2</v>
      </c>
      <c r="AU34" s="9">
        <v>7728</v>
      </c>
      <c r="AV34" s="10">
        <f t="shared" si="156"/>
        <v>4945.92</v>
      </c>
      <c r="AW34" s="9">
        <v>9840</v>
      </c>
      <c r="AX34" s="10">
        <f t="shared" si="157"/>
        <v>6297.6</v>
      </c>
      <c r="AY34" s="9">
        <v>5688</v>
      </c>
      <c r="AZ34" s="10">
        <f t="shared" si="158"/>
        <v>3640.32</v>
      </c>
      <c r="BA34" s="9">
        <v>3552</v>
      </c>
      <c r="BB34" s="10">
        <f t="shared" si="159"/>
        <v>2273.2800000000002</v>
      </c>
      <c r="BC34" s="9">
        <v>6360</v>
      </c>
      <c r="BD34" s="10">
        <f t="shared" si="160"/>
        <v>4070.4</v>
      </c>
      <c r="BE34" s="11">
        <f t="shared" si="99"/>
        <v>7772</v>
      </c>
      <c r="BF34" s="12">
        <f t="shared" si="161"/>
        <v>4974.08</v>
      </c>
      <c r="BG34" s="9">
        <v>8088</v>
      </c>
      <c r="BH34" s="10">
        <f t="shared" si="162"/>
        <v>5176.32</v>
      </c>
      <c r="BI34" s="9">
        <v>4320</v>
      </c>
      <c r="BJ34" s="10">
        <f t="shared" si="163"/>
        <v>2764.8</v>
      </c>
      <c r="BK34" s="9">
        <v>7296</v>
      </c>
      <c r="BL34" s="10">
        <f t="shared" si="164"/>
        <v>4669.4400000000005</v>
      </c>
      <c r="BM34" s="9">
        <v>5184</v>
      </c>
      <c r="BN34" s="10">
        <f t="shared" si="165"/>
        <v>3317.76</v>
      </c>
      <c r="BO34" s="9">
        <v>6432</v>
      </c>
      <c r="BP34" s="10">
        <f t="shared" si="166"/>
        <v>4116.4800000000005</v>
      </c>
      <c r="BQ34" s="9">
        <v>6576</v>
      </c>
      <c r="BR34" s="10">
        <f t="shared" si="167"/>
        <v>4208.6400000000003</v>
      </c>
      <c r="BS34" s="9">
        <v>7464</v>
      </c>
      <c r="BT34" s="10">
        <f t="shared" si="168"/>
        <v>4776.96</v>
      </c>
      <c r="BU34" s="9">
        <v>5064</v>
      </c>
      <c r="BV34" s="10">
        <f t="shared" si="169"/>
        <v>3240.96</v>
      </c>
      <c r="BW34" s="9">
        <v>5832</v>
      </c>
      <c r="BX34" s="10">
        <f t="shared" si="170"/>
        <v>3732.48</v>
      </c>
      <c r="BY34" s="9">
        <v>5952</v>
      </c>
      <c r="BZ34" s="10">
        <f t="shared" si="171"/>
        <v>3809.28</v>
      </c>
      <c r="CA34" s="9">
        <v>6744</v>
      </c>
      <c r="CB34" s="10">
        <f t="shared" si="172"/>
        <v>4316.16</v>
      </c>
      <c r="CC34" s="9">
        <v>7800</v>
      </c>
      <c r="CD34" s="10">
        <f t="shared" si="173"/>
        <v>4992</v>
      </c>
      <c r="CE34" s="19">
        <f t="shared" si="49"/>
        <v>6316</v>
      </c>
      <c r="CF34" s="10">
        <f>(BH34+BJ34+BL34+BN34+BP34+BR34)/6</f>
        <v>4042.2400000000002</v>
      </c>
      <c r="CG34" s="11">
        <f t="shared" si="0"/>
        <v>6396</v>
      </c>
      <c r="CH34" s="12">
        <f t="shared" si="113"/>
        <v>4093.44</v>
      </c>
      <c r="CI34" s="13">
        <v>6396</v>
      </c>
      <c r="CJ34" s="10">
        <f t="shared" si="124"/>
        <v>4093.44</v>
      </c>
      <c r="CK34" s="15">
        <f t="shared" si="1"/>
        <v>0.72616633406986442</v>
      </c>
      <c r="CL34" s="15"/>
      <c r="CM34" s="14">
        <v>6552</v>
      </c>
      <c r="CN34" s="10">
        <f t="shared" si="124"/>
        <v>4193.28</v>
      </c>
      <c r="CO34" s="14">
        <v>6624</v>
      </c>
      <c r="CP34" s="15">
        <f t="shared" si="114"/>
        <v>4239.3599999999997</v>
      </c>
      <c r="CQ34" s="14">
        <v>9072</v>
      </c>
      <c r="CR34" s="15">
        <f t="shared" si="114"/>
        <v>5806.08</v>
      </c>
      <c r="CS34" s="14">
        <v>4824</v>
      </c>
      <c r="CT34" s="15">
        <f t="shared" si="115"/>
        <v>3087.36</v>
      </c>
      <c r="CU34" s="14">
        <v>7032</v>
      </c>
      <c r="CV34" s="15">
        <f t="shared" si="116"/>
        <v>4500.4800000000005</v>
      </c>
      <c r="CW34" s="14">
        <v>4800</v>
      </c>
      <c r="CX34" s="15">
        <f t="shared" si="117"/>
        <v>3072</v>
      </c>
      <c r="CY34" s="14"/>
      <c r="CZ34" s="15">
        <f t="shared" si="118"/>
        <v>0</v>
      </c>
      <c r="DA34" s="14"/>
      <c r="DB34" s="15">
        <f t="shared" si="119"/>
        <v>0</v>
      </c>
      <c r="DC34" s="14"/>
      <c r="DD34" s="15">
        <f t="shared" si="120"/>
        <v>0</v>
      </c>
      <c r="DE34" s="14"/>
      <c r="DF34" s="15">
        <f t="shared" si="121"/>
        <v>0</v>
      </c>
      <c r="DG34" s="14"/>
      <c r="DH34" s="15">
        <f t="shared" si="122"/>
        <v>0</v>
      </c>
      <c r="DI34" s="14"/>
      <c r="DJ34" s="15">
        <f t="shared" si="123"/>
        <v>0</v>
      </c>
      <c r="DK34" s="16">
        <f t="shared" si="135"/>
        <v>38904</v>
      </c>
      <c r="DL34" s="17">
        <f t="shared" si="135"/>
        <v>24898.559999999998</v>
      </c>
      <c r="DM34" s="68">
        <f t="shared" si="63"/>
        <v>6484</v>
      </c>
      <c r="DN34" s="68">
        <f t="shared" si="64"/>
        <v>4149.7599999999993</v>
      </c>
      <c r="DO34" s="69">
        <f t="shared" si="4"/>
        <v>0.7056582457270304</v>
      </c>
      <c r="DP34" s="70">
        <f t="shared" si="65"/>
        <v>-2.0508088342834019E-2</v>
      </c>
      <c r="DQ34" s="71">
        <f t="shared" si="66"/>
        <v>2.6599113362887721</v>
      </c>
      <c r="DR34" s="71">
        <f t="shared" si="67"/>
        <v>1.3758599124452644</v>
      </c>
      <c r="DS34" s="71">
        <f t="shared" si="72"/>
        <v>56.319999999999254</v>
      </c>
      <c r="DT34" s="71">
        <f t="shared" si="68"/>
        <v>107.51999999999907</v>
      </c>
      <c r="DU34" s="71">
        <f t="shared" si="69"/>
        <v>4.0228571428570898</v>
      </c>
      <c r="DV34" s="71">
        <f t="shared" si="70"/>
        <v>7.679999999999934</v>
      </c>
      <c r="DW34" s="71">
        <f t="shared" si="71"/>
        <v>46.0799999999996</v>
      </c>
    </row>
    <row r="35" spans="1:127">
      <c r="A35" s="7">
        <v>30</v>
      </c>
      <c r="B35" s="8" t="s">
        <v>44</v>
      </c>
      <c r="C35" s="8" t="s">
        <v>14</v>
      </c>
      <c r="D35" s="7">
        <v>0.64</v>
      </c>
      <c r="E35" s="7" t="s">
        <v>20</v>
      </c>
      <c r="F35" s="7">
        <v>1230</v>
      </c>
      <c r="G35" s="9">
        <v>6050</v>
      </c>
      <c r="H35" s="10">
        <f t="shared" si="136"/>
        <v>3872</v>
      </c>
      <c r="I35" s="9">
        <v>4746</v>
      </c>
      <c r="J35" s="10">
        <f t="shared" si="137"/>
        <v>3037.44</v>
      </c>
      <c r="K35" s="9">
        <v>5572</v>
      </c>
      <c r="L35" s="10">
        <f t="shared" si="138"/>
        <v>3566.08</v>
      </c>
      <c r="M35" s="9">
        <v>5418</v>
      </c>
      <c r="N35" s="10">
        <f t="shared" si="139"/>
        <v>3467.52</v>
      </c>
      <c r="O35" s="9">
        <v>4564</v>
      </c>
      <c r="P35" s="10">
        <f t="shared" si="140"/>
        <v>2920.96</v>
      </c>
      <c r="Q35" s="9">
        <v>5320</v>
      </c>
      <c r="R35" s="10">
        <f t="shared" si="141"/>
        <v>3404.8</v>
      </c>
      <c r="S35" s="9">
        <v>5754</v>
      </c>
      <c r="T35" s="10">
        <f t="shared" si="142"/>
        <v>3682.56</v>
      </c>
      <c r="U35" s="9">
        <v>6328</v>
      </c>
      <c r="V35" s="10">
        <f t="shared" si="143"/>
        <v>4049.92</v>
      </c>
      <c r="W35" s="9">
        <v>3976</v>
      </c>
      <c r="X35" s="10">
        <f t="shared" si="144"/>
        <v>2544.64</v>
      </c>
      <c r="Y35" s="9">
        <v>5222</v>
      </c>
      <c r="Z35" s="10">
        <f t="shared" si="145"/>
        <v>3342.08</v>
      </c>
      <c r="AA35" s="9">
        <v>5026</v>
      </c>
      <c r="AB35" s="10">
        <f t="shared" si="146"/>
        <v>3216.64</v>
      </c>
      <c r="AC35" s="9">
        <v>5992</v>
      </c>
      <c r="AD35" s="10">
        <f t="shared" si="147"/>
        <v>3834.88</v>
      </c>
      <c r="AE35" s="11">
        <f t="shared" si="85"/>
        <v>5330.666666666667</v>
      </c>
      <c r="AF35" s="12">
        <f t="shared" si="148"/>
        <v>3411.626666666667</v>
      </c>
      <c r="AG35" s="9">
        <v>5348</v>
      </c>
      <c r="AH35" s="10">
        <f t="shared" si="149"/>
        <v>3422.7200000000003</v>
      </c>
      <c r="AI35" s="9">
        <v>4774</v>
      </c>
      <c r="AJ35" s="10">
        <f t="shared" si="150"/>
        <v>3055.36</v>
      </c>
      <c r="AK35" s="9">
        <v>4704</v>
      </c>
      <c r="AL35" s="10">
        <f t="shared" si="151"/>
        <v>3010.56</v>
      </c>
      <c r="AM35" s="9">
        <v>3710</v>
      </c>
      <c r="AN35" s="10">
        <f t="shared" si="152"/>
        <v>2374.4</v>
      </c>
      <c r="AO35" s="9">
        <v>3836</v>
      </c>
      <c r="AP35" s="10">
        <f t="shared" si="153"/>
        <v>2455.04</v>
      </c>
      <c r="AQ35" s="9">
        <v>3766</v>
      </c>
      <c r="AR35" s="10">
        <f t="shared" si="154"/>
        <v>2410.2400000000002</v>
      </c>
      <c r="AS35" s="9">
        <v>3766</v>
      </c>
      <c r="AT35" s="10">
        <f t="shared" si="155"/>
        <v>2410.2400000000002</v>
      </c>
      <c r="AU35" s="9">
        <v>4438</v>
      </c>
      <c r="AV35" s="10">
        <f t="shared" si="156"/>
        <v>2840.32</v>
      </c>
      <c r="AW35" s="9">
        <v>4200</v>
      </c>
      <c r="AX35" s="10">
        <f t="shared" si="157"/>
        <v>2688</v>
      </c>
      <c r="AY35" s="9">
        <v>4291</v>
      </c>
      <c r="AZ35" s="10">
        <f t="shared" si="158"/>
        <v>2746.2400000000002</v>
      </c>
      <c r="BA35" s="9">
        <v>2030</v>
      </c>
      <c r="BB35" s="10">
        <f t="shared" si="159"/>
        <v>1299.2</v>
      </c>
      <c r="BC35" s="9">
        <v>5082</v>
      </c>
      <c r="BD35" s="10">
        <f t="shared" si="160"/>
        <v>3252.48</v>
      </c>
      <c r="BE35" s="11">
        <f t="shared" si="99"/>
        <v>4162.083333333333</v>
      </c>
      <c r="BF35" s="12">
        <f t="shared" si="161"/>
        <v>2663.7333333333331</v>
      </c>
      <c r="BG35" s="9">
        <v>5096</v>
      </c>
      <c r="BH35" s="10">
        <f t="shared" si="162"/>
        <v>3261.44</v>
      </c>
      <c r="BI35" s="9">
        <v>3948</v>
      </c>
      <c r="BJ35" s="10">
        <f t="shared" si="163"/>
        <v>2526.7200000000003</v>
      </c>
      <c r="BK35" s="9">
        <v>4368</v>
      </c>
      <c r="BL35" s="10">
        <f t="shared" si="164"/>
        <v>2795.52</v>
      </c>
      <c r="BM35" s="9">
        <v>3262</v>
      </c>
      <c r="BN35" s="10">
        <f t="shared" si="165"/>
        <v>2087.6799999999998</v>
      </c>
      <c r="BO35" s="9">
        <v>5068</v>
      </c>
      <c r="BP35" s="10">
        <f t="shared" si="166"/>
        <v>3243.52</v>
      </c>
      <c r="BQ35" s="9">
        <v>3430</v>
      </c>
      <c r="BR35" s="10">
        <f t="shared" si="167"/>
        <v>2195.2000000000003</v>
      </c>
      <c r="BS35" s="9">
        <v>4102</v>
      </c>
      <c r="BT35" s="10">
        <f t="shared" si="168"/>
        <v>2625.28</v>
      </c>
      <c r="BU35" s="9">
        <v>2912</v>
      </c>
      <c r="BV35" s="10">
        <f t="shared" si="169"/>
        <v>1863.68</v>
      </c>
      <c r="BW35" s="9">
        <v>3024</v>
      </c>
      <c r="BX35" s="10">
        <f t="shared" si="170"/>
        <v>1935.3600000000001</v>
      </c>
      <c r="BY35" s="9">
        <v>3850</v>
      </c>
      <c r="BZ35" s="10">
        <f t="shared" si="171"/>
        <v>2464</v>
      </c>
      <c r="CA35" s="9">
        <v>3150</v>
      </c>
      <c r="CB35" s="10">
        <f t="shared" si="172"/>
        <v>2016</v>
      </c>
      <c r="CC35" s="9">
        <v>5110</v>
      </c>
      <c r="CD35" s="10">
        <f t="shared" si="173"/>
        <v>3270.4</v>
      </c>
      <c r="CE35" s="19">
        <f t="shared" si="49"/>
        <v>4195.333333333333</v>
      </c>
      <c r="CF35" s="10">
        <f t="shared" si="50"/>
        <v>2685.0133333333338</v>
      </c>
      <c r="CG35" s="11">
        <f t="shared" si="0"/>
        <v>3943.3333333333335</v>
      </c>
      <c r="CH35" s="12">
        <f t="shared" si="113"/>
        <v>2523.7333333333336</v>
      </c>
      <c r="CI35" s="13">
        <v>3943</v>
      </c>
      <c r="CJ35" s="10">
        <f t="shared" si="124"/>
        <v>2523.52</v>
      </c>
      <c r="CK35" s="15">
        <f t="shared" si="1"/>
        <v>0.44770417615418479</v>
      </c>
      <c r="CL35" s="15"/>
      <c r="CM35" s="14">
        <v>4690</v>
      </c>
      <c r="CN35" s="10">
        <f t="shared" si="124"/>
        <v>3001.6</v>
      </c>
      <c r="CO35" s="14">
        <v>5292</v>
      </c>
      <c r="CP35" s="15">
        <f t="shared" si="114"/>
        <v>3386.88</v>
      </c>
      <c r="CQ35" s="14">
        <v>2982</v>
      </c>
      <c r="CR35" s="15">
        <f t="shared" si="114"/>
        <v>1908.48</v>
      </c>
      <c r="CS35" s="14">
        <v>4060</v>
      </c>
      <c r="CT35" s="15">
        <f t="shared" si="115"/>
        <v>2598.4</v>
      </c>
      <c r="CU35" s="14">
        <v>2884</v>
      </c>
      <c r="CV35" s="15">
        <f t="shared" si="116"/>
        <v>1845.76</v>
      </c>
      <c r="CW35" s="14">
        <v>3486</v>
      </c>
      <c r="CX35" s="15">
        <f t="shared" si="117"/>
        <v>2231.04</v>
      </c>
      <c r="CY35" s="14"/>
      <c r="CZ35" s="15">
        <f t="shared" si="118"/>
        <v>0</v>
      </c>
      <c r="DA35" s="14"/>
      <c r="DB35" s="15">
        <f t="shared" si="119"/>
        <v>0</v>
      </c>
      <c r="DC35" s="14"/>
      <c r="DD35" s="15">
        <f t="shared" si="120"/>
        <v>0</v>
      </c>
      <c r="DE35" s="14"/>
      <c r="DF35" s="15">
        <f t="shared" si="121"/>
        <v>0</v>
      </c>
      <c r="DG35" s="14"/>
      <c r="DH35" s="15">
        <f t="shared" si="122"/>
        <v>0</v>
      </c>
      <c r="DI35" s="14"/>
      <c r="DJ35" s="15">
        <f t="shared" si="123"/>
        <v>0</v>
      </c>
      <c r="DK35" s="16">
        <f t="shared" si="135"/>
        <v>23394</v>
      </c>
      <c r="DL35" s="17">
        <f t="shared" si="135"/>
        <v>14972.16</v>
      </c>
      <c r="DM35" s="68">
        <f t="shared" si="63"/>
        <v>3899</v>
      </c>
      <c r="DN35" s="68">
        <f t="shared" si="64"/>
        <v>2495.36</v>
      </c>
      <c r="DO35" s="69">
        <f t="shared" si="4"/>
        <v>0.42433089143887909</v>
      </c>
      <c r="DP35" s="70">
        <f t="shared" si="65"/>
        <v>-2.3373284715305698E-2</v>
      </c>
      <c r="DQ35" s="71">
        <f t="shared" si="66"/>
        <v>-7.06340378198</v>
      </c>
      <c r="DR35" s="71">
        <f t="shared" si="67"/>
        <v>-1.1242603550295911</v>
      </c>
      <c r="DS35" s="71">
        <f t="shared" si="72"/>
        <v>-28.373333333333449</v>
      </c>
      <c r="DT35" s="71">
        <f t="shared" si="68"/>
        <v>-189.65333333333365</v>
      </c>
      <c r="DU35" s="71">
        <f t="shared" si="69"/>
        <v>-2.0266666666666748</v>
      </c>
      <c r="DV35" s="71">
        <f t="shared" si="70"/>
        <v>-13.54666666666669</v>
      </c>
      <c r="DW35" s="71">
        <f t="shared" si="71"/>
        <v>-81.280000000000143</v>
      </c>
    </row>
    <row r="36" spans="1:127" ht="22.5" customHeight="1">
      <c r="A36" s="22"/>
      <c r="B36" s="23" t="s">
        <v>45</v>
      </c>
      <c r="C36" s="23"/>
      <c r="D36" s="24"/>
      <c r="E36" s="25"/>
      <c r="F36" s="25"/>
      <c r="G36" s="26">
        <f t="shared" ref="G36:AL36" si="174">SUM(G4:G35)</f>
        <v>654091</v>
      </c>
      <c r="H36" s="27">
        <f t="shared" si="174"/>
        <v>425017.06</v>
      </c>
      <c r="I36" s="26">
        <f t="shared" si="174"/>
        <v>628544</v>
      </c>
      <c r="J36" s="27">
        <f t="shared" si="174"/>
        <v>407037.68000000005</v>
      </c>
      <c r="K36" s="26">
        <f t="shared" si="174"/>
        <v>715306</v>
      </c>
      <c r="L36" s="27">
        <f t="shared" si="174"/>
        <v>466108.84</v>
      </c>
      <c r="M36" s="26">
        <f t="shared" si="174"/>
        <v>532583</v>
      </c>
      <c r="N36" s="27">
        <f t="shared" si="174"/>
        <v>346599.38</v>
      </c>
      <c r="O36" s="26">
        <f t="shared" si="174"/>
        <v>559169</v>
      </c>
      <c r="P36" s="27">
        <f t="shared" si="174"/>
        <v>361819.58000000007</v>
      </c>
      <c r="Q36" s="26">
        <f t="shared" si="174"/>
        <v>646860</v>
      </c>
      <c r="R36" s="27">
        <f t="shared" si="174"/>
        <v>417841.67999999993</v>
      </c>
      <c r="S36" s="26">
        <f t="shared" si="174"/>
        <v>641078</v>
      </c>
      <c r="T36" s="27">
        <f t="shared" si="174"/>
        <v>415252.0400000001</v>
      </c>
      <c r="U36" s="26">
        <f t="shared" si="174"/>
        <v>715219</v>
      </c>
      <c r="V36" s="27">
        <f t="shared" si="174"/>
        <v>464703.58000000007</v>
      </c>
      <c r="W36" s="26">
        <f t="shared" si="174"/>
        <v>631014</v>
      </c>
      <c r="X36" s="27">
        <f t="shared" si="174"/>
        <v>407854.08000000007</v>
      </c>
      <c r="Y36" s="26">
        <f t="shared" si="174"/>
        <v>596554</v>
      </c>
      <c r="Z36" s="27">
        <f t="shared" si="174"/>
        <v>385517.91000000003</v>
      </c>
      <c r="AA36" s="26">
        <f t="shared" si="174"/>
        <v>664614</v>
      </c>
      <c r="AB36" s="27">
        <f t="shared" si="174"/>
        <v>431000.24000000005</v>
      </c>
      <c r="AC36" s="26">
        <f t="shared" si="174"/>
        <v>722091</v>
      </c>
      <c r="AD36" s="27">
        <f t="shared" si="174"/>
        <v>466735.39</v>
      </c>
      <c r="AE36" s="28">
        <f t="shared" si="174"/>
        <v>642260.25</v>
      </c>
      <c r="AF36" s="29">
        <f t="shared" si="174"/>
        <v>416290.62166666664</v>
      </c>
      <c r="AG36" s="26">
        <f t="shared" si="174"/>
        <v>696158</v>
      </c>
      <c r="AH36" s="27">
        <f t="shared" si="174"/>
        <v>450975.41</v>
      </c>
      <c r="AI36" s="26">
        <f t="shared" si="174"/>
        <v>582989</v>
      </c>
      <c r="AJ36" s="27">
        <f t="shared" si="174"/>
        <v>376228.6</v>
      </c>
      <c r="AK36" s="26">
        <f t="shared" si="174"/>
        <v>561925</v>
      </c>
      <c r="AL36" s="27">
        <f t="shared" si="174"/>
        <v>364919.43</v>
      </c>
      <c r="AM36" s="26">
        <f t="shared" ref="AM36:BP36" si="175">SUM(AM4:AM35)</f>
        <v>564875</v>
      </c>
      <c r="AN36" s="27">
        <f t="shared" si="175"/>
        <v>366415.57000000007</v>
      </c>
      <c r="AO36" s="26">
        <f t="shared" si="175"/>
        <v>476057</v>
      </c>
      <c r="AP36" s="27">
        <f t="shared" si="175"/>
        <v>309869.97000000003</v>
      </c>
      <c r="AQ36" s="26">
        <f t="shared" si="175"/>
        <v>600345</v>
      </c>
      <c r="AR36" s="27">
        <f t="shared" si="175"/>
        <v>389566.54</v>
      </c>
      <c r="AS36" s="26">
        <f t="shared" si="175"/>
        <v>654612</v>
      </c>
      <c r="AT36" s="27">
        <f t="shared" si="175"/>
        <v>424884.15</v>
      </c>
      <c r="AU36" s="26">
        <f t="shared" si="175"/>
        <v>627336</v>
      </c>
      <c r="AV36" s="27">
        <f t="shared" si="175"/>
        <v>405648.12000000005</v>
      </c>
      <c r="AW36" s="26">
        <f t="shared" si="175"/>
        <v>614399</v>
      </c>
      <c r="AX36" s="27">
        <f t="shared" si="175"/>
        <v>398322.05000000005</v>
      </c>
      <c r="AY36" s="26">
        <f t="shared" si="175"/>
        <v>662882</v>
      </c>
      <c r="AZ36" s="27">
        <f t="shared" si="175"/>
        <v>428693.14</v>
      </c>
      <c r="BA36" s="26">
        <f t="shared" si="175"/>
        <v>678253</v>
      </c>
      <c r="BB36" s="27">
        <f t="shared" si="175"/>
        <v>440888.14000000007</v>
      </c>
      <c r="BC36" s="26">
        <f t="shared" si="175"/>
        <v>846698</v>
      </c>
      <c r="BD36" s="27">
        <f t="shared" si="175"/>
        <v>548664.9800000001</v>
      </c>
      <c r="BE36" s="28">
        <f t="shared" si="175"/>
        <v>630544.08333333349</v>
      </c>
      <c r="BF36" s="29">
        <f t="shared" si="175"/>
        <v>408756.34166666662</v>
      </c>
      <c r="BG36" s="26">
        <f t="shared" si="175"/>
        <v>949178</v>
      </c>
      <c r="BH36" s="27">
        <f t="shared" si="175"/>
        <v>613512.19999999995</v>
      </c>
      <c r="BI36" s="26">
        <f t="shared" si="175"/>
        <v>773779</v>
      </c>
      <c r="BJ36" s="27">
        <f t="shared" si="175"/>
        <v>500548.67999999993</v>
      </c>
      <c r="BK36" s="26">
        <f t="shared" si="175"/>
        <v>794108</v>
      </c>
      <c r="BL36" s="27">
        <f t="shared" si="175"/>
        <v>512919.13999999996</v>
      </c>
      <c r="BM36" s="26">
        <f t="shared" si="175"/>
        <v>749078</v>
      </c>
      <c r="BN36" s="27">
        <f t="shared" si="175"/>
        <v>486537</v>
      </c>
      <c r="BO36" s="26">
        <f t="shared" si="175"/>
        <v>840592</v>
      </c>
      <c r="BP36" s="27">
        <f t="shared" si="175"/>
        <v>541215.06000000006</v>
      </c>
      <c r="BQ36" s="26">
        <f t="shared" ref="BQ36:DJ36" si="176">SUM(BQ4:BQ35)</f>
        <v>820396</v>
      </c>
      <c r="BR36" s="27">
        <f t="shared" si="176"/>
        <v>529836.97000000009</v>
      </c>
      <c r="BS36" s="26">
        <f t="shared" si="176"/>
        <v>868137</v>
      </c>
      <c r="BT36" s="27">
        <f t="shared" si="176"/>
        <v>561678.62</v>
      </c>
      <c r="BU36" s="26">
        <f t="shared" si="176"/>
        <v>864657</v>
      </c>
      <c r="BV36" s="27">
        <f t="shared" si="176"/>
        <v>560913.68000000005</v>
      </c>
      <c r="BW36" s="26">
        <f t="shared" si="176"/>
        <v>901641</v>
      </c>
      <c r="BX36" s="27">
        <f t="shared" si="176"/>
        <v>583965.26</v>
      </c>
      <c r="BY36" s="26">
        <f t="shared" si="176"/>
        <v>946416</v>
      </c>
      <c r="BZ36" s="27">
        <f t="shared" si="176"/>
        <v>615351.65</v>
      </c>
      <c r="CA36" s="26">
        <f t="shared" si="176"/>
        <v>917030</v>
      </c>
      <c r="CB36" s="27">
        <f t="shared" si="176"/>
        <v>595835.02</v>
      </c>
      <c r="CC36" s="26">
        <f t="shared" si="176"/>
        <v>1013431</v>
      </c>
      <c r="CD36" s="27">
        <f t="shared" si="176"/>
        <v>662153.44000000006</v>
      </c>
      <c r="CE36" s="244">
        <f t="shared" si="49"/>
        <v>821188.5</v>
      </c>
      <c r="CF36" s="245">
        <f t="shared" si="50"/>
        <v>530761.5083333333</v>
      </c>
      <c r="CG36" s="26">
        <f t="shared" si="176"/>
        <v>869870.25</v>
      </c>
      <c r="CH36" s="27">
        <f t="shared" si="176"/>
        <v>563705.55999999994</v>
      </c>
      <c r="CI36" s="26">
        <f t="shared" si="176"/>
        <v>876799</v>
      </c>
      <c r="CJ36" s="27">
        <f t="shared" si="176"/>
        <v>567862.76</v>
      </c>
      <c r="CK36" s="241">
        <f t="shared" si="1"/>
        <v>100</v>
      </c>
      <c r="CL36" s="27"/>
      <c r="CM36" s="26">
        <f t="shared" si="176"/>
        <v>965752</v>
      </c>
      <c r="CN36" s="27">
        <f t="shared" si="176"/>
        <v>631832.88</v>
      </c>
      <c r="CO36" s="26">
        <f t="shared" si="176"/>
        <v>818851</v>
      </c>
      <c r="CP36" s="27">
        <f t="shared" si="176"/>
        <v>532828.48</v>
      </c>
      <c r="CQ36" s="26">
        <f t="shared" si="176"/>
        <v>1020554</v>
      </c>
      <c r="CR36" s="27">
        <f t="shared" si="176"/>
        <v>677348.72</v>
      </c>
      <c r="CS36" s="26">
        <f t="shared" si="176"/>
        <v>803099</v>
      </c>
      <c r="CT36" s="27">
        <f t="shared" si="176"/>
        <v>524612.25</v>
      </c>
      <c r="CU36" s="26">
        <f t="shared" si="176"/>
        <v>888740</v>
      </c>
      <c r="CV36" s="27">
        <f t="shared" si="176"/>
        <v>583181.49000000011</v>
      </c>
      <c r="CW36" s="26">
        <f t="shared" si="176"/>
        <v>884247</v>
      </c>
      <c r="CX36" s="27">
        <f t="shared" si="176"/>
        <v>578612.40000000014</v>
      </c>
      <c r="CY36" s="26">
        <f t="shared" si="176"/>
        <v>0</v>
      </c>
      <c r="CZ36" s="27">
        <f t="shared" si="176"/>
        <v>0</v>
      </c>
      <c r="DA36" s="26">
        <f t="shared" si="176"/>
        <v>0</v>
      </c>
      <c r="DB36" s="27">
        <f t="shared" si="176"/>
        <v>0</v>
      </c>
      <c r="DC36" s="26">
        <f t="shared" si="176"/>
        <v>0</v>
      </c>
      <c r="DD36" s="27">
        <f t="shared" si="176"/>
        <v>0</v>
      </c>
      <c r="DE36" s="26">
        <f t="shared" si="176"/>
        <v>0</v>
      </c>
      <c r="DF36" s="27">
        <f t="shared" si="176"/>
        <v>0</v>
      </c>
      <c r="DG36" s="26">
        <f t="shared" si="176"/>
        <v>0</v>
      </c>
      <c r="DH36" s="27">
        <f t="shared" si="176"/>
        <v>0</v>
      </c>
      <c r="DI36" s="26">
        <f t="shared" si="176"/>
        <v>0</v>
      </c>
      <c r="DJ36" s="27">
        <f t="shared" si="176"/>
        <v>0</v>
      </c>
      <c r="DK36" s="26">
        <f>SUM(DK4:DK35)</f>
        <v>5381243</v>
      </c>
      <c r="DL36" s="27">
        <f>SUM(DL4:DL35)</f>
        <v>3528416.2199999997</v>
      </c>
      <c r="DM36" s="68">
        <f>DK36/6</f>
        <v>896873.83333333337</v>
      </c>
      <c r="DN36" s="68">
        <f>DL36/6</f>
        <v>588069.37</v>
      </c>
      <c r="DO36" s="69">
        <f t="shared" si="4"/>
        <v>100</v>
      </c>
      <c r="DP36" s="70">
        <f t="shared" si="65"/>
        <v>0</v>
      </c>
      <c r="DQ36" s="71">
        <f t="shared" si="66"/>
        <v>10.797290452847946</v>
      </c>
      <c r="DR36" s="71">
        <f t="shared" si="67"/>
        <v>4.3220808395077768</v>
      </c>
      <c r="DS36" s="71">
        <f t="shared" si="72"/>
        <v>24363.810000000056</v>
      </c>
      <c r="DT36" s="71">
        <f t="shared" si="68"/>
        <v>57307.861666666693</v>
      </c>
      <c r="DU36" s="71">
        <f t="shared" si="69"/>
        <v>1740.2721428571469</v>
      </c>
      <c r="DV36" s="71">
        <f t="shared" si="70"/>
        <v>4093.4186904761923</v>
      </c>
      <c r="DW36" s="68">
        <f>DV36*6</f>
        <v>24560.512142857155</v>
      </c>
    </row>
    <row r="37" spans="1:127" hidden="1">
      <c r="A37" s="53"/>
      <c r="B37" s="54"/>
      <c r="C37" s="54"/>
      <c r="D37" s="54"/>
      <c r="E37" s="55"/>
      <c r="F37" s="55"/>
      <c r="G37" s="56"/>
      <c r="H37" s="57"/>
      <c r="I37" s="56"/>
      <c r="J37" s="57"/>
      <c r="K37" s="56"/>
      <c r="L37" s="57"/>
      <c r="M37" s="56"/>
      <c r="N37" s="57"/>
      <c r="O37" s="56"/>
      <c r="P37" s="57"/>
      <c r="Q37" s="56"/>
      <c r="R37" s="57"/>
      <c r="S37" s="56"/>
      <c r="T37" s="57"/>
      <c r="U37" s="56"/>
      <c r="V37" s="57"/>
      <c r="W37" s="56"/>
      <c r="X37" s="57"/>
      <c r="Y37" s="56"/>
      <c r="Z37" s="57"/>
      <c r="AA37" s="56"/>
      <c r="AB37" s="57"/>
      <c r="AC37" s="56"/>
      <c r="AD37" s="57"/>
      <c r="AE37" s="58"/>
      <c r="AF37" s="59"/>
      <c r="AG37" s="56"/>
      <c r="AH37" s="57"/>
      <c r="AI37" s="56"/>
      <c r="AJ37" s="57"/>
      <c r="AK37" s="56"/>
      <c r="AL37" s="57"/>
      <c r="AM37" s="56"/>
      <c r="AN37" s="57"/>
      <c r="AO37" s="56"/>
      <c r="AP37" s="57"/>
      <c r="AQ37" s="56"/>
      <c r="AR37" s="57"/>
      <c r="AS37" s="56"/>
      <c r="AT37" s="57"/>
      <c r="AU37" s="56"/>
      <c r="AV37" s="57"/>
      <c r="AW37" s="56"/>
      <c r="AX37" s="57"/>
      <c r="AY37" s="56"/>
      <c r="AZ37" s="57"/>
      <c r="BA37" s="56"/>
      <c r="BB37" s="57"/>
      <c r="BC37" s="56"/>
      <c r="BD37" s="57"/>
      <c r="BE37" s="58"/>
      <c r="BF37" s="59"/>
      <c r="BG37" s="56"/>
      <c r="BH37" s="57"/>
      <c r="BI37" s="56"/>
      <c r="BJ37" s="57"/>
      <c r="BK37" s="56"/>
      <c r="BL37" s="57"/>
      <c r="BM37" s="56"/>
      <c r="BN37" s="57"/>
      <c r="BO37" s="56"/>
      <c r="BP37" s="57"/>
      <c r="BQ37" s="56"/>
      <c r="BR37" s="57"/>
      <c r="BS37" s="56"/>
      <c r="BT37" s="57"/>
      <c r="BU37" s="56"/>
      <c r="BV37" s="57"/>
      <c r="BW37" s="56"/>
      <c r="BX37" s="57"/>
      <c r="BY37" s="56"/>
      <c r="BZ37" s="57"/>
      <c r="CA37" s="56"/>
      <c r="CB37" s="57"/>
      <c r="CC37" s="56"/>
      <c r="CD37" s="57"/>
      <c r="CE37" s="60">
        <f t="shared" ref="CE37:CE52" si="177">(BG37+BI37+BK37+BM37+BO37)/5</f>
        <v>0</v>
      </c>
      <c r="CF37" s="57">
        <f t="shared" ref="CF37:CF52" si="178">(BH37+BJ37+BL37+BN37+BP37)/5</f>
        <v>0</v>
      </c>
      <c r="CG37" s="58"/>
      <c r="CH37" s="59"/>
      <c r="CI37" s="55"/>
      <c r="CJ37" s="57"/>
      <c r="CK37" s="62"/>
      <c r="CL37" s="62"/>
      <c r="CM37" s="61"/>
      <c r="CN37" s="57"/>
      <c r="CO37" s="61"/>
      <c r="CP37" s="62"/>
      <c r="CQ37" s="61"/>
      <c r="CR37" s="62"/>
      <c r="CS37" s="61"/>
      <c r="CT37" s="62"/>
      <c r="CU37" s="61"/>
      <c r="CV37" s="62"/>
      <c r="CW37" s="61"/>
      <c r="CX37" s="62"/>
      <c r="CY37" s="61"/>
      <c r="CZ37" s="62"/>
      <c r="DA37" s="61"/>
      <c r="DB37" s="62"/>
      <c r="DC37" s="61"/>
      <c r="DD37" s="62"/>
      <c r="DE37" s="61"/>
      <c r="DF37" s="62"/>
      <c r="DG37" s="61"/>
      <c r="DH37" s="62"/>
      <c r="DI37" s="61"/>
      <c r="DJ37" s="62"/>
      <c r="DK37" s="63"/>
      <c r="DL37" s="62"/>
      <c r="DP37" s="115">
        <f t="shared" si="65"/>
        <v>0</v>
      </c>
      <c r="DQ37" s="116" t="e">
        <f t="shared" si="66"/>
        <v>#DIV/0!</v>
      </c>
      <c r="DR37" s="116" t="e">
        <f t="shared" si="67"/>
        <v>#DIV/0!</v>
      </c>
      <c r="DW37" s="52">
        <f t="shared" ref="DW37:DW52" si="179">DV37*5</f>
        <v>0</v>
      </c>
    </row>
    <row r="38" spans="1:127" hidden="1">
      <c r="A38" s="7">
        <v>109</v>
      </c>
      <c r="B38" s="8" t="s">
        <v>46</v>
      </c>
      <c r="C38" s="8" t="s">
        <v>14</v>
      </c>
      <c r="D38" s="7">
        <v>0.7</v>
      </c>
      <c r="E38" s="7" t="s">
        <v>15</v>
      </c>
      <c r="F38" s="7">
        <v>4500</v>
      </c>
      <c r="G38" s="9">
        <v>360</v>
      </c>
      <c r="H38" s="10">
        <f t="shared" ref="H38:H49" si="180">G38*$D38</f>
        <v>251.99999999999997</v>
      </c>
      <c r="I38" s="9">
        <v>221</v>
      </c>
      <c r="J38" s="10">
        <f t="shared" ref="J38:J49" si="181">I38*$D38</f>
        <v>154.69999999999999</v>
      </c>
      <c r="K38" s="9">
        <v>718</v>
      </c>
      <c r="L38" s="10">
        <f t="shared" ref="L38:L49" si="182">K38*$D38</f>
        <v>502.59999999999997</v>
      </c>
      <c r="M38" s="9">
        <v>566</v>
      </c>
      <c r="N38" s="10">
        <f t="shared" ref="N38:N49" si="183">M38*$D38</f>
        <v>396.2</v>
      </c>
      <c r="O38" s="9">
        <v>240</v>
      </c>
      <c r="P38" s="10">
        <f t="shared" ref="P38:P49" si="184">O38*$D38</f>
        <v>168</v>
      </c>
      <c r="Q38" s="9">
        <v>69</v>
      </c>
      <c r="R38" s="10">
        <f t="shared" ref="R38:R49" si="185">Q38*$D38</f>
        <v>48.3</v>
      </c>
      <c r="S38" s="9">
        <v>195</v>
      </c>
      <c r="T38" s="10">
        <f t="shared" ref="T38:T49" si="186">S38*$D38</f>
        <v>136.5</v>
      </c>
      <c r="U38" s="9">
        <v>131</v>
      </c>
      <c r="V38" s="10">
        <f t="shared" ref="V38:V49" si="187">U38*$D38</f>
        <v>91.699999999999989</v>
      </c>
      <c r="W38" s="9">
        <v>84</v>
      </c>
      <c r="X38" s="10">
        <f t="shared" ref="X38:X49" si="188">W38*$D38</f>
        <v>58.8</v>
      </c>
      <c r="Y38" s="9">
        <v>81</v>
      </c>
      <c r="Z38" s="10">
        <f t="shared" ref="Z38:Z49" si="189">Y38*$D38</f>
        <v>56.699999999999996</v>
      </c>
      <c r="AA38" s="9">
        <v>95</v>
      </c>
      <c r="AB38" s="10">
        <f t="shared" ref="AB38:AB49" si="190">AA38*$D38</f>
        <v>66.5</v>
      </c>
      <c r="AC38" s="9">
        <v>432</v>
      </c>
      <c r="AD38" s="10">
        <f t="shared" ref="AD38:AD49" si="191">AC38*$D38</f>
        <v>302.39999999999998</v>
      </c>
      <c r="AE38" s="11">
        <f t="shared" ref="AE38:AE49" si="192">(AC38+AA38+Y38+W38+U38+S38+Q38+O38+M38+K38+I38+G38)/12</f>
        <v>266</v>
      </c>
      <c r="AF38" s="12">
        <f t="shared" ref="AF38:AF49" si="193">AE38*$D38</f>
        <v>186.2</v>
      </c>
      <c r="AG38" s="9">
        <v>209</v>
      </c>
      <c r="AH38" s="10">
        <f t="shared" ref="AH38:AH49" si="194">AG38*$D38</f>
        <v>146.29999999999998</v>
      </c>
      <c r="AI38" s="9">
        <v>392</v>
      </c>
      <c r="AJ38" s="10">
        <f t="shared" ref="AJ38:AJ49" si="195">AI38*$D38</f>
        <v>274.39999999999998</v>
      </c>
      <c r="AK38" s="9">
        <v>72</v>
      </c>
      <c r="AL38" s="10">
        <f t="shared" ref="AL38:AL49" si="196">AK38*$D38</f>
        <v>50.4</v>
      </c>
      <c r="AM38" s="9">
        <v>128</v>
      </c>
      <c r="AN38" s="10">
        <f t="shared" ref="AN38:AN49" si="197">AM38*$D38</f>
        <v>89.6</v>
      </c>
      <c r="AO38" s="9">
        <v>49</v>
      </c>
      <c r="AP38" s="10">
        <f t="shared" ref="AP38:AP49" si="198">AO38*$D38</f>
        <v>34.299999999999997</v>
      </c>
      <c r="AQ38" s="9">
        <v>311</v>
      </c>
      <c r="AR38" s="10">
        <f t="shared" ref="AR38:AR49" si="199">AQ38*$D38</f>
        <v>217.7</v>
      </c>
      <c r="AS38" s="9">
        <v>71</v>
      </c>
      <c r="AT38" s="10">
        <f t="shared" ref="AT38:AT49" si="200">AS38*$D38</f>
        <v>49.699999999999996</v>
      </c>
      <c r="AU38" s="9">
        <v>60</v>
      </c>
      <c r="AV38" s="10">
        <f t="shared" ref="AV38:AV49" si="201">AU38*$D38</f>
        <v>42</v>
      </c>
      <c r="AW38" s="9">
        <v>33</v>
      </c>
      <c r="AX38" s="10">
        <f t="shared" ref="AX38:AX49" si="202">AW38*$D38</f>
        <v>23.099999999999998</v>
      </c>
      <c r="AY38" s="9">
        <v>75</v>
      </c>
      <c r="AZ38" s="10">
        <f t="shared" ref="AZ38:AZ49" si="203">AY38*$D38</f>
        <v>52.5</v>
      </c>
      <c r="BA38" s="9">
        <v>18</v>
      </c>
      <c r="BB38" s="10">
        <f t="shared" ref="BB38:BB49" si="204">BA38*$D38</f>
        <v>12.6</v>
      </c>
      <c r="BC38" s="9">
        <v>54</v>
      </c>
      <c r="BD38" s="10">
        <f t="shared" ref="BD38:BD49" si="205">BC38*$D38</f>
        <v>37.799999999999997</v>
      </c>
      <c r="BE38" s="11">
        <f t="shared" ref="BE38:BE49" si="206">(BC38+BA38+AY38+AW38+AU38+AS38+AQ38+AO38+AM38+AK38+AI38+AG38)/12</f>
        <v>122.66666666666667</v>
      </c>
      <c r="BF38" s="12">
        <f t="shared" ref="BF38:BF49" si="207">BE38*$D38</f>
        <v>85.86666666666666</v>
      </c>
      <c r="BG38" s="9">
        <v>36</v>
      </c>
      <c r="BH38" s="10">
        <f t="shared" ref="BH38:BH49" si="208">BG38*$D38</f>
        <v>25.2</v>
      </c>
      <c r="BI38" s="9">
        <v>24</v>
      </c>
      <c r="BJ38" s="10">
        <f t="shared" ref="BJ38:BJ49" si="209">BI38*$D38</f>
        <v>16.799999999999997</v>
      </c>
      <c r="BK38" s="9">
        <v>48</v>
      </c>
      <c r="BL38" s="10">
        <f t="shared" ref="BL38:BL49" si="210">BK38*$D38</f>
        <v>33.599999999999994</v>
      </c>
      <c r="BM38" s="9"/>
      <c r="BN38" s="10">
        <f t="shared" ref="BN38:BN49" si="211">BM38*$D38</f>
        <v>0</v>
      </c>
      <c r="BO38" s="9"/>
      <c r="BP38" s="10">
        <f t="shared" ref="BP38:BP49" si="212">BO38*$D38</f>
        <v>0</v>
      </c>
      <c r="BQ38" s="9"/>
      <c r="BR38" s="10">
        <f t="shared" ref="BR38:BR49" si="213">BQ38*$D38</f>
        <v>0</v>
      </c>
      <c r="BS38" s="9">
        <v>1</v>
      </c>
      <c r="BT38" s="10">
        <f t="shared" ref="BT38:BT49" si="214">BS38*$D38</f>
        <v>0.7</v>
      </c>
      <c r="BU38" s="9">
        <v>27</v>
      </c>
      <c r="BV38" s="10">
        <f t="shared" ref="BV38:BV49" si="215">BU38*$D38</f>
        <v>18.899999999999999</v>
      </c>
      <c r="BW38" s="9">
        <v>1</v>
      </c>
      <c r="BX38" s="10">
        <f t="shared" ref="BX38:BX49" si="216">BW38*$D38</f>
        <v>0.7</v>
      </c>
      <c r="BY38" s="9">
        <v>1</v>
      </c>
      <c r="BZ38" s="10">
        <f t="shared" ref="BZ38:BZ49" si="217">BY38*$D38</f>
        <v>0.7</v>
      </c>
      <c r="CA38" s="9">
        <v>4</v>
      </c>
      <c r="CB38" s="10">
        <f t="shared" ref="CB38:CB49" si="218">CA38*$D38</f>
        <v>2.8</v>
      </c>
      <c r="CC38" s="9">
        <v>1</v>
      </c>
      <c r="CD38" s="10">
        <f t="shared" ref="CD38:CD49" si="219">CC38*$D38</f>
        <v>0.7</v>
      </c>
      <c r="CE38" s="19">
        <f t="shared" si="177"/>
        <v>21.6</v>
      </c>
      <c r="CF38" s="10">
        <f t="shared" si="178"/>
        <v>15.12</v>
      </c>
      <c r="CG38" s="11">
        <f t="shared" ref="CG38:CG49" si="220">(CC38+CA38+BY38+BW38+BU38+BS38+BQ38+BO38+BM38+BK38+BI38+BG38)/12</f>
        <v>11.916666666666666</v>
      </c>
      <c r="CH38" s="12">
        <f t="shared" ref="CH38:CH49" si="221">CG38*$D38</f>
        <v>8.341666666666665</v>
      </c>
      <c r="CI38" s="13">
        <v>11</v>
      </c>
      <c r="CJ38" s="10">
        <f t="shared" ref="CJ38:CN49" si="222">CI38*$D38</f>
        <v>7.6999999999999993</v>
      </c>
      <c r="CK38" s="15"/>
      <c r="CL38" s="15"/>
      <c r="CM38" s="14"/>
      <c r="CN38" s="10">
        <f t="shared" si="222"/>
        <v>0</v>
      </c>
      <c r="CO38" s="14"/>
      <c r="CP38" s="15">
        <f t="shared" ref="CP38:CP49" si="223">CO38*$D38</f>
        <v>0</v>
      </c>
      <c r="CQ38" s="14"/>
      <c r="CR38" s="15">
        <f t="shared" ref="CR38:CR49" si="224">CQ38*$D38</f>
        <v>0</v>
      </c>
      <c r="CS38" s="14"/>
      <c r="CT38" s="15">
        <f t="shared" ref="CT38:CV49" si="225">CS38*$D38</f>
        <v>0</v>
      </c>
      <c r="CU38" s="14"/>
      <c r="CV38" s="15">
        <f t="shared" si="225"/>
        <v>0</v>
      </c>
      <c r="CW38" s="14"/>
      <c r="CX38" s="15">
        <f t="shared" ref="CX38:CX49" si="226">CW38*$D38</f>
        <v>0</v>
      </c>
      <c r="CY38" s="14"/>
      <c r="CZ38" s="15">
        <f t="shared" ref="CZ38:CZ49" si="227">CY38*$D38</f>
        <v>0</v>
      </c>
      <c r="DA38" s="14"/>
      <c r="DB38" s="15">
        <f t="shared" ref="DB38:DB49" si="228">DA38*$D38</f>
        <v>0</v>
      </c>
      <c r="DC38" s="14"/>
      <c r="DD38" s="15">
        <f t="shared" ref="DD38:DD49" si="229">DC38*$D38</f>
        <v>0</v>
      </c>
      <c r="DE38" s="14"/>
      <c r="DF38" s="15">
        <f t="shared" ref="DF38:DF49" si="230">DE38*$D38</f>
        <v>0</v>
      </c>
      <c r="DG38" s="14"/>
      <c r="DH38" s="15">
        <f t="shared" ref="DH38:DH49" si="231">DG38*$D38</f>
        <v>0</v>
      </c>
      <c r="DI38" s="14"/>
      <c r="DJ38" s="15">
        <f t="shared" ref="DJ38:DJ49" si="232">DI38*$D38</f>
        <v>0</v>
      </c>
      <c r="DK38" s="16">
        <f t="shared" ref="DK38:DK49" si="233">SUM(CM38,CO38,CQ38,CS38,CU38,CW38,CY38,DA38,DC38,DE38,DG38,DI38)</f>
        <v>0</v>
      </c>
      <c r="DL38" s="17">
        <f t="shared" ref="DL38:DL49" si="234">SUM(CN38,CP38,CR38,CT38,CV38,CX38,CZ38,DB38,DD38,DF38,DH38,DJ38)</f>
        <v>0</v>
      </c>
      <c r="DP38" s="88">
        <f t="shared" si="65"/>
        <v>0</v>
      </c>
      <c r="DQ38" s="89">
        <f t="shared" si="66"/>
        <v>-100</v>
      </c>
      <c r="DR38" s="89">
        <f t="shared" si="67"/>
        <v>-100</v>
      </c>
      <c r="DW38" s="52">
        <f t="shared" si="179"/>
        <v>0</v>
      </c>
    </row>
    <row r="39" spans="1:127" hidden="1">
      <c r="A39" s="7">
        <v>110</v>
      </c>
      <c r="B39" s="8" t="s">
        <v>47</v>
      </c>
      <c r="C39" s="8" t="s">
        <v>14</v>
      </c>
      <c r="D39" s="7">
        <v>0.35</v>
      </c>
      <c r="E39" s="7" t="s">
        <v>18</v>
      </c>
      <c r="F39" s="7">
        <v>2300</v>
      </c>
      <c r="G39" s="9">
        <v>72</v>
      </c>
      <c r="H39" s="10">
        <f t="shared" si="180"/>
        <v>25.2</v>
      </c>
      <c r="I39" s="9">
        <v>6</v>
      </c>
      <c r="J39" s="10">
        <f t="shared" si="181"/>
        <v>2.0999999999999996</v>
      </c>
      <c r="K39" s="9"/>
      <c r="L39" s="10">
        <f t="shared" si="182"/>
        <v>0</v>
      </c>
      <c r="M39" s="9">
        <v>144</v>
      </c>
      <c r="N39" s="10">
        <f t="shared" si="183"/>
        <v>50.4</v>
      </c>
      <c r="O39" s="9">
        <v>34</v>
      </c>
      <c r="P39" s="10">
        <f t="shared" si="184"/>
        <v>11.899999999999999</v>
      </c>
      <c r="Q39" s="9">
        <v>6</v>
      </c>
      <c r="R39" s="10">
        <f t="shared" si="185"/>
        <v>2.0999999999999996</v>
      </c>
      <c r="S39" s="9">
        <v>24</v>
      </c>
      <c r="T39" s="10">
        <f t="shared" si="186"/>
        <v>8.3999999999999986</v>
      </c>
      <c r="U39" s="9">
        <v>48</v>
      </c>
      <c r="V39" s="10">
        <f t="shared" si="187"/>
        <v>16.799999999999997</v>
      </c>
      <c r="W39" s="9">
        <v>24</v>
      </c>
      <c r="X39" s="10">
        <f t="shared" si="188"/>
        <v>8.3999999999999986</v>
      </c>
      <c r="Y39" s="9"/>
      <c r="Z39" s="10">
        <f t="shared" si="189"/>
        <v>0</v>
      </c>
      <c r="AA39" s="9"/>
      <c r="AB39" s="10">
        <f t="shared" si="190"/>
        <v>0</v>
      </c>
      <c r="AC39" s="9"/>
      <c r="AD39" s="10">
        <f t="shared" si="191"/>
        <v>0</v>
      </c>
      <c r="AE39" s="11">
        <f t="shared" si="192"/>
        <v>29.833333333333332</v>
      </c>
      <c r="AF39" s="12">
        <f t="shared" si="193"/>
        <v>10.441666666666666</v>
      </c>
      <c r="AG39" s="9">
        <v>102</v>
      </c>
      <c r="AH39" s="10">
        <f t="shared" si="194"/>
        <v>35.699999999999996</v>
      </c>
      <c r="AI39" s="9">
        <v>6</v>
      </c>
      <c r="AJ39" s="10">
        <f t="shared" si="195"/>
        <v>2.0999999999999996</v>
      </c>
      <c r="AK39" s="9"/>
      <c r="AL39" s="10">
        <f t="shared" si="196"/>
        <v>0</v>
      </c>
      <c r="AM39" s="9">
        <v>1</v>
      </c>
      <c r="AN39" s="10">
        <f t="shared" si="197"/>
        <v>0.35</v>
      </c>
      <c r="AO39" s="9"/>
      <c r="AP39" s="10">
        <f t="shared" si="198"/>
        <v>0</v>
      </c>
      <c r="AQ39" s="9"/>
      <c r="AR39" s="10">
        <f t="shared" si="199"/>
        <v>0</v>
      </c>
      <c r="AS39" s="9"/>
      <c r="AT39" s="10">
        <f t="shared" si="200"/>
        <v>0</v>
      </c>
      <c r="AU39" s="9"/>
      <c r="AV39" s="10">
        <f t="shared" si="201"/>
        <v>0</v>
      </c>
      <c r="AW39" s="9"/>
      <c r="AX39" s="10">
        <f t="shared" si="202"/>
        <v>0</v>
      </c>
      <c r="AY39" s="9">
        <v>12</v>
      </c>
      <c r="AZ39" s="10">
        <f t="shared" si="203"/>
        <v>4.1999999999999993</v>
      </c>
      <c r="BA39" s="9">
        <v>12</v>
      </c>
      <c r="BB39" s="10">
        <f t="shared" si="204"/>
        <v>4.1999999999999993</v>
      </c>
      <c r="BC39" s="9">
        <v>48</v>
      </c>
      <c r="BD39" s="10">
        <f t="shared" si="205"/>
        <v>16.799999999999997</v>
      </c>
      <c r="BE39" s="11">
        <f t="shared" si="206"/>
        <v>15.083333333333334</v>
      </c>
      <c r="BF39" s="12">
        <f t="shared" si="207"/>
        <v>5.2791666666666668</v>
      </c>
      <c r="BG39" s="9">
        <v>48</v>
      </c>
      <c r="BH39" s="10">
        <f t="shared" si="208"/>
        <v>16.799999999999997</v>
      </c>
      <c r="BI39" s="9">
        <v>28</v>
      </c>
      <c r="BJ39" s="10">
        <f t="shared" si="209"/>
        <v>9.7999999999999989</v>
      </c>
      <c r="BK39" s="9">
        <v>112</v>
      </c>
      <c r="BL39" s="10">
        <f t="shared" si="210"/>
        <v>39.199999999999996</v>
      </c>
      <c r="BM39" s="9"/>
      <c r="BN39" s="10">
        <f t="shared" si="211"/>
        <v>0</v>
      </c>
      <c r="BO39" s="9"/>
      <c r="BP39" s="10">
        <f t="shared" si="212"/>
        <v>0</v>
      </c>
      <c r="BQ39" s="9"/>
      <c r="BR39" s="10">
        <f t="shared" si="213"/>
        <v>0</v>
      </c>
      <c r="BS39" s="9"/>
      <c r="BT39" s="10">
        <f t="shared" si="214"/>
        <v>0</v>
      </c>
      <c r="BU39" s="9">
        <v>48</v>
      </c>
      <c r="BV39" s="10">
        <f t="shared" si="215"/>
        <v>16.799999999999997</v>
      </c>
      <c r="BW39" s="9"/>
      <c r="BX39" s="10">
        <f t="shared" si="216"/>
        <v>0</v>
      </c>
      <c r="BY39" s="9"/>
      <c r="BZ39" s="10">
        <f t="shared" si="217"/>
        <v>0</v>
      </c>
      <c r="CA39" s="9">
        <v>1</v>
      </c>
      <c r="CB39" s="10">
        <f t="shared" si="218"/>
        <v>0.35</v>
      </c>
      <c r="CC39" s="9">
        <v>10</v>
      </c>
      <c r="CD39" s="10">
        <f t="shared" si="219"/>
        <v>3.5</v>
      </c>
      <c r="CE39" s="19">
        <f t="shared" si="177"/>
        <v>37.6</v>
      </c>
      <c r="CF39" s="10">
        <f t="shared" si="178"/>
        <v>13.159999999999997</v>
      </c>
      <c r="CG39" s="11">
        <f t="shared" si="220"/>
        <v>20.583333333333332</v>
      </c>
      <c r="CH39" s="12">
        <f t="shared" si="221"/>
        <v>7.2041666666666657</v>
      </c>
      <c r="CI39" s="13">
        <v>21</v>
      </c>
      <c r="CJ39" s="10">
        <f t="shared" si="222"/>
        <v>7.35</v>
      </c>
      <c r="CK39" s="15"/>
      <c r="CL39" s="15"/>
      <c r="CM39" s="14"/>
      <c r="CN39" s="10">
        <f t="shared" si="222"/>
        <v>0</v>
      </c>
      <c r="CO39" s="14"/>
      <c r="CP39" s="15">
        <f t="shared" si="223"/>
        <v>0</v>
      </c>
      <c r="CQ39" s="14"/>
      <c r="CR39" s="15">
        <f t="shared" si="224"/>
        <v>0</v>
      </c>
      <c r="CS39" s="14"/>
      <c r="CT39" s="15">
        <f t="shared" si="225"/>
        <v>0</v>
      </c>
      <c r="CU39" s="14"/>
      <c r="CV39" s="15">
        <f t="shared" si="225"/>
        <v>0</v>
      </c>
      <c r="CW39" s="14"/>
      <c r="CX39" s="15">
        <f t="shared" si="226"/>
        <v>0</v>
      </c>
      <c r="CY39" s="14"/>
      <c r="CZ39" s="15">
        <f t="shared" si="227"/>
        <v>0</v>
      </c>
      <c r="DA39" s="14"/>
      <c r="DB39" s="15">
        <f t="shared" si="228"/>
        <v>0</v>
      </c>
      <c r="DC39" s="14"/>
      <c r="DD39" s="15">
        <f t="shared" si="229"/>
        <v>0</v>
      </c>
      <c r="DE39" s="14"/>
      <c r="DF39" s="15">
        <f t="shared" si="230"/>
        <v>0</v>
      </c>
      <c r="DG39" s="14"/>
      <c r="DH39" s="15">
        <f t="shared" si="231"/>
        <v>0</v>
      </c>
      <c r="DI39" s="14"/>
      <c r="DJ39" s="15">
        <f t="shared" si="232"/>
        <v>0</v>
      </c>
      <c r="DK39" s="16">
        <f t="shared" si="233"/>
        <v>0</v>
      </c>
      <c r="DL39" s="17">
        <f t="shared" si="234"/>
        <v>0</v>
      </c>
      <c r="DP39" s="88">
        <f t="shared" si="65"/>
        <v>0</v>
      </c>
      <c r="DQ39" s="89">
        <f t="shared" si="66"/>
        <v>-100</v>
      </c>
      <c r="DR39" s="89">
        <f t="shared" si="67"/>
        <v>-100</v>
      </c>
      <c r="DW39" s="52">
        <f t="shared" si="179"/>
        <v>0</v>
      </c>
    </row>
    <row r="40" spans="1:127" hidden="1">
      <c r="A40" s="7">
        <v>111</v>
      </c>
      <c r="B40" s="8" t="s">
        <v>48</v>
      </c>
      <c r="C40" s="8" t="s">
        <v>14</v>
      </c>
      <c r="D40" s="7">
        <v>0.17499999999999999</v>
      </c>
      <c r="E40" s="7" t="s">
        <v>49</v>
      </c>
      <c r="F40" s="7">
        <v>1300</v>
      </c>
      <c r="G40" s="9"/>
      <c r="H40" s="10">
        <f t="shared" si="180"/>
        <v>0</v>
      </c>
      <c r="I40" s="9"/>
      <c r="J40" s="10">
        <f t="shared" si="181"/>
        <v>0</v>
      </c>
      <c r="K40" s="9"/>
      <c r="L40" s="10">
        <f t="shared" si="182"/>
        <v>0</v>
      </c>
      <c r="M40" s="9"/>
      <c r="N40" s="10">
        <f t="shared" si="183"/>
        <v>0</v>
      </c>
      <c r="O40" s="9"/>
      <c r="P40" s="10">
        <f t="shared" si="184"/>
        <v>0</v>
      </c>
      <c r="Q40" s="9"/>
      <c r="R40" s="10">
        <f t="shared" si="185"/>
        <v>0</v>
      </c>
      <c r="S40" s="9"/>
      <c r="T40" s="10">
        <f t="shared" si="186"/>
        <v>0</v>
      </c>
      <c r="U40" s="9"/>
      <c r="V40" s="10">
        <f t="shared" si="187"/>
        <v>0</v>
      </c>
      <c r="W40" s="9"/>
      <c r="X40" s="10">
        <f t="shared" si="188"/>
        <v>0</v>
      </c>
      <c r="Y40" s="9"/>
      <c r="Z40" s="10">
        <f t="shared" si="189"/>
        <v>0</v>
      </c>
      <c r="AA40" s="9"/>
      <c r="AB40" s="10">
        <f t="shared" si="190"/>
        <v>0</v>
      </c>
      <c r="AC40" s="9"/>
      <c r="AD40" s="10">
        <f t="shared" si="191"/>
        <v>0</v>
      </c>
      <c r="AE40" s="11">
        <f t="shared" si="192"/>
        <v>0</v>
      </c>
      <c r="AF40" s="12">
        <f t="shared" si="193"/>
        <v>0</v>
      </c>
      <c r="AG40" s="9"/>
      <c r="AH40" s="10">
        <f t="shared" si="194"/>
        <v>0</v>
      </c>
      <c r="AI40" s="9"/>
      <c r="AJ40" s="10">
        <f t="shared" si="195"/>
        <v>0</v>
      </c>
      <c r="AK40" s="9"/>
      <c r="AL40" s="10">
        <f t="shared" si="196"/>
        <v>0</v>
      </c>
      <c r="AM40" s="9"/>
      <c r="AN40" s="10">
        <f t="shared" si="197"/>
        <v>0</v>
      </c>
      <c r="AO40" s="9"/>
      <c r="AP40" s="10">
        <f t="shared" si="198"/>
        <v>0</v>
      </c>
      <c r="AQ40" s="9"/>
      <c r="AR40" s="10">
        <f t="shared" si="199"/>
        <v>0</v>
      </c>
      <c r="AS40" s="9"/>
      <c r="AT40" s="10">
        <f t="shared" si="200"/>
        <v>0</v>
      </c>
      <c r="AU40" s="9"/>
      <c r="AV40" s="10">
        <f t="shared" si="201"/>
        <v>0</v>
      </c>
      <c r="AW40" s="9"/>
      <c r="AX40" s="10">
        <f t="shared" si="202"/>
        <v>0</v>
      </c>
      <c r="AY40" s="9"/>
      <c r="AZ40" s="10">
        <f t="shared" si="203"/>
        <v>0</v>
      </c>
      <c r="BA40" s="9"/>
      <c r="BB40" s="10">
        <f t="shared" si="204"/>
        <v>0</v>
      </c>
      <c r="BC40" s="9"/>
      <c r="BD40" s="10">
        <f t="shared" si="205"/>
        <v>0</v>
      </c>
      <c r="BE40" s="11">
        <f t="shared" si="206"/>
        <v>0</v>
      </c>
      <c r="BF40" s="12">
        <f t="shared" si="207"/>
        <v>0</v>
      </c>
      <c r="BG40" s="9"/>
      <c r="BH40" s="10">
        <f t="shared" si="208"/>
        <v>0</v>
      </c>
      <c r="BI40" s="9">
        <v>55</v>
      </c>
      <c r="BJ40" s="10">
        <f t="shared" si="209"/>
        <v>9.625</v>
      </c>
      <c r="BK40" s="9">
        <v>270</v>
      </c>
      <c r="BL40" s="10">
        <f t="shared" si="210"/>
        <v>47.25</v>
      </c>
      <c r="BM40" s="9"/>
      <c r="BN40" s="10">
        <f t="shared" si="211"/>
        <v>0</v>
      </c>
      <c r="BO40" s="9"/>
      <c r="BP40" s="10">
        <f t="shared" si="212"/>
        <v>0</v>
      </c>
      <c r="BQ40" s="9"/>
      <c r="BR40" s="10">
        <f t="shared" si="213"/>
        <v>0</v>
      </c>
      <c r="BS40" s="9"/>
      <c r="BT40" s="10">
        <f t="shared" si="214"/>
        <v>0</v>
      </c>
      <c r="BU40" s="9"/>
      <c r="BV40" s="10">
        <f t="shared" si="215"/>
        <v>0</v>
      </c>
      <c r="BW40" s="9"/>
      <c r="BX40" s="10">
        <f t="shared" si="216"/>
        <v>0</v>
      </c>
      <c r="BY40" s="9"/>
      <c r="BZ40" s="10">
        <f t="shared" si="217"/>
        <v>0</v>
      </c>
      <c r="CA40" s="9"/>
      <c r="CB40" s="10">
        <f t="shared" si="218"/>
        <v>0</v>
      </c>
      <c r="CC40" s="9"/>
      <c r="CD40" s="10">
        <f t="shared" si="219"/>
        <v>0</v>
      </c>
      <c r="CE40" s="19">
        <f t="shared" si="177"/>
        <v>65</v>
      </c>
      <c r="CF40" s="10">
        <f t="shared" si="178"/>
        <v>11.375</v>
      </c>
      <c r="CG40" s="11">
        <f t="shared" si="220"/>
        <v>27.083333333333332</v>
      </c>
      <c r="CH40" s="12">
        <f t="shared" si="221"/>
        <v>4.739583333333333</v>
      </c>
      <c r="CI40" s="13">
        <v>27</v>
      </c>
      <c r="CJ40" s="10">
        <f t="shared" si="222"/>
        <v>4.7249999999999996</v>
      </c>
      <c r="CK40" s="15"/>
      <c r="CL40" s="15"/>
      <c r="CM40" s="14"/>
      <c r="CN40" s="10">
        <f t="shared" si="222"/>
        <v>0</v>
      </c>
      <c r="CO40" s="14"/>
      <c r="CP40" s="15">
        <f t="shared" si="223"/>
        <v>0</v>
      </c>
      <c r="CQ40" s="14"/>
      <c r="CR40" s="15">
        <f t="shared" si="224"/>
        <v>0</v>
      </c>
      <c r="CS40" s="14"/>
      <c r="CT40" s="15">
        <f t="shared" si="225"/>
        <v>0</v>
      </c>
      <c r="CU40" s="14"/>
      <c r="CV40" s="15">
        <f t="shared" si="225"/>
        <v>0</v>
      </c>
      <c r="CW40" s="14"/>
      <c r="CX40" s="15">
        <f t="shared" si="226"/>
        <v>0</v>
      </c>
      <c r="CY40" s="14"/>
      <c r="CZ40" s="15">
        <f t="shared" si="227"/>
        <v>0</v>
      </c>
      <c r="DA40" s="14"/>
      <c r="DB40" s="15">
        <f t="shared" si="228"/>
        <v>0</v>
      </c>
      <c r="DC40" s="14"/>
      <c r="DD40" s="15">
        <f t="shared" si="229"/>
        <v>0</v>
      </c>
      <c r="DE40" s="14"/>
      <c r="DF40" s="15">
        <f t="shared" si="230"/>
        <v>0</v>
      </c>
      <c r="DG40" s="14"/>
      <c r="DH40" s="15">
        <f t="shared" si="231"/>
        <v>0</v>
      </c>
      <c r="DI40" s="14"/>
      <c r="DJ40" s="15">
        <f t="shared" si="232"/>
        <v>0</v>
      </c>
      <c r="DK40" s="16">
        <f t="shared" si="233"/>
        <v>0</v>
      </c>
      <c r="DL40" s="17">
        <f t="shared" si="234"/>
        <v>0</v>
      </c>
      <c r="DP40" s="88">
        <f t="shared" si="65"/>
        <v>0</v>
      </c>
      <c r="DQ40" s="89">
        <f t="shared" si="66"/>
        <v>-100</v>
      </c>
      <c r="DR40" s="89">
        <f t="shared" si="67"/>
        <v>-100</v>
      </c>
      <c r="DW40" s="52">
        <f t="shared" si="179"/>
        <v>0</v>
      </c>
    </row>
    <row r="41" spans="1:127" hidden="1">
      <c r="A41" s="7">
        <v>112</v>
      </c>
      <c r="B41" s="8" t="s">
        <v>50</v>
      </c>
      <c r="C41" s="8" t="s">
        <v>14</v>
      </c>
      <c r="D41" s="7">
        <v>0.7</v>
      </c>
      <c r="E41" s="7" t="s">
        <v>15</v>
      </c>
      <c r="F41" s="7">
        <v>5200</v>
      </c>
      <c r="G41" s="9">
        <v>8306</v>
      </c>
      <c r="H41" s="10">
        <f t="shared" si="180"/>
        <v>5814.2</v>
      </c>
      <c r="I41" s="9">
        <v>1847</v>
      </c>
      <c r="J41" s="10">
        <f t="shared" si="181"/>
        <v>1292.8999999999999</v>
      </c>
      <c r="K41" s="9">
        <v>2348</v>
      </c>
      <c r="L41" s="10">
        <f t="shared" si="182"/>
        <v>1643.6</v>
      </c>
      <c r="M41" s="9">
        <v>5341</v>
      </c>
      <c r="N41" s="10">
        <f t="shared" si="183"/>
        <v>3738.7</v>
      </c>
      <c r="O41" s="9">
        <v>1829</v>
      </c>
      <c r="P41" s="10">
        <f t="shared" si="184"/>
        <v>1280.3</v>
      </c>
      <c r="Q41" s="9">
        <v>1932</v>
      </c>
      <c r="R41" s="10">
        <f t="shared" si="185"/>
        <v>1352.3999999999999</v>
      </c>
      <c r="S41" s="9">
        <v>2389</v>
      </c>
      <c r="T41" s="10">
        <f t="shared" si="186"/>
        <v>1672.3</v>
      </c>
      <c r="U41" s="9">
        <v>1652</v>
      </c>
      <c r="V41" s="10">
        <f t="shared" si="187"/>
        <v>1156.3999999999999</v>
      </c>
      <c r="W41" s="9">
        <v>906</v>
      </c>
      <c r="X41" s="10">
        <f t="shared" si="188"/>
        <v>634.19999999999993</v>
      </c>
      <c r="Y41" s="9">
        <v>977</v>
      </c>
      <c r="Z41" s="10">
        <f t="shared" si="189"/>
        <v>683.9</v>
      </c>
      <c r="AA41" s="9">
        <v>1059</v>
      </c>
      <c r="AB41" s="10">
        <f t="shared" si="190"/>
        <v>741.3</v>
      </c>
      <c r="AC41" s="9">
        <v>1318</v>
      </c>
      <c r="AD41" s="10">
        <f t="shared" si="191"/>
        <v>922.59999999999991</v>
      </c>
      <c r="AE41" s="11">
        <f t="shared" si="192"/>
        <v>2492</v>
      </c>
      <c r="AF41" s="12">
        <f t="shared" si="193"/>
        <v>1744.3999999999999</v>
      </c>
      <c r="AG41" s="9">
        <v>1243</v>
      </c>
      <c r="AH41" s="10">
        <f t="shared" si="194"/>
        <v>870.09999999999991</v>
      </c>
      <c r="AI41" s="9">
        <v>972</v>
      </c>
      <c r="AJ41" s="10">
        <f t="shared" si="195"/>
        <v>680.4</v>
      </c>
      <c r="AK41" s="9">
        <v>910</v>
      </c>
      <c r="AL41" s="10">
        <f t="shared" si="196"/>
        <v>637</v>
      </c>
      <c r="AM41" s="9">
        <v>759</v>
      </c>
      <c r="AN41" s="10">
        <f t="shared" si="197"/>
        <v>531.29999999999995</v>
      </c>
      <c r="AO41" s="9">
        <v>837</v>
      </c>
      <c r="AP41" s="10">
        <f t="shared" si="198"/>
        <v>585.9</v>
      </c>
      <c r="AQ41" s="9">
        <v>559</v>
      </c>
      <c r="AR41" s="10">
        <f t="shared" si="199"/>
        <v>391.29999999999995</v>
      </c>
      <c r="AS41" s="9">
        <v>616</v>
      </c>
      <c r="AT41" s="10">
        <f t="shared" si="200"/>
        <v>431.2</v>
      </c>
      <c r="AU41" s="9">
        <v>671</v>
      </c>
      <c r="AV41" s="10">
        <f t="shared" si="201"/>
        <v>469.7</v>
      </c>
      <c r="AW41" s="9">
        <v>625</v>
      </c>
      <c r="AX41" s="10">
        <f t="shared" si="202"/>
        <v>437.5</v>
      </c>
      <c r="AY41" s="9">
        <v>439</v>
      </c>
      <c r="AZ41" s="10">
        <f t="shared" si="203"/>
        <v>307.29999999999995</v>
      </c>
      <c r="BA41" s="9">
        <v>471</v>
      </c>
      <c r="BB41" s="10">
        <f t="shared" si="204"/>
        <v>329.7</v>
      </c>
      <c r="BC41" s="9">
        <v>1158</v>
      </c>
      <c r="BD41" s="10">
        <f t="shared" si="205"/>
        <v>810.59999999999991</v>
      </c>
      <c r="BE41" s="11">
        <f t="shared" si="206"/>
        <v>771.66666666666663</v>
      </c>
      <c r="BF41" s="12">
        <f t="shared" si="207"/>
        <v>540.16666666666663</v>
      </c>
      <c r="BG41" s="9">
        <v>588</v>
      </c>
      <c r="BH41" s="10">
        <f t="shared" si="208"/>
        <v>411.59999999999997</v>
      </c>
      <c r="BI41" s="9">
        <v>956</v>
      </c>
      <c r="BJ41" s="10">
        <f t="shared" si="209"/>
        <v>669.19999999999993</v>
      </c>
      <c r="BK41" s="9">
        <v>967</v>
      </c>
      <c r="BL41" s="10">
        <f t="shared" si="210"/>
        <v>676.9</v>
      </c>
      <c r="BM41" s="9">
        <v>516</v>
      </c>
      <c r="BN41" s="10">
        <f t="shared" si="211"/>
        <v>361.2</v>
      </c>
      <c r="BO41" s="9">
        <v>220</v>
      </c>
      <c r="BP41" s="10">
        <f t="shared" si="212"/>
        <v>154</v>
      </c>
      <c r="BQ41" s="9">
        <v>623</v>
      </c>
      <c r="BR41" s="10">
        <f t="shared" si="213"/>
        <v>436.09999999999997</v>
      </c>
      <c r="BS41" s="9">
        <v>657</v>
      </c>
      <c r="BT41" s="10">
        <f t="shared" si="214"/>
        <v>459.9</v>
      </c>
      <c r="BU41" s="9">
        <v>291</v>
      </c>
      <c r="BV41" s="10">
        <f t="shared" si="215"/>
        <v>203.7</v>
      </c>
      <c r="BW41" s="9">
        <v>228</v>
      </c>
      <c r="BX41" s="10">
        <f t="shared" si="216"/>
        <v>159.6</v>
      </c>
      <c r="BY41" s="9">
        <v>450</v>
      </c>
      <c r="BZ41" s="10">
        <f t="shared" si="217"/>
        <v>315</v>
      </c>
      <c r="CA41" s="9">
        <v>234</v>
      </c>
      <c r="CB41" s="10">
        <f t="shared" si="218"/>
        <v>163.79999999999998</v>
      </c>
      <c r="CC41" s="9">
        <v>90</v>
      </c>
      <c r="CD41" s="10">
        <f t="shared" si="219"/>
        <v>62.999999999999993</v>
      </c>
      <c r="CE41" s="19">
        <f t="shared" si="177"/>
        <v>649.4</v>
      </c>
      <c r="CF41" s="10">
        <f t="shared" si="178"/>
        <v>454.57999999999993</v>
      </c>
      <c r="CG41" s="11">
        <f t="shared" si="220"/>
        <v>485</v>
      </c>
      <c r="CH41" s="12">
        <f t="shared" si="221"/>
        <v>339.5</v>
      </c>
      <c r="CI41" s="13">
        <v>485</v>
      </c>
      <c r="CJ41" s="10">
        <f t="shared" si="222"/>
        <v>339.5</v>
      </c>
      <c r="CK41" s="15"/>
      <c r="CL41" s="15"/>
      <c r="CM41" s="14">
        <v>61</v>
      </c>
      <c r="CN41" s="10">
        <f t="shared" si="222"/>
        <v>42.699999999999996</v>
      </c>
      <c r="CO41" s="14">
        <v>78</v>
      </c>
      <c r="CP41" s="15">
        <f t="shared" si="223"/>
        <v>54.599999999999994</v>
      </c>
      <c r="CQ41" s="14">
        <v>12</v>
      </c>
      <c r="CR41" s="15">
        <f t="shared" si="224"/>
        <v>8.3999999999999986</v>
      </c>
      <c r="CS41" s="14">
        <v>54</v>
      </c>
      <c r="CT41" s="15">
        <f t="shared" si="225"/>
        <v>37.799999999999997</v>
      </c>
      <c r="CU41" s="14">
        <v>42</v>
      </c>
      <c r="CV41" s="15">
        <f t="shared" si="225"/>
        <v>29.4</v>
      </c>
      <c r="CW41" s="14"/>
      <c r="CX41" s="15">
        <f t="shared" si="226"/>
        <v>0</v>
      </c>
      <c r="CY41" s="14"/>
      <c r="CZ41" s="15">
        <f t="shared" si="227"/>
        <v>0</v>
      </c>
      <c r="DA41" s="14"/>
      <c r="DB41" s="15">
        <f t="shared" si="228"/>
        <v>0</v>
      </c>
      <c r="DC41" s="14"/>
      <c r="DD41" s="15">
        <f t="shared" si="229"/>
        <v>0</v>
      </c>
      <c r="DE41" s="14"/>
      <c r="DF41" s="15">
        <f t="shared" si="230"/>
        <v>0</v>
      </c>
      <c r="DG41" s="14"/>
      <c r="DH41" s="15">
        <f t="shared" si="231"/>
        <v>0</v>
      </c>
      <c r="DI41" s="14"/>
      <c r="DJ41" s="15">
        <f t="shared" si="232"/>
        <v>0</v>
      </c>
      <c r="DK41" s="16">
        <f t="shared" si="233"/>
        <v>247</v>
      </c>
      <c r="DL41" s="17">
        <f t="shared" si="234"/>
        <v>172.9</v>
      </c>
      <c r="DP41" s="88">
        <f t="shared" si="65"/>
        <v>0</v>
      </c>
      <c r="DQ41" s="89">
        <f t="shared" si="66"/>
        <v>-100</v>
      </c>
      <c r="DR41" s="89">
        <f t="shared" si="67"/>
        <v>-100</v>
      </c>
      <c r="DW41" s="52">
        <f t="shared" si="179"/>
        <v>0</v>
      </c>
    </row>
    <row r="42" spans="1:127" hidden="1">
      <c r="A42" s="7">
        <v>113</v>
      </c>
      <c r="B42" s="8" t="s">
        <v>51</v>
      </c>
      <c r="C42" s="8" t="s">
        <v>14</v>
      </c>
      <c r="D42" s="7">
        <v>0.35</v>
      </c>
      <c r="E42" s="7" t="s">
        <v>18</v>
      </c>
      <c r="F42" s="7">
        <v>2600</v>
      </c>
      <c r="G42" s="9">
        <v>8074</v>
      </c>
      <c r="H42" s="10">
        <f t="shared" si="180"/>
        <v>2825.8999999999996</v>
      </c>
      <c r="I42" s="9">
        <v>3737</v>
      </c>
      <c r="J42" s="10">
        <f t="shared" si="181"/>
        <v>1307.9499999999998</v>
      </c>
      <c r="K42" s="9">
        <v>3229</v>
      </c>
      <c r="L42" s="10">
        <f t="shared" si="182"/>
        <v>1130.1499999999999</v>
      </c>
      <c r="M42" s="9">
        <v>15733</v>
      </c>
      <c r="N42" s="10">
        <f t="shared" si="183"/>
        <v>5506.5499999999993</v>
      </c>
      <c r="O42" s="9">
        <v>2024</v>
      </c>
      <c r="P42" s="10">
        <f t="shared" si="184"/>
        <v>708.4</v>
      </c>
      <c r="Q42" s="9">
        <v>2233</v>
      </c>
      <c r="R42" s="10">
        <f t="shared" si="185"/>
        <v>781.55</v>
      </c>
      <c r="S42" s="9">
        <v>3481</v>
      </c>
      <c r="T42" s="10">
        <f t="shared" si="186"/>
        <v>1218.3499999999999</v>
      </c>
      <c r="U42" s="9">
        <v>1781</v>
      </c>
      <c r="V42" s="10">
        <f t="shared" si="187"/>
        <v>623.34999999999991</v>
      </c>
      <c r="W42" s="9">
        <v>1002</v>
      </c>
      <c r="X42" s="10">
        <f t="shared" si="188"/>
        <v>350.7</v>
      </c>
      <c r="Y42" s="9">
        <v>1282</v>
      </c>
      <c r="Z42" s="10">
        <f t="shared" si="189"/>
        <v>448.7</v>
      </c>
      <c r="AA42" s="9">
        <v>1233</v>
      </c>
      <c r="AB42" s="10">
        <f t="shared" si="190"/>
        <v>431.54999999999995</v>
      </c>
      <c r="AC42" s="9">
        <v>2318</v>
      </c>
      <c r="AD42" s="10">
        <f t="shared" si="191"/>
        <v>811.3</v>
      </c>
      <c r="AE42" s="11">
        <f t="shared" si="192"/>
        <v>3843.9166666666665</v>
      </c>
      <c r="AF42" s="12">
        <f t="shared" si="193"/>
        <v>1345.3708333333332</v>
      </c>
      <c r="AG42" s="9">
        <v>2052</v>
      </c>
      <c r="AH42" s="10">
        <f t="shared" si="194"/>
        <v>718.19999999999993</v>
      </c>
      <c r="AI42" s="9">
        <v>1638</v>
      </c>
      <c r="AJ42" s="10">
        <f t="shared" si="195"/>
        <v>573.29999999999995</v>
      </c>
      <c r="AK42" s="9">
        <v>925</v>
      </c>
      <c r="AL42" s="10">
        <f t="shared" si="196"/>
        <v>323.75</v>
      </c>
      <c r="AM42" s="9">
        <v>1689</v>
      </c>
      <c r="AN42" s="10">
        <f t="shared" si="197"/>
        <v>591.15</v>
      </c>
      <c r="AO42" s="9">
        <v>873</v>
      </c>
      <c r="AP42" s="10">
        <f t="shared" si="198"/>
        <v>305.54999999999995</v>
      </c>
      <c r="AQ42" s="9">
        <v>858</v>
      </c>
      <c r="AR42" s="10">
        <f t="shared" si="199"/>
        <v>300.29999999999995</v>
      </c>
      <c r="AS42" s="9">
        <v>644</v>
      </c>
      <c r="AT42" s="10">
        <f t="shared" si="200"/>
        <v>225.39999999999998</v>
      </c>
      <c r="AU42" s="9">
        <v>1074</v>
      </c>
      <c r="AV42" s="10">
        <f t="shared" si="201"/>
        <v>375.9</v>
      </c>
      <c r="AW42" s="9">
        <v>944</v>
      </c>
      <c r="AX42" s="10">
        <f t="shared" si="202"/>
        <v>330.4</v>
      </c>
      <c r="AY42" s="9">
        <v>821</v>
      </c>
      <c r="AZ42" s="10">
        <f t="shared" si="203"/>
        <v>287.34999999999997</v>
      </c>
      <c r="BA42" s="9">
        <v>688</v>
      </c>
      <c r="BB42" s="10">
        <f t="shared" si="204"/>
        <v>240.79999999999998</v>
      </c>
      <c r="BC42" s="9">
        <v>1560</v>
      </c>
      <c r="BD42" s="10">
        <f t="shared" si="205"/>
        <v>546</v>
      </c>
      <c r="BE42" s="11">
        <f t="shared" si="206"/>
        <v>1147.1666666666667</v>
      </c>
      <c r="BF42" s="12">
        <f t="shared" si="207"/>
        <v>401.50833333333333</v>
      </c>
      <c r="BG42" s="9">
        <v>792</v>
      </c>
      <c r="BH42" s="10">
        <f t="shared" si="208"/>
        <v>277.2</v>
      </c>
      <c r="BI42" s="9">
        <v>647</v>
      </c>
      <c r="BJ42" s="10">
        <f t="shared" si="209"/>
        <v>226.45</v>
      </c>
      <c r="BK42" s="9">
        <v>1040</v>
      </c>
      <c r="BL42" s="10">
        <f t="shared" si="210"/>
        <v>364</v>
      </c>
      <c r="BM42" s="9">
        <v>691</v>
      </c>
      <c r="BN42" s="10">
        <f t="shared" si="211"/>
        <v>241.85</v>
      </c>
      <c r="BO42" s="9">
        <v>386</v>
      </c>
      <c r="BP42" s="10">
        <f t="shared" si="212"/>
        <v>135.1</v>
      </c>
      <c r="BQ42" s="9">
        <v>428</v>
      </c>
      <c r="BR42" s="10">
        <f t="shared" si="213"/>
        <v>149.79999999999998</v>
      </c>
      <c r="BS42" s="9">
        <v>749</v>
      </c>
      <c r="BT42" s="10">
        <f t="shared" si="214"/>
        <v>262.14999999999998</v>
      </c>
      <c r="BU42" s="9">
        <v>888</v>
      </c>
      <c r="BV42" s="10">
        <f t="shared" si="215"/>
        <v>310.79999999999995</v>
      </c>
      <c r="BW42" s="9">
        <v>684</v>
      </c>
      <c r="BX42" s="10">
        <f t="shared" si="216"/>
        <v>239.39999999999998</v>
      </c>
      <c r="BY42" s="9">
        <v>1092</v>
      </c>
      <c r="BZ42" s="10">
        <f t="shared" si="217"/>
        <v>382.2</v>
      </c>
      <c r="CA42" s="9">
        <v>936</v>
      </c>
      <c r="CB42" s="10">
        <f t="shared" si="218"/>
        <v>327.59999999999997</v>
      </c>
      <c r="CC42" s="9">
        <v>288</v>
      </c>
      <c r="CD42" s="10">
        <f t="shared" si="219"/>
        <v>100.8</v>
      </c>
      <c r="CE42" s="19">
        <f t="shared" si="177"/>
        <v>711.2</v>
      </c>
      <c r="CF42" s="10">
        <f t="shared" si="178"/>
        <v>248.92</v>
      </c>
      <c r="CG42" s="11">
        <f t="shared" si="220"/>
        <v>718.41666666666663</v>
      </c>
      <c r="CH42" s="12">
        <f t="shared" si="221"/>
        <v>251.4458333333333</v>
      </c>
      <c r="CI42" s="13">
        <v>718</v>
      </c>
      <c r="CJ42" s="10">
        <f t="shared" si="222"/>
        <v>251.29999999999998</v>
      </c>
      <c r="CK42" s="15"/>
      <c r="CL42" s="15"/>
      <c r="CM42" s="14">
        <v>96</v>
      </c>
      <c r="CN42" s="10">
        <f t="shared" si="222"/>
        <v>33.599999999999994</v>
      </c>
      <c r="CO42" s="14">
        <v>432</v>
      </c>
      <c r="CP42" s="15">
        <f t="shared" si="223"/>
        <v>151.19999999999999</v>
      </c>
      <c r="CQ42" s="14">
        <v>168</v>
      </c>
      <c r="CR42" s="15">
        <f t="shared" si="224"/>
        <v>58.8</v>
      </c>
      <c r="CS42" s="14">
        <v>244</v>
      </c>
      <c r="CT42" s="15">
        <f t="shared" si="225"/>
        <v>85.399999999999991</v>
      </c>
      <c r="CU42" s="14">
        <v>246</v>
      </c>
      <c r="CV42" s="15">
        <f t="shared" si="225"/>
        <v>86.1</v>
      </c>
      <c r="CW42" s="14"/>
      <c r="CX42" s="15">
        <f t="shared" si="226"/>
        <v>0</v>
      </c>
      <c r="CY42" s="14"/>
      <c r="CZ42" s="15">
        <f t="shared" si="227"/>
        <v>0</v>
      </c>
      <c r="DA42" s="14"/>
      <c r="DB42" s="15">
        <f t="shared" si="228"/>
        <v>0</v>
      </c>
      <c r="DC42" s="14"/>
      <c r="DD42" s="15">
        <f t="shared" si="229"/>
        <v>0</v>
      </c>
      <c r="DE42" s="14"/>
      <c r="DF42" s="15">
        <f t="shared" si="230"/>
        <v>0</v>
      </c>
      <c r="DG42" s="14"/>
      <c r="DH42" s="15">
        <f t="shared" si="231"/>
        <v>0</v>
      </c>
      <c r="DI42" s="14"/>
      <c r="DJ42" s="15">
        <f t="shared" si="232"/>
        <v>0</v>
      </c>
      <c r="DK42" s="16">
        <f t="shared" si="233"/>
        <v>1186</v>
      </c>
      <c r="DL42" s="17">
        <f t="shared" si="234"/>
        <v>415.09999999999991</v>
      </c>
      <c r="DP42" s="88">
        <f t="shared" si="65"/>
        <v>0</v>
      </c>
      <c r="DQ42" s="89">
        <f t="shared" si="66"/>
        <v>-100</v>
      </c>
      <c r="DR42" s="89">
        <f t="shared" si="67"/>
        <v>-100</v>
      </c>
      <c r="DW42" s="52">
        <f t="shared" si="179"/>
        <v>0</v>
      </c>
    </row>
    <row r="43" spans="1:127" hidden="1">
      <c r="A43" s="7">
        <v>114</v>
      </c>
      <c r="B43" s="8" t="s">
        <v>52</v>
      </c>
      <c r="C43" s="8" t="s">
        <v>14</v>
      </c>
      <c r="D43" s="7">
        <v>0.17499999999999999</v>
      </c>
      <c r="E43" s="7" t="s">
        <v>49</v>
      </c>
      <c r="F43" s="7">
        <v>1450</v>
      </c>
      <c r="G43" s="9">
        <v>2394</v>
      </c>
      <c r="H43" s="10">
        <f t="shared" si="180"/>
        <v>418.95</v>
      </c>
      <c r="I43" s="9">
        <v>970</v>
      </c>
      <c r="J43" s="10">
        <f t="shared" si="181"/>
        <v>169.75</v>
      </c>
      <c r="K43" s="9">
        <v>814</v>
      </c>
      <c r="L43" s="10">
        <f t="shared" si="182"/>
        <v>142.44999999999999</v>
      </c>
      <c r="M43" s="9">
        <v>10591</v>
      </c>
      <c r="N43" s="10">
        <f t="shared" si="183"/>
        <v>1853.425</v>
      </c>
      <c r="O43" s="9">
        <v>948</v>
      </c>
      <c r="P43" s="10">
        <f t="shared" si="184"/>
        <v>165.89999999999998</v>
      </c>
      <c r="Q43" s="9">
        <v>1330</v>
      </c>
      <c r="R43" s="10">
        <f t="shared" si="185"/>
        <v>232.74999999999997</v>
      </c>
      <c r="S43" s="9">
        <v>703</v>
      </c>
      <c r="T43" s="10">
        <f t="shared" si="186"/>
        <v>123.02499999999999</v>
      </c>
      <c r="U43" s="9">
        <v>542</v>
      </c>
      <c r="V43" s="10">
        <f t="shared" si="187"/>
        <v>94.85</v>
      </c>
      <c r="W43" s="9">
        <v>357</v>
      </c>
      <c r="X43" s="10">
        <f t="shared" si="188"/>
        <v>62.474999999999994</v>
      </c>
      <c r="Y43" s="9">
        <v>429</v>
      </c>
      <c r="Z43" s="10">
        <f t="shared" si="189"/>
        <v>75.074999999999989</v>
      </c>
      <c r="AA43" s="9">
        <v>370</v>
      </c>
      <c r="AB43" s="10">
        <f t="shared" si="190"/>
        <v>64.75</v>
      </c>
      <c r="AC43" s="9">
        <v>335</v>
      </c>
      <c r="AD43" s="10">
        <f t="shared" si="191"/>
        <v>58.624999999999993</v>
      </c>
      <c r="AE43" s="11">
        <f t="shared" si="192"/>
        <v>1648.5833333333333</v>
      </c>
      <c r="AF43" s="12">
        <f t="shared" si="193"/>
        <v>288.5020833333333</v>
      </c>
      <c r="AG43" s="9">
        <v>838</v>
      </c>
      <c r="AH43" s="10">
        <f t="shared" si="194"/>
        <v>146.64999999999998</v>
      </c>
      <c r="AI43" s="9">
        <v>532</v>
      </c>
      <c r="AJ43" s="10">
        <f t="shared" si="195"/>
        <v>93.1</v>
      </c>
      <c r="AK43" s="9">
        <v>158</v>
      </c>
      <c r="AL43" s="10">
        <f t="shared" si="196"/>
        <v>27.65</v>
      </c>
      <c r="AM43" s="9">
        <v>492</v>
      </c>
      <c r="AN43" s="10">
        <f t="shared" si="197"/>
        <v>86.1</v>
      </c>
      <c r="AO43" s="9">
        <v>227</v>
      </c>
      <c r="AP43" s="10">
        <f t="shared" si="198"/>
        <v>39.724999999999994</v>
      </c>
      <c r="AQ43" s="9">
        <v>272</v>
      </c>
      <c r="AR43" s="10">
        <f t="shared" si="199"/>
        <v>47.599999999999994</v>
      </c>
      <c r="AS43" s="9">
        <v>245</v>
      </c>
      <c r="AT43" s="10">
        <f t="shared" si="200"/>
        <v>42.875</v>
      </c>
      <c r="AU43" s="9">
        <v>197</v>
      </c>
      <c r="AV43" s="10">
        <f t="shared" si="201"/>
        <v>34.474999999999994</v>
      </c>
      <c r="AW43" s="9">
        <v>392</v>
      </c>
      <c r="AX43" s="10">
        <f t="shared" si="202"/>
        <v>68.599999999999994</v>
      </c>
      <c r="AY43" s="9">
        <v>940</v>
      </c>
      <c r="AZ43" s="10">
        <f t="shared" si="203"/>
        <v>164.5</v>
      </c>
      <c r="BA43" s="9">
        <v>160</v>
      </c>
      <c r="BB43" s="10">
        <f t="shared" si="204"/>
        <v>28</v>
      </c>
      <c r="BC43" s="9">
        <v>2595</v>
      </c>
      <c r="BD43" s="10">
        <f t="shared" si="205"/>
        <v>454.12499999999994</v>
      </c>
      <c r="BE43" s="11">
        <f t="shared" si="206"/>
        <v>587.33333333333337</v>
      </c>
      <c r="BF43" s="12">
        <f t="shared" si="207"/>
        <v>102.78333333333333</v>
      </c>
      <c r="BG43" s="9">
        <v>48</v>
      </c>
      <c r="BH43" s="10">
        <f t="shared" si="208"/>
        <v>8.3999999999999986</v>
      </c>
      <c r="BI43" s="9">
        <v>268</v>
      </c>
      <c r="BJ43" s="10">
        <f t="shared" si="209"/>
        <v>46.9</v>
      </c>
      <c r="BK43" s="9">
        <v>520</v>
      </c>
      <c r="BL43" s="10">
        <f t="shared" si="210"/>
        <v>91</v>
      </c>
      <c r="BM43" s="9">
        <v>526</v>
      </c>
      <c r="BN43" s="10">
        <f t="shared" si="211"/>
        <v>92.05</v>
      </c>
      <c r="BO43" s="9">
        <v>234</v>
      </c>
      <c r="BP43" s="10">
        <f t="shared" si="212"/>
        <v>40.949999999999996</v>
      </c>
      <c r="BQ43" s="9">
        <v>437</v>
      </c>
      <c r="BR43" s="10">
        <f t="shared" si="213"/>
        <v>76.474999999999994</v>
      </c>
      <c r="BS43" s="9">
        <v>118</v>
      </c>
      <c r="BT43" s="10">
        <f t="shared" si="214"/>
        <v>20.65</v>
      </c>
      <c r="BU43" s="9">
        <v>612</v>
      </c>
      <c r="BV43" s="10">
        <f t="shared" si="215"/>
        <v>107.1</v>
      </c>
      <c r="BW43" s="9">
        <v>294</v>
      </c>
      <c r="BX43" s="10">
        <f t="shared" si="216"/>
        <v>51.449999999999996</v>
      </c>
      <c r="BY43" s="9">
        <v>237</v>
      </c>
      <c r="BZ43" s="10">
        <f t="shared" si="217"/>
        <v>41.474999999999994</v>
      </c>
      <c r="CA43" s="9">
        <v>258</v>
      </c>
      <c r="CB43" s="10">
        <f t="shared" si="218"/>
        <v>45.15</v>
      </c>
      <c r="CC43" s="9">
        <v>12</v>
      </c>
      <c r="CD43" s="10">
        <f t="shared" si="219"/>
        <v>2.0999999999999996</v>
      </c>
      <c r="CE43" s="19">
        <f t="shared" si="177"/>
        <v>319.2</v>
      </c>
      <c r="CF43" s="10">
        <f t="shared" si="178"/>
        <v>55.86</v>
      </c>
      <c r="CG43" s="11">
        <f t="shared" si="220"/>
        <v>297</v>
      </c>
      <c r="CH43" s="12">
        <f t="shared" si="221"/>
        <v>51.974999999999994</v>
      </c>
      <c r="CI43" s="13">
        <v>297</v>
      </c>
      <c r="CJ43" s="10">
        <f t="shared" si="222"/>
        <v>51.974999999999994</v>
      </c>
      <c r="CK43" s="15"/>
      <c r="CL43" s="15"/>
      <c r="CM43" s="14">
        <v>240</v>
      </c>
      <c r="CN43" s="10">
        <f t="shared" si="222"/>
        <v>42</v>
      </c>
      <c r="CO43" s="14">
        <v>30</v>
      </c>
      <c r="CP43" s="15">
        <f t="shared" si="223"/>
        <v>5.25</v>
      </c>
      <c r="CQ43" s="14"/>
      <c r="CR43" s="15">
        <f t="shared" si="224"/>
        <v>0</v>
      </c>
      <c r="CS43" s="14">
        <v>22</v>
      </c>
      <c r="CT43" s="15">
        <f t="shared" si="225"/>
        <v>3.8499999999999996</v>
      </c>
      <c r="CU43" s="14">
        <v>211</v>
      </c>
      <c r="CV43" s="15">
        <f t="shared" si="225"/>
        <v>36.924999999999997</v>
      </c>
      <c r="CW43" s="14"/>
      <c r="CX43" s="15">
        <f t="shared" si="226"/>
        <v>0</v>
      </c>
      <c r="CY43" s="14"/>
      <c r="CZ43" s="15">
        <f t="shared" si="227"/>
        <v>0</v>
      </c>
      <c r="DA43" s="14"/>
      <c r="DB43" s="15">
        <f t="shared" si="228"/>
        <v>0</v>
      </c>
      <c r="DC43" s="14"/>
      <c r="DD43" s="15">
        <f t="shared" si="229"/>
        <v>0</v>
      </c>
      <c r="DE43" s="14"/>
      <c r="DF43" s="15">
        <f t="shared" si="230"/>
        <v>0</v>
      </c>
      <c r="DG43" s="14"/>
      <c r="DH43" s="15">
        <f t="shared" si="231"/>
        <v>0</v>
      </c>
      <c r="DI43" s="14"/>
      <c r="DJ43" s="15">
        <f t="shared" si="232"/>
        <v>0</v>
      </c>
      <c r="DK43" s="16">
        <f t="shared" si="233"/>
        <v>503</v>
      </c>
      <c r="DL43" s="17">
        <f t="shared" si="234"/>
        <v>88.025000000000006</v>
      </c>
      <c r="DP43" s="88">
        <f t="shared" si="65"/>
        <v>0</v>
      </c>
      <c r="DQ43" s="89">
        <f t="shared" si="66"/>
        <v>-100</v>
      </c>
      <c r="DR43" s="89">
        <f t="shared" si="67"/>
        <v>-100</v>
      </c>
      <c r="DW43" s="52">
        <f t="shared" si="179"/>
        <v>0</v>
      </c>
    </row>
    <row r="44" spans="1:127" hidden="1">
      <c r="A44" s="7">
        <v>115</v>
      </c>
      <c r="B44" s="8" t="s">
        <v>53</v>
      </c>
      <c r="C44" s="8" t="s">
        <v>14</v>
      </c>
      <c r="D44" s="7">
        <v>0.7</v>
      </c>
      <c r="E44" s="7" t="s">
        <v>15</v>
      </c>
      <c r="F44" s="7"/>
      <c r="G44" s="9">
        <v>10</v>
      </c>
      <c r="H44" s="10">
        <f t="shared" si="180"/>
        <v>7</v>
      </c>
      <c r="I44" s="9"/>
      <c r="J44" s="10">
        <f t="shared" si="181"/>
        <v>0</v>
      </c>
      <c r="K44" s="9">
        <v>60</v>
      </c>
      <c r="L44" s="10">
        <f t="shared" si="182"/>
        <v>42</v>
      </c>
      <c r="M44" s="9">
        <v>60</v>
      </c>
      <c r="N44" s="10">
        <f t="shared" si="183"/>
        <v>42</v>
      </c>
      <c r="O44" s="9"/>
      <c r="P44" s="10">
        <f t="shared" si="184"/>
        <v>0</v>
      </c>
      <c r="Q44" s="9">
        <v>60</v>
      </c>
      <c r="R44" s="10">
        <f t="shared" si="185"/>
        <v>42</v>
      </c>
      <c r="S44" s="9">
        <v>38</v>
      </c>
      <c r="T44" s="10">
        <f t="shared" si="186"/>
        <v>26.599999999999998</v>
      </c>
      <c r="U44" s="9">
        <v>180</v>
      </c>
      <c r="V44" s="10">
        <f t="shared" si="187"/>
        <v>125.99999999999999</v>
      </c>
      <c r="W44" s="9"/>
      <c r="X44" s="10">
        <f t="shared" si="188"/>
        <v>0</v>
      </c>
      <c r="Y44" s="9">
        <v>60</v>
      </c>
      <c r="Z44" s="10">
        <f t="shared" si="189"/>
        <v>42</v>
      </c>
      <c r="AA44" s="9">
        <v>132</v>
      </c>
      <c r="AB44" s="10">
        <f t="shared" si="190"/>
        <v>92.399999999999991</v>
      </c>
      <c r="AC44" s="9">
        <v>156</v>
      </c>
      <c r="AD44" s="10">
        <f t="shared" si="191"/>
        <v>109.19999999999999</v>
      </c>
      <c r="AE44" s="11">
        <f t="shared" si="192"/>
        <v>63</v>
      </c>
      <c r="AF44" s="12">
        <f t="shared" si="193"/>
        <v>44.099999999999994</v>
      </c>
      <c r="AG44" s="9">
        <v>84</v>
      </c>
      <c r="AH44" s="10">
        <f t="shared" si="194"/>
        <v>58.8</v>
      </c>
      <c r="AI44" s="9">
        <v>216</v>
      </c>
      <c r="AJ44" s="10">
        <f t="shared" si="195"/>
        <v>151.19999999999999</v>
      </c>
      <c r="AK44" s="9">
        <v>36</v>
      </c>
      <c r="AL44" s="10">
        <f t="shared" si="196"/>
        <v>25.2</v>
      </c>
      <c r="AM44" s="9">
        <v>96</v>
      </c>
      <c r="AN44" s="10">
        <f t="shared" si="197"/>
        <v>67.199999999999989</v>
      </c>
      <c r="AO44" s="9">
        <v>96</v>
      </c>
      <c r="AP44" s="10">
        <f t="shared" si="198"/>
        <v>67.199999999999989</v>
      </c>
      <c r="AQ44" s="9">
        <v>96</v>
      </c>
      <c r="AR44" s="10">
        <f t="shared" si="199"/>
        <v>67.199999999999989</v>
      </c>
      <c r="AS44" s="9">
        <v>156</v>
      </c>
      <c r="AT44" s="10">
        <f t="shared" si="200"/>
        <v>109.19999999999999</v>
      </c>
      <c r="AU44" s="9">
        <v>120</v>
      </c>
      <c r="AV44" s="10">
        <f t="shared" si="201"/>
        <v>84</v>
      </c>
      <c r="AW44" s="9">
        <v>228</v>
      </c>
      <c r="AX44" s="10">
        <f t="shared" si="202"/>
        <v>159.6</v>
      </c>
      <c r="AY44" s="9">
        <v>180</v>
      </c>
      <c r="AZ44" s="10">
        <f t="shared" si="203"/>
        <v>125.99999999999999</v>
      </c>
      <c r="BA44" s="9">
        <v>216</v>
      </c>
      <c r="BB44" s="10">
        <f t="shared" si="204"/>
        <v>151.19999999999999</v>
      </c>
      <c r="BC44" s="9">
        <v>540</v>
      </c>
      <c r="BD44" s="10">
        <f t="shared" si="205"/>
        <v>378</v>
      </c>
      <c r="BE44" s="11">
        <f t="shared" si="206"/>
        <v>172</v>
      </c>
      <c r="BF44" s="12">
        <f t="shared" si="207"/>
        <v>120.39999999999999</v>
      </c>
      <c r="BG44" s="9">
        <v>240</v>
      </c>
      <c r="BH44" s="10">
        <f t="shared" si="208"/>
        <v>168</v>
      </c>
      <c r="BI44" s="9">
        <v>228</v>
      </c>
      <c r="BJ44" s="10">
        <f t="shared" si="209"/>
        <v>159.6</v>
      </c>
      <c r="BK44" s="9">
        <v>384</v>
      </c>
      <c r="BL44" s="10">
        <f t="shared" si="210"/>
        <v>268.79999999999995</v>
      </c>
      <c r="BM44" s="9">
        <v>180</v>
      </c>
      <c r="BN44" s="10">
        <f t="shared" si="211"/>
        <v>125.99999999999999</v>
      </c>
      <c r="BO44" s="9">
        <v>228</v>
      </c>
      <c r="BP44" s="10">
        <f t="shared" si="212"/>
        <v>159.6</v>
      </c>
      <c r="BQ44" s="9">
        <v>144</v>
      </c>
      <c r="BR44" s="10">
        <f t="shared" si="213"/>
        <v>100.8</v>
      </c>
      <c r="BS44" s="9">
        <v>504</v>
      </c>
      <c r="BT44" s="10">
        <f t="shared" si="214"/>
        <v>352.79999999999995</v>
      </c>
      <c r="BU44" s="9">
        <v>408</v>
      </c>
      <c r="BV44" s="10">
        <f t="shared" si="215"/>
        <v>285.59999999999997</v>
      </c>
      <c r="BW44" s="9"/>
      <c r="BX44" s="10">
        <f t="shared" si="216"/>
        <v>0</v>
      </c>
      <c r="BY44" s="9"/>
      <c r="BZ44" s="10">
        <f t="shared" si="217"/>
        <v>0</v>
      </c>
      <c r="CA44" s="9"/>
      <c r="CB44" s="10">
        <f t="shared" si="218"/>
        <v>0</v>
      </c>
      <c r="CC44" s="9"/>
      <c r="CD44" s="10">
        <f t="shared" si="219"/>
        <v>0</v>
      </c>
      <c r="CE44" s="19">
        <f t="shared" si="177"/>
        <v>252</v>
      </c>
      <c r="CF44" s="10">
        <f t="shared" si="178"/>
        <v>176.4</v>
      </c>
      <c r="CG44" s="11">
        <f t="shared" si="220"/>
        <v>193</v>
      </c>
      <c r="CH44" s="12">
        <f t="shared" si="221"/>
        <v>135.1</v>
      </c>
      <c r="CI44" s="13">
        <v>193</v>
      </c>
      <c r="CJ44" s="10">
        <f t="shared" si="222"/>
        <v>135.1</v>
      </c>
      <c r="CK44" s="15"/>
      <c r="CL44" s="15"/>
      <c r="CM44" s="14"/>
      <c r="CN44" s="10">
        <f t="shared" si="222"/>
        <v>0</v>
      </c>
      <c r="CO44" s="14"/>
      <c r="CP44" s="15">
        <f t="shared" si="223"/>
        <v>0</v>
      </c>
      <c r="CQ44" s="14"/>
      <c r="CR44" s="15">
        <f t="shared" si="224"/>
        <v>0</v>
      </c>
      <c r="CS44" s="14"/>
      <c r="CT44" s="15">
        <f t="shared" si="225"/>
        <v>0</v>
      </c>
      <c r="CU44" s="14"/>
      <c r="CV44" s="15">
        <f t="shared" si="225"/>
        <v>0</v>
      </c>
      <c r="CW44" s="14"/>
      <c r="CX44" s="15">
        <f t="shared" si="226"/>
        <v>0</v>
      </c>
      <c r="CY44" s="14"/>
      <c r="CZ44" s="15">
        <f t="shared" si="227"/>
        <v>0</v>
      </c>
      <c r="DA44" s="14"/>
      <c r="DB44" s="15">
        <f t="shared" si="228"/>
        <v>0</v>
      </c>
      <c r="DC44" s="14"/>
      <c r="DD44" s="15">
        <f t="shared" si="229"/>
        <v>0</v>
      </c>
      <c r="DE44" s="14"/>
      <c r="DF44" s="15">
        <f t="shared" si="230"/>
        <v>0</v>
      </c>
      <c r="DG44" s="14"/>
      <c r="DH44" s="15">
        <f t="shared" si="231"/>
        <v>0</v>
      </c>
      <c r="DI44" s="14"/>
      <c r="DJ44" s="15">
        <f t="shared" si="232"/>
        <v>0</v>
      </c>
      <c r="DK44" s="16">
        <f t="shared" si="233"/>
        <v>0</v>
      </c>
      <c r="DL44" s="17">
        <f t="shared" si="234"/>
        <v>0</v>
      </c>
      <c r="DP44" s="88">
        <f t="shared" si="65"/>
        <v>0</v>
      </c>
      <c r="DQ44" s="89">
        <f t="shared" si="66"/>
        <v>-100</v>
      </c>
      <c r="DR44" s="89">
        <f t="shared" si="67"/>
        <v>-100</v>
      </c>
      <c r="DW44" s="52">
        <f t="shared" si="179"/>
        <v>0</v>
      </c>
    </row>
    <row r="45" spans="1:127" hidden="1">
      <c r="A45" s="7">
        <v>116</v>
      </c>
      <c r="B45" s="8" t="s">
        <v>54</v>
      </c>
      <c r="C45" s="8" t="s">
        <v>14</v>
      </c>
      <c r="D45" s="7">
        <v>0.7</v>
      </c>
      <c r="E45" s="7" t="s">
        <v>15</v>
      </c>
      <c r="F45" s="7"/>
      <c r="G45" s="9"/>
      <c r="H45" s="10">
        <f t="shared" si="180"/>
        <v>0</v>
      </c>
      <c r="I45" s="9"/>
      <c r="J45" s="10">
        <f t="shared" si="181"/>
        <v>0</v>
      </c>
      <c r="K45" s="9"/>
      <c r="L45" s="10">
        <f t="shared" si="182"/>
        <v>0</v>
      </c>
      <c r="M45" s="9"/>
      <c r="N45" s="10">
        <f t="shared" si="183"/>
        <v>0</v>
      </c>
      <c r="O45" s="9"/>
      <c r="P45" s="10">
        <f t="shared" si="184"/>
        <v>0</v>
      </c>
      <c r="Q45" s="9"/>
      <c r="R45" s="10">
        <f t="shared" si="185"/>
        <v>0</v>
      </c>
      <c r="S45" s="9"/>
      <c r="T45" s="10">
        <f t="shared" si="186"/>
        <v>0</v>
      </c>
      <c r="U45" s="9"/>
      <c r="V45" s="10">
        <f t="shared" si="187"/>
        <v>0</v>
      </c>
      <c r="W45" s="9"/>
      <c r="X45" s="10">
        <f t="shared" si="188"/>
        <v>0</v>
      </c>
      <c r="Y45" s="9"/>
      <c r="Z45" s="10">
        <f t="shared" si="189"/>
        <v>0</v>
      </c>
      <c r="AA45" s="9"/>
      <c r="AB45" s="10">
        <f t="shared" si="190"/>
        <v>0</v>
      </c>
      <c r="AC45" s="9"/>
      <c r="AD45" s="10">
        <f t="shared" si="191"/>
        <v>0</v>
      </c>
      <c r="AE45" s="11">
        <f t="shared" si="192"/>
        <v>0</v>
      </c>
      <c r="AF45" s="12">
        <f t="shared" si="193"/>
        <v>0</v>
      </c>
      <c r="AG45" s="9"/>
      <c r="AH45" s="10">
        <f t="shared" si="194"/>
        <v>0</v>
      </c>
      <c r="AI45" s="9"/>
      <c r="AJ45" s="10">
        <f t="shared" si="195"/>
        <v>0</v>
      </c>
      <c r="AK45" s="9"/>
      <c r="AL45" s="10">
        <f t="shared" si="196"/>
        <v>0</v>
      </c>
      <c r="AM45" s="9"/>
      <c r="AN45" s="10">
        <f t="shared" si="197"/>
        <v>0</v>
      </c>
      <c r="AO45" s="9"/>
      <c r="AP45" s="10">
        <f t="shared" si="198"/>
        <v>0</v>
      </c>
      <c r="AQ45" s="9"/>
      <c r="AR45" s="10">
        <f t="shared" si="199"/>
        <v>0</v>
      </c>
      <c r="AS45" s="9"/>
      <c r="AT45" s="10">
        <f t="shared" si="200"/>
        <v>0</v>
      </c>
      <c r="AU45" s="9"/>
      <c r="AV45" s="10">
        <f t="shared" si="201"/>
        <v>0</v>
      </c>
      <c r="AW45" s="9"/>
      <c r="AX45" s="10">
        <f t="shared" si="202"/>
        <v>0</v>
      </c>
      <c r="AY45" s="9"/>
      <c r="AZ45" s="10">
        <f t="shared" si="203"/>
        <v>0</v>
      </c>
      <c r="BA45" s="9"/>
      <c r="BB45" s="10">
        <f t="shared" si="204"/>
        <v>0</v>
      </c>
      <c r="BC45" s="9"/>
      <c r="BD45" s="10">
        <f t="shared" si="205"/>
        <v>0</v>
      </c>
      <c r="BE45" s="11">
        <f t="shared" si="206"/>
        <v>0</v>
      </c>
      <c r="BF45" s="12">
        <f t="shared" si="207"/>
        <v>0</v>
      </c>
      <c r="BG45" s="9"/>
      <c r="BH45" s="10">
        <f t="shared" si="208"/>
        <v>0</v>
      </c>
      <c r="BI45" s="9"/>
      <c r="BJ45" s="10">
        <f t="shared" si="209"/>
        <v>0</v>
      </c>
      <c r="BK45" s="9"/>
      <c r="BL45" s="10">
        <f t="shared" si="210"/>
        <v>0</v>
      </c>
      <c r="BM45" s="9"/>
      <c r="BN45" s="10">
        <f t="shared" si="211"/>
        <v>0</v>
      </c>
      <c r="BO45" s="9"/>
      <c r="BP45" s="10">
        <f t="shared" si="212"/>
        <v>0</v>
      </c>
      <c r="BQ45" s="9"/>
      <c r="BR45" s="10">
        <f t="shared" si="213"/>
        <v>0</v>
      </c>
      <c r="BS45" s="9"/>
      <c r="BT45" s="10">
        <f t="shared" si="214"/>
        <v>0</v>
      </c>
      <c r="BU45" s="9"/>
      <c r="BV45" s="10">
        <f t="shared" si="215"/>
        <v>0</v>
      </c>
      <c r="BW45" s="9"/>
      <c r="BX45" s="10">
        <f t="shared" si="216"/>
        <v>0</v>
      </c>
      <c r="BY45" s="9"/>
      <c r="BZ45" s="10">
        <f t="shared" si="217"/>
        <v>0</v>
      </c>
      <c r="CA45" s="9"/>
      <c r="CB45" s="10">
        <f t="shared" si="218"/>
        <v>0</v>
      </c>
      <c r="CC45" s="9"/>
      <c r="CD45" s="10">
        <f t="shared" si="219"/>
        <v>0</v>
      </c>
      <c r="CE45" s="19">
        <f t="shared" si="177"/>
        <v>0</v>
      </c>
      <c r="CF45" s="10">
        <f t="shared" si="178"/>
        <v>0</v>
      </c>
      <c r="CG45" s="11">
        <f t="shared" si="220"/>
        <v>0</v>
      </c>
      <c r="CH45" s="12">
        <f t="shared" si="221"/>
        <v>0</v>
      </c>
      <c r="CI45" s="13"/>
      <c r="CJ45" s="10">
        <f t="shared" si="222"/>
        <v>0</v>
      </c>
      <c r="CK45" s="15"/>
      <c r="CL45" s="15"/>
      <c r="CM45" s="14"/>
      <c r="CN45" s="10">
        <f t="shared" si="222"/>
        <v>0</v>
      </c>
      <c r="CO45" s="14"/>
      <c r="CP45" s="15">
        <f t="shared" si="223"/>
        <v>0</v>
      </c>
      <c r="CQ45" s="14"/>
      <c r="CR45" s="15">
        <f t="shared" si="224"/>
        <v>0</v>
      </c>
      <c r="CS45" s="14"/>
      <c r="CT45" s="15">
        <f t="shared" si="225"/>
        <v>0</v>
      </c>
      <c r="CU45" s="14"/>
      <c r="CV45" s="15">
        <f t="shared" si="225"/>
        <v>0</v>
      </c>
      <c r="CW45" s="14"/>
      <c r="CX45" s="15">
        <f t="shared" si="226"/>
        <v>0</v>
      </c>
      <c r="CY45" s="14"/>
      <c r="CZ45" s="15">
        <f t="shared" si="227"/>
        <v>0</v>
      </c>
      <c r="DA45" s="14"/>
      <c r="DB45" s="15">
        <f t="shared" si="228"/>
        <v>0</v>
      </c>
      <c r="DC45" s="14"/>
      <c r="DD45" s="15">
        <f t="shared" si="229"/>
        <v>0</v>
      </c>
      <c r="DE45" s="14"/>
      <c r="DF45" s="15">
        <f t="shared" si="230"/>
        <v>0</v>
      </c>
      <c r="DG45" s="14"/>
      <c r="DH45" s="15">
        <f t="shared" si="231"/>
        <v>0</v>
      </c>
      <c r="DI45" s="14"/>
      <c r="DJ45" s="15">
        <f t="shared" si="232"/>
        <v>0</v>
      </c>
      <c r="DK45" s="16">
        <f t="shared" si="233"/>
        <v>0</v>
      </c>
      <c r="DL45" s="17">
        <f t="shared" si="234"/>
        <v>0</v>
      </c>
      <c r="DP45" s="88">
        <f t="shared" si="65"/>
        <v>0</v>
      </c>
      <c r="DQ45" s="89" t="e">
        <f t="shared" si="66"/>
        <v>#DIV/0!</v>
      </c>
      <c r="DR45" s="89" t="e">
        <f t="shared" si="67"/>
        <v>#DIV/0!</v>
      </c>
      <c r="DW45" s="52">
        <f t="shared" si="179"/>
        <v>0</v>
      </c>
    </row>
    <row r="46" spans="1:127" hidden="1">
      <c r="A46" s="7">
        <v>117</v>
      </c>
      <c r="B46" s="8" t="s">
        <v>55</v>
      </c>
      <c r="C46" s="8" t="s">
        <v>14</v>
      </c>
      <c r="D46" s="7">
        <v>0.35</v>
      </c>
      <c r="E46" s="7" t="s">
        <v>18</v>
      </c>
      <c r="F46" s="7"/>
      <c r="G46" s="9"/>
      <c r="H46" s="10">
        <f t="shared" si="180"/>
        <v>0</v>
      </c>
      <c r="I46" s="9"/>
      <c r="J46" s="10">
        <f t="shared" si="181"/>
        <v>0</v>
      </c>
      <c r="K46" s="9"/>
      <c r="L46" s="10">
        <f t="shared" si="182"/>
        <v>0</v>
      </c>
      <c r="M46" s="9"/>
      <c r="N46" s="10">
        <f t="shared" si="183"/>
        <v>0</v>
      </c>
      <c r="O46" s="9"/>
      <c r="P46" s="10">
        <f t="shared" si="184"/>
        <v>0</v>
      </c>
      <c r="Q46" s="9"/>
      <c r="R46" s="10">
        <f t="shared" si="185"/>
        <v>0</v>
      </c>
      <c r="S46" s="9"/>
      <c r="T46" s="10">
        <f t="shared" si="186"/>
        <v>0</v>
      </c>
      <c r="U46" s="9"/>
      <c r="V46" s="10">
        <f t="shared" si="187"/>
        <v>0</v>
      </c>
      <c r="W46" s="9"/>
      <c r="X46" s="10">
        <f t="shared" si="188"/>
        <v>0</v>
      </c>
      <c r="Y46" s="9"/>
      <c r="Z46" s="10">
        <f t="shared" si="189"/>
        <v>0</v>
      </c>
      <c r="AA46" s="9"/>
      <c r="AB46" s="10">
        <f t="shared" si="190"/>
        <v>0</v>
      </c>
      <c r="AC46" s="9"/>
      <c r="AD46" s="10">
        <f t="shared" si="191"/>
        <v>0</v>
      </c>
      <c r="AE46" s="11">
        <f t="shared" si="192"/>
        <v>0</v>
      </c>
      <c r="AF46" s="12">
        <f t="shared" si="193"/>
        <v>0</v>
      </c>
      <c r="AG46" s="9"/>
      <c r="AH46" s="10">
        <f t="shared" si="194"/>
        <v>0</v>
      </c>
      <c r="AI46" s="9"/>
      <c r="AJ46" s="10">
        <f t="shared" si="195"/>
        <v>0</v>
      </c>
      <c r="AK46" s="9"/>
      <c r="AL46" s="10">
        <f t="shared" si="196"/>
        <v>0</v>
      </c>
      <c r="AM46" s="9"/>
      <c r="AN46" s="10">
        <f t="shared" si="197"/>
        <v>0</v>
      </c>
      <c r="AO46" s="9"/>
      <c r="AP46" s="10">
        <f t="shared" si="198"/>
        <v>0</v>
      </c>
      <c r="AQ46" s="9"/>
      <c r="AR46" s="10">
        <f t="shared" si="199"/>
        <v>0</v>
      </c>
      <c r="AS46" s="9"/>
      <c r="AT46" s="10">
        <f t="shared" si="200"/>
        <v>0</v>
      </c>
      <c r="AU46" s="9"/>
      <c r="AV46" s="10">
        <f t="shared" si="201"/>
        <v>0</v>
      </c>
      <c r="AW46" s="9"/>
      <c r="AX46" s="10">
        <f t="shared" si="202"/>
        <v>0</v>
      </c>
      <c r="AY46" s="9"/>
      <c r="AZ46" s="10">
        <f t="shared" si="203"/>
        <v>0</v>
      </c>
      <c r="BA46" s="9"/>
      <c r="BB46" s="10">
        <f t="shared" si="204"/>
        <v>0</v>
      </c>
      <c r="BC46" s="9"/>
      <c r="BD46" s="10">
        <f t="shared" si="205"/>
        <v>0</v>
      </c>
      <c r="BE46" s="11">
        <f t="shared" si="206"/>
        <v>0</v>
      </c>
      <c r="BF46" s="12">
        <f t="shared" si="207"/>
        <v>0</v>
      </c>
      <c r="BG46" s="9"/>
      <c r="BH46" s="10">
        <f t="shared" si="208"/>
        <v>0</v>
      </c>
      <c r="BI46" s="9"/>
      <c r="BJ46" s="10">
        <f t="shared" si="209"/>
        <v>0</v>
      </c>
      <c r="BK46" s="9"/>
      <c r="BL46" s="10">
        <f t="shared" si="210"/>
        <v>0</v>
      </c>
      <c r="BM46" s="9"/>
      <c r="BN46" s="10">
        <f t="shared" si="211"/>
        <v>0</v>
      </c>
      <c r="BO46" s="9"/>
      <c r="BP46" s="10">
        <f t="shared" si="212"/>
        <v>0</v>
      </c>
      <c r="BQ46" s="9"/>
      <c r="BR46" s="10">
        <f t="shared" si="213"/>
        <v>0</v>
      </c>
      <c r="BS46" s="9"/>
      <c r="BT46" s="10">
        <f t="shared" si="214"/>
        <v>0</v>
      </c>
      <c r="BU46" s="9"/>
      <c r="BV46" s="10">
        <f t="shared" si="215"/>
        <v>0</v>
      </c>
      <c r="BW46" s="9"/>
      <c r="BX46" s="10">
        <f t="shared" si="216"/>
        <v>0</v>
      </c>
      <c r="BY46" s="9"/>
      <c r="BZ46" s="10">
        <f t="shared" si="217"/>
        <v>0</v>
      </c>
      <c r="CA46" s="9"/>
      <c r="CB46" s="10">
        <f t="shared" si="218"/>
        <v>0</v>
      </c>
      <c r="CC46" s="9"/>
      <c r="CD46" s="10">
        <f t="shared" si="219"/>
        <v>0</v>
      </c>
      <c r="CE46" s="19">
        <f t="shared" si="177"/>
        <v>0</v>
      </c>
      <c r="CF46" s="10">
        <f t="shared" si="178"/>
        <v>0</v>
      </c>
      <c r="CG46" s="11">
        <f t="shared" si="220"/>
        <v>0</v>
      </c>
      <c r="CH46" s="12">
        <f t="shared" si="221"/>
        <v>0</v>
      </c>
      <c r="CI46" s="13"/>
      <c r="CJ46" s="10">
        <f t="shared" si="222"/>
        <v>0</v>
      </c>
      <c r="CK46" s="15"/>
      <c r="CL46" s="15"/>
      <c r="CM46" s="14"/>
      <c r="CN46" s="10">
        <f t="shared" si="222"/>
        <v>0</v>
      </c>
      <c r="CO46" s="14"/>
      <c r="CP46" s="15">
        <f t="shared" si="223"/>
        <v>0</v>
      </c>
      <c r="CQ46" s="14"/>
      <c r="CR46" s="15">
        <f t="shared" si="224"/>
        <v>0</v>
      </c>
      <c r="CS46" s="14"/>
      <c r="CT46" s="15">
        <f t="shared" si="225"/>
        <v>0</v>
      </c>
      <c r="CU46" s="14"/>
      <c r="CV46" s="15">
        <f t="shared" si="225"/>
        <v>0</v>
      </c>
      <c r="CW46" s="14"/>
      <c r="CX46" s="15">
        <f t="shared" si="226"/>
        <v>0</v>
      </c>
      <c r="CY46" s="14"/>
      <c r="CZ46" s="15">
        <f t="shared" si="227"/>
        <v>0</v>
      </c>
      <c r="DA46" s="14"/>
      <c r="DB46" s="15">
        <f t="shared" si="228"/>
        <v>0</v>
      </c>
      <c r="DC46" s="14"/>
      <c r="DD46" s="15">
        <f t="shared" si="229"/>
        <v>0</v>
      </c>
      <c r="DE46" s="14"/>
      <c r="DF46" s="15">
        <f t="shared" si="230"/>
        <v>0</v>
      </c>
      <c r="DG46" s="14"/>
      <c r="DH46" s="15">
        <f t="shared" si="231"/>
        <v>0</v>
      </c>
      <c r="DI46" s="14"/>
      <c r="DJ46" s="15">
        <f t="shared" si="232"/>
        <v>0</v>
      </c>
      <c r="DK46" s="16">
        <f t="shared" si="233"/>
        <v>0</v>
      </c>
      <c r="DL46" s="17">
        <f t="shared" si="234"/>
        <v>0</v>
      </c>
      <c r="DP46" s="88">
        <f t="shared" si="65"/>
        <v>0</v>
      </c>
      <c r="DQ46" s="89" t="e">
        <f t="shared" si="66"/>
        <v>#DIV/0!</v>
      </c>
      <c r="DR46" s="89" t="e">
        <f t="shared" si="67"/>
        <v>#DIV/0!</v>
      </c>
      <c r="DW46" s="52">
        <f t="shared" si="179"/>
        <v>0</v>
      </c>
    </row>
    <row r="47" spans="1:127" hidden="1">
      <c r="A47" s="7">
        <v>118</v>
      </c>
      <c r="B47" s="8" t="s">
        <v>56</v>
      </c>
      <c r="C47" s="8" t="s">
        <v>14</v>
      </c>
      <c r="D47" s="7">
        <v>0.7</v>
      </c>
      <c r="E47" s="7" t="s">
        <v>15</v>
      </c>
      <c r="F47" s="7"/>
      <c r="G47" s="9"/>
      <c r="H47" s="10">
        <f t="shared" si="180"/>
        <v>0</v>
      </c>
      <c r="I47" s="9"/>
      <c r="J47" s="10">
        <f t="shared" si="181"/>
        <v>0</v>
      </c>
      <c r="K47" s="9"/>
      <c r="L47" s="10">
        <f t="shared" si="182"/>
        <v>0</v>
      </c>
      <c r="M47" s="9"/>
      <c r="N47" s="10">
        <f t="shared" si="183"/>
        <v>0</v>
      </c>
      <c r="O47" s="9"/>
      <c r="P47" s="10">
        <f t="shared" si="184"/>
        <v>0</v>
      </c>
      <c r="Q47" s="9"/>
      <c r="R47" s="10">
        <f t="shared" si="185"/>
        <v>0</v>
      </c>
      <c r="S47" s="9"/>
      <c r="T47" s="10">
        <f t="shared" si="186"/>
        <v>0</v>
      </c>
      <c r="U47" s="9"/>
      <c r="V47" s="10">
        <f t="shared" si="187"/>
        <v>0</v>
      </c>
      <c r="W47" s="9"/>
      <c r="X47" s="10">
        <f t="shared" si="188"/>
        <v>0</v>
      </c>
      <c r="Y47" s="9"/>
      <c r="Z47" s="10">
        <f t="shared" si="189"/>
        <v>0</v>
      </c>
      <c r="AA47" s="9"/>
      <c r="AB47" s="10">
        <f t="shared" si="190"/>
        <v>0</v>
      </c>
      <c r="AC47" s="9"/>
      <c r="AD47" s="10">
        <f t="shared" si="191"/>
        <v>0</v>
      </c>
      <c r="AE47" s="11">
        <f t="shared" si="192"/>
        <v>0</v>
      </c>
      <c r="AF47" s="12">
        <f t="shared" si="193"/>
        <v>0</v>
      </c>
      <c r="AG47" s="9"/>
      <c r="AH47" s="10">
        <f t="shared" si="194"/>
        <v>0</v>
      </c>
      <c r="AI47" s="9"/>
      <c r="AJ47" s="10">
        <f t="shared" si="195"/>
        <v>0</v>
      </c>
      <c r="AK47" s="9"/>
      <c r="AL47" s="10">
        <f t="shared" si="196"/>
        <v>0</v>
      </c>
      <c r="AM47" s="9"/>
      <c r="AN47" s="10">
        <f t="shared" si="197"/>
        <v>0</v>
      </c>
      <c r="AO47" s="9"/>
      <c r="AP47" s="10">
        <f t="shared" si="198"/>
        <v>0</v>
      </c>
      <c r="AQ47" s="9"/>
      <c r="AR47" s="10">
        <f t="shared" si="199"/>
        <v>0</v>
      </c>
      <c r="AS47" s="9"/>
      <c r="AT47" s="10">
        <f t="shared" si="200"/>
        <v>0</v>
      </c>
      <c r="AU47" s="9"/>
      <c r="AV47" s="10">
        <f t="shared" si="201"/>
        <v>0</v>
      </c>
      <c r="AW47" s="9"/>
      <c r="AX47" s="10">
        <f t="shared" si="202"/>
        <v>0</v>
      </c>
      <c r="AY47" s="9"/>
      <c r="AZ47" s="10">
        <f t="shared" si="203"/>
        <v>0</v>
      </c>
      <c r="BA47" s="9"/>
      <c r="BB47" s="10">
        <f t="shared" si="204"/>
        <v>0</v>
      </c>
      <c r="BC47" s="9"/>
      <c r="BD47" s="10">
        <f t="shared" si="205"/>
        <v>0</v>
      </c>
      <c r="BE47" s="11">
        <f t="shared" si="206"/>
        <v>0</v>
      </c>
      <c r="BF47" s="12">
        <f t="shared" si="207"/>
        <v>0</v>
      </c>
      <c r="BG47" s="9"/>
      <c r="BH47" s="10">
        <f t="shared" si="208"/>
        <v>0</v>
      </c>
      <c r="BI47" s="9"/>
      <c r="BJ47" s="10">
        <f t="shared" si="209"/>
        <v>0</v>
      </c>
      <c r="BK47" s="9"/>
      <c r="BL47" s="10">
        <f t="shared" si="210"/>
        <v>0</v>
      </c>
      <c r="BM47" s="9"/>
      <c r="BN47" s="10">
        <f t="shared" si="211"/>
        <v>0</v>
      </c>
      <c r="BO47" s="9"/>
      <c r="BP47" s="10">
        <f t="shared" si="212"/>
        <v>0</v>
      </c>
      <c r="BQ47" s="9"/>
      <c r="BR47" s="10">
        <f t="shared" si="213"/>
        <v>0</v>
      </c>
      <c r="BS47" s="9"/>
      <c r="BT47" s="10">
        <f t="shared" si="214"/>
        <v>0</v>
      </c>
      <c r="BU47" s="9"/>
      <c r="BV47" s="10">
        <f t="shared" si="215"/>
        <v>0</v>
      </c>
      <c r="BW47" s="9"/>
      <c r="BX47" s="10">
        <f t="shared" si="216"/>
        <v>0</v>
      </c>
      <c r="BY47" s="9"/>
      <c r="BZ47" s="10">
        <f t="shared" si="217"/>
        <v>0</v>
      </c>
      <c r="CA47" s="9">
        <v>9</v>
      </c>
      <c r="CB47" s="10">
        <f t="shared" si="218"/>
        <v>6.3</v>
      </c>
      <c r="CC47" s="9"/>
      <c r="CD47" s="10">
        <f t="shared" si="219"/>
        <v>0</v>
      </c>
      <c r="CE47" s="19">
        <f t="shared" si="177"/>
        <v>0</v>
      </c>
      <c r="CF47" s="10">
        <f t="shared" si="178"/>
        <v>0</v>
      </c>
      <c r="CG47" s="11">
        <f t="shared" si="220"/>
        <v>0.75</v>
      </c>
      <c r="CH47" s="12">
        <f t="shared" si="221"/>
        <v>0.52499999999999991</v>
      </c>
      <c r="CI47" s="13"/>
      <c r="CJ47" s="10">
        <f t="shared" si="222"/>
        <v>0</v>
      </c>
      <c r="CK47" s="15"/>
      <c r="CL47" s="15"/>
      <c r="CM47" s="14"/>
      <c r="CN47" s="10">
        <f t="shared" si="222"/>
        <v>0</v>
      </c>
      <c r="CO47" s="14"/>
      <c r="CP47" s="15">
        <f t="shared" si="223"/>
        <v>0</v>
      </c>
      <c r="CQ47" s="14"/>
      <c r="CR47" s="15">
        <f t="shared" si="224"/>
        <v>0</v>
      </c>
      <c r="CS47" s="14"/>
      <c r="CT47" s="15">
        <f t="shared" si="225"/>
        <v>0</v>
      </c>
      <c r="CU47" s="14"/>
      <c r="CV47" s="15">
        <f t="shared" si="225"/>
        <v>0</v>
      </c>
      <c r="CW47" s="14"/>
      <c r="CX47" s="15">
        <f t="shared" si="226"/>
        <v>0</v>
      </c>
      <c r="CY47" s="14"/>
      <c r="CZ47" s="15">
        <f t="shared" si="227"/>
        <v>0</v>
      </c>
      <c r="DA47" s="14"/>
      <c r="DB47" s="15">
        <f t="shared" si="228"/>
        <v>0</v>
      </c>
      <c r="DC47" s="14"/>
      <c r="DD47" s="15">
        <f t="shared" si="229"/>
        <v>0</v>
      </c>
      <c r="DE47" s="14"/>
      <c r="DF47" s="15">
        <f t="shared" si="230"/>
        <v>0</v>
      </c>
      <c r="DG47" s="14"/>
      <c r="DH47" s="15">
        <f t="shared" si="231"/>
        <v>0</v>
      </c>
      <c r="DI47" s="14"/>
      <c r="DJ47" s="15">
        <f t="shared" si="232"/>
        <v>0</v>
      </c>
      <c r="DK47" s="16">
        <f t="shared" si="233"/>
        <v>0</v>
      </c>
      <c r="DL47" s="17">
        <f t="shared" si="234"/>
        <v>0</v>
      </c>
      <c r="DP47" s="88">
        <f t="shared" si="65"/>
        <v>0</v>
      </c>
      <c r="DQ47" s="89" t="e">
        <f t="shared" si="66"/>
        <v>#DIV/0!</v>
      </c>
      <c r="DR47" s="89">
        <f t="shared" si="67"/>
        <v>-100</v>
      </c>
      <c r="DW47" s="52">
        <f t="shared" si="179"/>
        <v>0</v>
      </c>
    </row>
    <row r="48" spans="1:127" hidden="1">
      <c r="A48" s="7">
        <v>119</v>
      </c>
      <c r="B48" s="8" t="s">
        <v>57</v>
      </c>
      <c r="C48" s="8" t="s">
        <v>14</v>
      </c>
      <c r="D48" s="7">
        <v>0.35</v>
      </c>
      <c r="E48" s="7" t="s">
        <v>18</v>
      </c>
      <c r="F48" s="7"/>
      <c r="G48" s="9"/>
      <c r="H48" s="10">
        <f t="shared" si="180"/>
        <v>0</v>
      </c>
      <c r="I48" s="9"/>
      <c r="J48" s="10">
        <f t="shared" si="181"/>
        <v>0</v>
      </c>
      <c r="K48" s="9"/>
      <c r="L48" s="10">
        <f t="shared" si="182"/>
        <v>0</v>
      </c>
      <c r="M48" s="9"/>
      <c r="N48" s="10">
        <f t="shared" si="183"/>
        <v>0</v>
      </c>
      <c r="O48" s="9"/>
      <c r="P48" s="10">
        <f t="shared" si="184"/>
        <v>0</v>
      </c>
      <c r="Q48" s="9"/>
      <c r="R48" s="10">
        <f t="shared" si="185"/>
        <v>0</v>
      </c>
      <c r="S48" s="9"/>
      <c r="T48" s="10">
        <f t="shared" si="186"/>
        <v>0</v>
      </c>
      <c r="U48" s="9"/>
      <c r="V48" s="10">
        <f t="shared" si="187"/>
        <v>0</v>
      </c>
      <c r="W48" s="9"/>
      <c r="X48" s="10">
        <f t="shared" si="188"/>
        <v>0</v>
      </c>
      <c r="Y48" s="9"/>
      <c r="Z48" s="10">
        <f t="shared" si="189"/>
        <v>0</v>
      </c>
      <c r="AA48" s="9"/>
      <c r="AB48" s="10">
        <f t="shared" si="190"/>
        <v>0</v>
      </c>
      <c r="AC48" s="9"/>
      <c r="AD48" s="10">
        <f t="shared" si="191"/>
        <v>0</v>
      </c>
      <c r="AE48" s="11">
        <f t="shared" si="192"/>
        <v>0</v>
      </c>
      <c r="AF48" s="12">
        <f t="shared" si="193"/>
        <v>0</v>
      </c>
      <c r="AG48" s="9"/>
      <c r="AH48" s="10">
        <f t="shared" si="194"/>
        <v>0</v>
      </c>
      <c r="AI48" s="9"/>
      <c r="AJ48" s="10">
        <f t="shared" si="195"/>
        <v>0</v>
      </c>
      <c r="AK48" s="9"/>
      <c r="AL48" s="10">
        <f t="shared" si="196"/>
        <v>0</v>
      </c>
      <c r="AM48" s="9"/>
      <c r="AN48" s="10">
        <f t="shared" si="197"/>
        <v>0</v>
      </c>
      <c r="AO48" s="9"/>
      <c r="AP48" s="10">
        <f t="shared" si="198"/>
        <v>0</v>
      </c>
      <c r="AQ48" s="9"/>
      <c r="AR48" s="10">
        <f t="shared" si="199"/>
        <v>0</v>
      </c>
      <c r="AS48" s="9"/>
      <c r="AT48" s="10">
        <f t="shared" si="200"/>
        <v>0</v>
      </c>
      <c r="AU48" s="9"/>
      <c r="AV48" s="10">
        <f t="shared" si="201"/>
        <v>0</v>
      </c>
      <c r="AW48" s="9"/>
      <c r="AX48" s="10">
        <f t="shared" si="202"/>
        <v>0</v>
      </c>
      <c r="AY48" s="9"/>
      <c r="AZ48" s="10">
        <f t="shared" si="203"/>
        <v>0</v>
      </c>
      <c r="BA48" s="9"/>
      <c r="BB48" s="10">
        <f t="shared" si="204"/>
        <v>0</v>
      </c>
      <c r="BC48" s="9"/>
      <c r="BD48" s="10">
        <f t="shared" si="205"/>
        <v>0</v>
      </c>
      <c r="BE48" s="11">
        <f t="shared" si="206"/>
        <v>0</v>
      </c>
      <c r="BF48" s="12">
        <f t="shared" si="207"/>
        <v>0</v>
      </c>
      <c r="BG48" s="9"/>
      <c r="BH48" s="10">
        <f t="shared" si="208"/>
        <v>0</v>
      </c>
      <c r="BI48" s="9"/>
      <c r="BJ48" s="10">
        <f t="shared" si="209"/>
        <v>0</v>
      </c>
      <c r="BK48" s="9"/>
      <c r="BL48" s="10">
        <f t="shared" si="210"/>
        <v>0</v>
      </c>
      <c r="BM48" s="9"/>
      <c r="BN48" s="10">
        <f t="shared" si="211"/>
        <v>0</v>
      </c>
      <c r="BO48" s="9"/>
      <c r="BP48" s="10">
        <f t="shared" si="212"/>
        <v>0</v>
      </c>
      <c r="BQ48" s="9"/>
      <c r="BR48" s="10">
        <f t="shared" si="213"/>
        <v>0</v>
      </c>
      <c r="BS48" s="9"/>
      <c r="BT48" s="10">
        <f t="shared" si="214"/>
        <v>0</v>
      </c>
      <c r="BU48" s="9"/>
      <c r="BV48" s="10">
        <f t="shared" si="215"/>
        <v>0</v>
      </c>
      <c r="BW48" s="9"/>
      <c r="BX48" s="10">
        <f t="shared" si="216"/>
        <v>0</v>
      </c>
      <c r="BY48" s="9"/>
      <c r="BZ48" s="10">
        <f t="shared" si="217"/>
        <v>0</v>
      </c>
      <c r="CA48" s="9">
        <v>76</v>
      </c>
      <c r="CB48" s="10">
        <f t="shared" si="218"/>
        <v>26.599999999999998</v>
      </c>
      <c r="CC48" s="9"/>
      <c r="CD48" s="10">
        <f t="shared" si="219"/>
        <v>0</v>
      </c>
      <c r="CE48" s="19">
        <f t="shared" si="177"/>
        <v>0</v>
      </c>
      <c r="CF48" s="10">
        <f t="shared" si="178"/>
        <v>0</v>
      </c>
      <c r="CG48" s="11">
        <f t="shared" si="220"/>
        <v>6.333333333333333</v>
      </c>
      <c r="CH48" s="12">
        <f t="shared" si="221"/>
        <v>2.2166666666666663</v>
      </c>
      <c r="CI48" s="13"/>
      <c r="CJ48" s="10">
        <f t="shared" si="222"/>
        <v>0</v>
      </c>
      <c r="CK48" s="15"/>
      <c r="CL48" s="15"/>
      <c r="CM48" s="14"/>
      <c r="CN48" s="10">
        <f t="shared" si="222"/>
        <v>0</v>
      </c>
      <c r="CO48" s="14"/>
      <c r="CP48" s="15">
        <f t="shared" si="223"/>
        <v>0</v>
      </c>
      <c r="CQ48" s="14"/>
      <c r="CR48" s="15">
        <f t="shared" si="224"/>
        <v>0</v>
      </c>
      <c r="CS48" s="14"/>
      <c r="CT48" s="15">
        <f t="shared" si="225"/>
        <v>0</v>
      </c>
      <c r="CU48" s="14"/>
      <c r="CV48" s="15">
        <f t="shared" si="225"/>
        <v>0</v>
      </c>
      <c r="CW48" s="14"/>
      <c r="CX48" s="15">
        <f t="shared" si="226"/>
        <v>0</v>
      </c>
      <c r="CY48" s="14"/>
      <c r="CZ48" s="15">
        <f t="shared" si="227"/>
        <v>0</v>
      </c>
      <c r="DA48" s="14"/>
      <c r="DB48" s="15">
        <f t="shared" si="228"/>
        <v>0</v>
      </c>
      <c r="DC48" s="14"/>
      <c r="DD48" s="15">
        <f t="shared" si="229"/>
        <v>0</v>
      </c>
      <c r="DE48" s="14"/>
      <c r="DF48" s="15">
        <f t="shared" si="230"/>
        <v>0</v>
      </c>
      <c r="DG48" s="14"/>
      <c r="DH48" s="15">
        <f t="shared" si="231"/>
        <v>0</v>
      </c>
      <c r="DI48" s="14"/>
      <c r="DJ48" s="15">
        <f t="shared" si="232"/>
        <v>0</v>
      </c>
      <c r="DK48" s="16">
        <f t="shared" si="233"/>
        <v>0</v>
      </c>
      <c r="DL48" s="17">
        <f t="shared" si="234"/>
        <v>0</v>
      </c>
      <c r="DP48" s="88">
        <f t="shared" si="65"/>
        <v>0</v>
      </c>
      <c r="DQ48" s="89" t="e">
        <f t="shared" si="66"/>
        <v>#DIV/0!</v>
      </c>
      <c r="DR48" s="89">
        <f t="shared" si="67"/>
        <v>-100</v>
      </c>
      <c r="DW48" s="52">
        <f t="shared" si="179"/>
        <v>0</v>
      </c>
    </row>
    <row r="49" spans="1:127" hidden="1">
      <c r="A49" s="7">
        <v>120</v>
      </c>
      <c r="B49" s="20" t="s">
        <v>58</v>
      </c>
      <c r="C49" s="20" t="s">
        <v>14</v>
      </c>
      <c r="D49" s="7">
        <v>0.7</v>
      </c>
      <c r="E49" s="30" t="s">
        <v>59</v>
      </c>
      <c r="F49" s="21"/>
      <c r="G49" s="9"/>
      <c r="H49" s="10">
        <f t="shared" si="180"/>
        <v>0</v>
      </c>
      <c r="I49" s="9"/>
      <c r="J49" s="10">
        <f t="shared" si="181"/>
        <v>0</v>
      </c>
      <c r="K49" s="9"/>
      <c r="L49" s="10">
        <f t="shared" si="182"/>
        <v>0</v>
      </c>
      <c r="M49" s="9"/>
      <c r="N49" s="10">
        <f t="shared" si="183"/>
        <v>0</v>
      </c>
      <c r="O49" s="9"/>
      <c r="P49" s="10">
        <f t="shared" si="184"/>
        <v>0</v>
      </c>
      <c r="Q49" s="9"/>
      <c r="R49" s="10">
        <f t="shared" si="185"/>
        <v>0</v>
      </c>
      <c r="S49" s="9"/>
      <c r="T49" s="10">
        <f t="shared" si="186"/>
        <v>0</v>
      </c>
      <c r="U49" s="9"/>
      <c r="V49" s="10">
        <f t="shared" si="187"/>
        <v>0</v>
      </c>
      <c r="W49" s="9"/>
      <c r="X49" s="10">
        <f t="shared" si="188"/>
        <v>0</v>
      </c>
      <c r="Y49" s="9"/>
      <c r="Z49" s="10">
        <f t="shared" si="189"/>
        <v>0</v>
      </c>
      <c r="AA49" s="9"/>
      <c r="AB49" s="10">
        <f t="shared" si="190"/>
        <v>0</v>
      </c>
      <c r="AC49" s="9"/>
      <c r="AD49" s="10">
        <f t="shared" si="191"/>
        <v>0</v>
      </c>
      <c r="AE49" s="11">
        <f t="shared" si="192"/>
        <v>0</v>
      </c>
      <c r="AF49" s="12">
        <f t="shared" si="193"/>
        <v>0</v>
      </c>
      <c r="AG49" s="9"/>
      <c r="AH49" s="10">
        <f t="shared" si="194"/>
        <v>0</v>
      </c>
      <c r="AI49" s="9"/>
      <c r="AJ49" s="10">
        <f t="shared" si="195"/>
        <v>0</v>
      </c>
      <c r="AK49" s="9"/>
      <c r="AL49" s="10">
        <f t="shared" si="196"/>
        <v>0</v>
      </c>
      <c r="AM49" s="9"/>
      <c r="AN49" s="10">
        <f t="shared" si="197"/>
        <v>0</v>
      </c>
      <c r="AO49" s="9"/>
      <c r="AP49" s="10">
        <f t="shared" si="198"/>
        <v>0</v>
      </c>
      <c r="AQ49" s="9"/>
      <c r="AR49" s="10">
        <f t="shared" si="199"/>
        <v>0</v>
      </c>
      <c r="AS49" s="9"/>
      <c r="AT49" s="10">
        <f t="shared" si="200"/>
        <v>0</v>
      </c>
      <c r="AU49" s="9"/>
      <c r="AV49" s="10">
        <f t="shared" si="201"/>
        <v>0</v>
      </c>
      <c r="AW49" s="9"/>
      <c r="AX49" s="10">
        <f t="shared" si="202"/>
        <v>0</v>
      </c>
      <c r="AY49" s="9"/>
      <c r="AZ49" s="10">
        <f t="shared" si="203"/>
        <v>0</v>
      </c>
      <c r="BA49" s="9"/>
      <c r="BB49" s="10">
        <f t="shared" si="204"/>
        <v>0</v>
      </c>
      <c r="BC49" s="9"/>
      <c r="BD49" s="10">
        <f t="shared" si="205"/>
        <v>0</v>
      </c>
      <c r="BE49" s="11">
        <f t="shared" si="206"/>
        <v>0</v>
      </c>
      <c r="BF49" s="12">
        <f t="shared" si="207"/>
        <v>0</v>
      </c>
      <c r="BG49" s="9"/>
      <c r="BH49" s="10">
        <f t="shared" si="208"/>
        <v>0</v>
      </c>
      <c r="BI49" s="9"/>
      <c r="BJ49" s="10">
        <f t="shared" si="209"/>
        <v>0</v>
      </c>
      <c r="BK49" s="9"/>
      <c r="BL49" s="10">
        <f t="shared" si="210"/>
        <v>0</v>
      </c>
      <c r="BM49" s="9"/>
      <c r="BN49" s="10">
        <f t="shared" si="211"/>
        <v>0</v>
      </c>
      <c r="BO49" s="9"/>
      <c r="BP49" s="10">
        <f t="shared" si="212"/>
        <v>0</v>
      </c>
      <c r="BQ49" s="9"/>
      <c r="BR49" s="10">
        <f t="shared" si="213"/>
        <v>0</v>
      </c>
      <c r="BS49" s="9"/>
      <c r="BT49" s="10">
        <f t="shared" si="214"/>
        <v>0</v>
      </c>
      <c r="BU49" s="9"/>
      <c r="BV49" s="10">
        <f t="shared" si="215"/>
        <v>0</v>
      </c>
      <c r="BW49" s="9"/>
      <c r="BX49" s="10">
        <f t="shared" si="216"/>
        <v>0</v>
      </c>
      <c r="BY49" s="9"/>
      <c r="BZ49" s="10">
        <f t="shared" si="217"/>
        <v>0</v>
      </c>
      <c r="CA49" s="9"/>
      <c r="CB49" s="10">
        <f t="shared" si="218"/>
        <v>0</v>
      </c>
      <c r="CC49" s="9"/>
      <c r="CD49" s="10">
        <f t="shared" si="219"/>
        <v>0</v>
      </c>
      <c r="CE49" s="19">
        <f t="shared" si="177"/>
        <v>0</v>
      </c>
      <c r="CF49" s="10">
        <f t="shared" si="178"/>
        <v>0</v>
      </c>
      <c r="CG49" s="11">
        <f t="shared" si="220"/>
        <v>0</v>
      </c>
      <c r="CH49" s="12">
        <f t="shared" si="221"/>
        <v>0</v>
      </c>
      <c r="CI49" s="31"/>
      <c r="CJ49" s="10">
        <f t="shared" si="222"/>
        <v>0</v>
      </c>
      <c r="CK49" s="10"/>
      <c r="CL49" s="10"/>
      <c r="CM49" s="9"/>
      <c r="CN49" s="10">
        <f t="shared" si="222"/>
        <v>0</v>
      </c>
      <c r="CO49" s="9"/>
      <c r="CP49" s="10">
        <f t="shared" si="223"/>
        <v>0</v>
      </c>
      <c r="CQ49" s="9"/>
      <c r="CR49" s="10">
        <f t="shared" si="224"/>
        <v>0</v>
      </c>
      <c r="CS49" s="9"/>
      <c r="CT49" s="10">
        <f t="shared" si="225"/>
        <v>0</v>
      </c>
      <c r="CU49" s="9"/>
      <c r="CV49" s="10">
        <f t="shared" si="225"/>
        <v>0</v>
      </c>
      <c r="CW49" s="9"/>
      <c r="CX49" s="10">
        <f t="shared" si="226"/>
        <v>0</v>
      </c>
      <c r="CY49" s="9"/>
      <c r="CZ49" s="10">
        <f t="shared" si="227"/>
        <v>0</v>
      </c>
      <c r="DA49" s="9"/>
      <c r="DB49" s="10">
        <f t="shared" si="228"/>
        <v>0</v>
      </c>
      <c r="DC49" s="9"/>
      <c r="DD49" s="10">
        <f t="shared" si="229"/>
        <v>0</v>
      </c>
      <c r="DE49" s="9"/>
      <c r="DF49" s="10">
        <f t="shared" si="230"/>
        <v>0</v>
      </c>
      <c r="DG49" s="9"/>
      <c r="DH49" s="10">
        <f t="shared" si="231"/>
        <v>0</v>
      </c>
      <c r="DI49" s="9"/>
      <c r="DJ49" s="10">
        <f t="shared" si="232"/>
        <v>0</v>
      </c>
      <c r="DK49" s="19">
        <f t="shared" si="233"/>
        <v>0</v>
      </c>
      <c r="DL49" s="10">
        <f t="shared" si="234"/>
        <v>0</v>
      </c>
      <c r="DP49" s="88">
        <f t="shared" si="65"/>
        <v>0</v>
      </c>
      <c r="DQ49" s="89" t="e">
        <f t="shared" si="66"/>
        <v>#DIV/0!</v>
      </c>
      <c r="DR49" s="89" t="e">
        <f t="shared" si="67"/>
        <v>#DIV/0!</v>
      </c>
      <c r="DW49" s="52">
        <f t="shared" si="179"/>
        <v>0</v>
      </c>
    </row>
    <row r="50" spans="1:127" hidden="1">
      <c r="A50" s="32"/>
      <c r="B50" s="33"/>
      <c r="C50" s="33"/>
      <c r="D50" s="33"/>
      <c r="E50" s="34"/>
      <c r="F50" s="34"/>
      <c r="G50" s="9"/>
      <c r="H50" s="10"/>
      <c r="I50" s="9"/>
      <c r="J50" s="10"/>
      <c r="K50" s="9"/>
      <c r="L50" s="10"/>
      <c r="M50" s="9"/>
      <c r="N50" s="10"/>
      <c r="O50" s="9"/>
      <c r="P50" s="10"/>
      <c r="Q50" s="9"/>
      <c r="R50" s="10"/>
      <c r="S50" s="9"/>
      <c r="T50" s="10"/>
      <c r="U50" s="9"/>
      <c r="V50" s="10"/>
      <c r="W50" s="9"/>
      <c r="X50" s="10"/>
      <c r="Y50" s="9"/>
      <c r="Z50" s="10"/>
      <c r="AA50" s="9"/>
      <c r="AB50" s="10"/>
      <c r="AC50" s="9"/>
      <c r="AD50" s="10"/>
      <c r="AE50" s="11"/>
      <c r="AF50" s="12"/>
      <c r="AG50" s="9"/>
      <c r="AH50" s="10"/>
      <c r="AI50" s="9"/>
      <c r="AJ50" s="10"/>
      <c r="AK50" s="9"/>
      <c r="AL50" s="10"/>
      <c r="AM50" s="9"/>
      <c r="AN50" s="10"/>
      <c r="AO50" s="9"/>
      <c r="AP50" s="10"/>
      <c r="AQ50" s="9"/>
      <c r="AR50" s="10"/>
      <c r="AS50" s="9"/>
      <c r="AT50" s="10"/>
      <c r="AU50" s="9"/>
      <c r="AV50" s="10"/>
      <c r="AW50" s="9"/>
      <c r="AX50" s="10"/>
      <c r="AY50" s="9"/>
      <c r="AZ50" s="10"/>
      <c r="BA50" s="9"/>
      <c r="BB50" s="10"/>
      <c r="BC50" s="9"/>
      <c r="BD50" s="10"/>
      <c r="BE50" s="11"/>
      <c r="BF50" s="12"/>
      <c r="BG50" s="9"/>
      <c r="BH50" s="10"/>
      <c r="BI50" s="9"/>
      <c r="BJ50" s="10"/>
      <c r="BK50" s="9"/>
      <c r="BL50" s="10"/>
      <c r="BM50" s="9"/>
      <c r="BN50" s="10"/>
      <c r="BO50" s="9"/>
      <c r="BP50" s="10"/>
      <c r="BQ50" s="9"/>
      <c r="BR50" s="10"/>
      <c r="BS50" s="9"/>
      <c r="BT50" s="10"/>
      <c r="BU50" s="9"/>
      <c r="BV50" s="10"/>
      <c r="BW50" s="9"/>
      <c r="BX50" s="10"/>
      <c r="BY50" s="9"/>
      <c r="BZ50" s="10"/>
      <c r="CA50" s="9"/>
      <c r="CB50" s="10"/>
      <c r="CC50" s="9"/>
      <c r="CD50" s="10"/>
      <c r="CE50" s="19">
        <f t="shared" si="177"/>
        <v>0</v>
      </c>
      <c r="CF50" s="10">
        <f t="shared" si="178"/>
        <v>0</v>
      </c>
      <c r="CG50" s="11"/>
      <c r="CH50" s="12"/>
      <c r="CI50" s="9"/>
      <c r="CJ50" s="10"/>
      <c r="CK50" s="17"/>
      <c r="CL50" s="17"/>
      <c r="CM50" s="14"/>
      <c r="CN50" s="10"/>
      <c r="CO50" s="14"/>
      <c r="CP50" s="17"/>
      <c r="CQ50" s="14"/>
      <c r="CR50" s="17"/>
      <c r="CS50" s="14"/>
      <c r="CT50" s="17"/>
      <c r="CU50" s="14"/>
      <c r="CV50" s="17"/>
      <c r="CW50" s="14"/>
      <c r="CX50" s="17"/>
      <c r="CY50" s="14"/>
      <c r="CZ50" s="17"/>
      <c r="DA50" s="14"/>
      <c r="DB50" s="17"/>
      <c r="DC50" s="14"/>
      <c r="DD50" s="17"/>
      <c r="DE50" s="14"/>
      <c r="DF50" s="17"/>
      <c r="DG50" s="14"/>
      <c r="DH50" s="17"/>
      <c r="DI50" s="14"/>
      <c r="DJ50" s="17"/>
      <c r="DK50" s="16"/>
      <c r="DL50" s="17"/>
      <c r="DP50" s="88">
        <f t="shared" si="65"/>
        <v>0</v>
      </c>
      <c r="DQ50" s="89" t="e">
        <f t="shared" si="66"/>
        <v>#DIV/0!</v>
      </c>
      <c r="DR50" s="89" t="e">
        <f t="shared" si="67"/>
        <v>#DIV/0!</v>
      </c>
      <c r="DW50" s="52">
        <f t="shared" si="179"/>
        <v>0</v>
      </c>
    </row>
    <row r="51" spans="1:127" hidden="1">
      <c r="A51" s="35"/>
      <c r="B51" s="23" t="s">
        <v>60</v>
      </c>
      <c r="C51" s="23"/>
      <c r="D51" s="23"/>
      <c r="E51" s="25"/>
      <c r="F51" s="25"/>
      <c r="G51" s="26">
        <f t="shared" ref="G51:BR51" si="235">SUM(G37:G50)</f>
        <v>19216</v>
      </c>
      <c r="H51" s="27">
        <f t="shared" si="235"/>
        <v>9343.25</v>
      </c>
      <c r="I51" s="26">
        <f t="shared" si="235"/>
        <v>6781</v>
      </c>
      <c r="J51" s="27">
        <f t="shared" si="235"/>
        <v>2927.3999999999996</v>
      </c>
      <c r="K51" s="26">
        <f t="shared" si="235"/>
        <v>7169</v>
      </c>
      <c r="L51" s="27">
        <f t="shared" si="235"/>
        <v>3460.7999999999993</v>
      </c>
      <c r="M51" s="26">
        <f t="shared" si="235"/>
        <v>32435</v>
      </c>
      <c r="N51" s="27">
        <f t="shared" si="235"/>
        <v>11587.274999999998</v>
      </c>
      <c r="O51" s="26">
        <f t="shared" si="235"/>
        <v>5075</v>
      </c>
      <c r="P51" s="27">
        <f t="shared" si="235"/>
        <v>2334.5</v>
      </c>
      <c r="Q51" s="26">
        <f t="shared" si="235"/>
        <v>5630</v>
      </c>
      <c r="R51" s="27">
        <f t="shared" si="235"/>
        <v>2459.1</v>
      </c>
      <c r="S51" s="26">
        <f t="shared" si="235"/>
        <v>6830</v>
      </c>
      <c r="T51" s="27">
        <f t="shared" si="235"/>
        <v>3185.1750000000002</v>
      </c>
      <c r="U51" s="26">
        <f t="shared" si="235"/>
        <v>4334</v>
      </c>
      <c r="V51" s="27">
        <f t="shared" si="235"/>
        <v>2109.0999999999995</v>
      </c>
      <c r="W51" s="26">
        <f t="shared" si="235"/>
        <v>2373</v>
      </c>
      <c r="X51" s="27">
        <f t="shared" si="235"/>
        <v>1114.5749999999998</v>
      </c>
      <c r="Y51" s="26">
        <f t="shared" si="235"/>
        <v>2829</v>
      </c>
      <c r="Z51" s="27">
        <f t="shared" si="235"/>
        <v>1306.375</v>
      </c>
      <c r="AA51" s="26">
        <f t="shared" si="235"/>
        <v>2889</v>
      </c>
      <c r="AB51" s="27">
        <f t="shared" si="235"/>
        <v>1396.5</v>
      </c>
      <c r="AC51" s="26">
        <f t="shared" si="235"/>
        <v>4559</v>
      </c>
      <c r="AD51" s="27">
        <f t="shared" si="235"/>
        <v>2204.1249999999995</v>
      </c>
      <c r="AE51" s="28">
        <f t="shared" si="235"/>
        <v>8343.3333333333339</v>
      </c>
      <c r="AF51" s="29">
        <f t="shared" si="235"/>
        <v>3619.0145833333327</v>
      </c>
      <c r="AG51" s="26">
        <f t="shared" si="235"/>
        <v>4528</v>
      </c>
      <c r="AH51" s="27">
        <f t="shared" si="235"/>
        <v>1975.7499999999998</v>
      </c>
      <c r="AI51" s="26">
        <f t="shared" si="235"/>
        <v>3756</v>
      </c>
      <c r="AJ51" s="27">
        <f t="shared" si="235"/>
        <v>1774.4999999999998</v>
      </c>
      <c r="AK51" s="26">
        <f t="shared" si="235"/>
        <v>2101</v>
      </c>
      <c r="AL51" s="27">
        <f t="shared" si="235"/>
        <v>1064</v>
      </c>
      <c r="AM51" s="26">
        <f t="shared" si="235"/>
        <v>3165</v>
      </c>
      <c r="AN51" s="27">
        <f t="shared" si="235"/>
        <v>1365.7</v>
      </c>
      <c r="AO51" s="26">
        <f t="shared" si="235"/>
        <v>2082</v>
      </c>
      <c r="AP51" s="27">
        <f t="shared" si="235"/>
        <v>1032.675</v>
      </c>
      <c r="AQ51" s="26">
        <f t="shared" si="235"/>
        <v>2096</v>
      </c>
      <c r="AR51" s="27">
        <f t="shared" si="235"/>
        <v>1024.0999999999999</v>
      </c>
      <c r="AS51" s="26">
        <f t="shared" si="235"/>
        <v>1732</v>
      </c>
      <c r="AT51" s="27">
        <f t="shared" si="235"/>
        <v>858.375</v>
      </c>
      <c r="AU51" s="26">
        <f t="shared" si="235"/>
        <v>2122</v>
      </c>
      <c r="AV51" s="27">
        <f t="shared" si="235"/>
        <v>1006.0749999999999</v>
      </c>
      <c r="AW51" s="26">
        <f t="shared" si="235"/>
        <v>2222</v>
      </c>
      <c r="AX51" s="27">
        <f t="shared" si="235"/>
        <v>1019.2</v>
      </c>
      <c r="AY51" s="26">
        <f t="shared" si="235"/>
        <v>2467</v>
      </c>
      <c r="AZ51" s="27">
        <f t="shared" si="235"/>
        <v>941.84999999999991</v>
      </c>
      <c r="BA51" s="26">
        <f t="shared" si="235"/>
        <v>1565</v>
      </c>
      <c r="BB51" s="27">
        <f t="shared" si="235"/>
        <v>766.5</v>
      </c>
      <c r="BC51" s="26">
        <f t="shared" si="235"/>
        <v>5955</v>
      </c>
      <c r="BD51" s="27">
        <f t="shared" si="235"/>
        <v>2243.3249999999998</v>
      </c>
      <c r="BE51" s="28">
        <f t="shared" si="235"/>
        <v>2815.916666666667</v>
      </c>
      <c r="BF51" s="29">
        <f t="shared" si="235"/>
        <v>1256.0041666666666</v>
      </c>
      <c r="BG51" s="26">
        <f t="shared" si="235"/>
        <v>1752</v>
      </c>
      <c r="BH51" s="27">
        <f t="shared" si="235"/>
        <v>907.19999999999993</v>
      </c>
      <c r="BI51" s="26">
        <f t="shared" si="235"/>
        <v>2206</v>
      </c>
      <c r="BJ51" s="27">
        <f t="shared" si="235"/>
        <v>1138.375</v>
      </c>
      <c r="BK51" s="26">
        <f t="shared" si="235"/>
        <v>3341</v>
      </c>
      <c r="BL51" s="27">
        <f t="shared" si="235"/>
        <v>1520.7499999999998</v>
      </c>
      <c r="BM51" s="26">
        <f t="shared" si="235"/>
        <v>1913</v>
      </c>
      <c r="BN51" s="27">
        <f t="shared" si="235"/>
        <v>821.09999999999991</v>
      </c>
      <c r="BO51" s="26">
        <f t="shared" si="235"/>
        <v>1068</v>
      </c>
      <c r="BP51" s="27">
        <f t="shared" si="235"/>
        <v>489.65</v>
      </c>
      <c r="BQ51" s="26">
        <f t="shared" si="235"/>
        <v>1632</v>
      </c>
      <c r="BR51" s="27">
        <f t="shared" si="235"/>
        <v>763.17499999999995</v>
      </c>
      <c r="BS51" s="26">
        <f t="shared" ref="BS51:DL51" si="236">SUM(BS37:BS50)</f>
        <v>2029</v>
      </c>
      <c r="BT51" s="27">
        <f t="shared" si="236"/>
        <v>1096.1999999999998</v>
      </c>
      <c r="BU51" s="26">
        <f t="shared" si="236"/>
        <v>2274</v>
      </c>
      <c r="BV51" s="27">
        <f t="shared" si="236"/>
        <v>942.89999999999986</v>
      </c>
      <c r="BW51" s="26">
        <f t="shared" si="236"/>
        <v>1207</v>
      </c>
      <c r="BX51" s="27">
        <f t="shared" si="236"/>
        <v>451.14999999999992</v>
      </c>
      <c r="BY51" s="26">
        <f t="shared" si="236"/>
        <v>1780</v>
      </c>
      <c r="BZ51" s="27">
        <f t="shared" si="236"/>
        <v>739.375</v>
      </c>
      <c r="CA51" s="26">
        <f t="shared" si="236"/>
        <v>1518</v>
      </c>
      <c r="CB51" s="27">
        <f t="shared" si="236"/>
        <v>572.59999999999991</v>
      </c>
      <c r="CC51" s="26">
        <f t="shared" si="236"/>
        <v>401</v>
      </c>
      <c r="CD51" s="27">
        <f t="shared" si="236"/>
        <v>170.1</v>
      </c>
      <c r="CE51" s="19">
        <f t="shared" si="177"/>
        <v>2056</v>
      </c>
      <c r="CF51" s="10">
        <f t="shared" si="178"/>
        <v>975.41499999999974</v>
      </c>
      <c r="CG51" s="28">
        <f t="shared" si="236"/>
        <v>1760.0833333333333</v>
      </c>
      <c r="CH51" s="29">
        <f t="shared" si="236"/>
        <v>801.04791666666665</v>
      </c>
      <c r="CI51" s="26">
        <f t="shared" si="236"/>
        <v>1752</v>
      </c>
      <c r="CJ51" s="27">
        <f t="shared" si="236"/>
        <v>797.65</v>
      </c>
      <c r="CK51" s="27"/>
      <c r="CL51" s="27"/>
      <c r="CM51" s="26">
        <f t="shared" si="236"/>
        <v>397</v>
      </c>
      <c r="CN51" s="27">
        <f t="shared" si="236"/>
        <v>118.29999999999998</v>
      </c>
      <c r="CO51" s="26">
        <f t="shared" si="236"/>
        <v>540</v>
      </c>
      <c r="CP51" s="27">
        <f t="shared" si="236"/>
        <v>211.04999999999998</v>
      </c>
      <c r="CQ51" s="26">
        <f t="shared" si="236"/>
        <v>180</v>
      </c>
      <c r="CR51" s="27">
        <f t="shared" si="236"/>
        <v>67.199999999999989</v>
      </c>
      <c r="CS51" s="26">
        <f t="shared" si="236"/>
        <v>320</v>
      </c>
      <c r="CT51" s="27">
        <f t="shared" si="236"/>
        <v>127.04999999999998</v>
      </c>
      <c r="CU51" s="26">
        <f t="shared" si="236"/>
        <v>499</v>
      </c>
      <c r="CV51" s="27">
        <f t="shared" si="236"/>
        <v>152.42500000000001</v>
      </c>
      <c r="CW51" s="26">
        <f t="shared" si="236"/>
        <v>0</v>
      </c>
      <c r="CX51" s="27">
        <f t="shared" si="236"/>
        <v>0</v>
      </c>
      <c r="CY51" s="26">
        <f t="shared" si="236"/>
        <v>0</v>
      </c>
      <c r="CZ51" s="27">
        <f t="shared" si="236"/>
        <v>0</v>
      </c>
      <c r="DA51" s="26">
        <f t="shared" si="236"/>
        <v>0</v>
      </c>
      <c r="DB51" s="27">
        <f t="shared" si="236"/>
        <v>0</v>
      </c>
      <c r="DC51" s="26">
        <f t="shared" si="236"/>
        <v>0</v>
      </c>
      <c r="DD51" s="27">
        <f t="shared" si="236"/>
        <v>0</v>
      </c>
      <c r="DE51" s="26">
        <f t="shared" si="236"/>
        <v>0</v>
      </c>
      <c r="DF51" s="27">
        <f t="shared" si="236"/>
        <v>0</v>
      </c>
      <c r="DG51" s="26">
        <f t="shared" si="236"/>
        <v>0</v>
      </c>
      <c r="DH51" s="27">
        <f t="shared" si="236"/>
        <v>0</v>
      </c>
      <c r="DI51" s="26">
        <f t="shared" si="236"/>
        <v>0</v>
      </c>
      <c r="DJ51" s="27">
        <f t="shared" si="236"/>
        <v>0</v>
      </c>
      <c r="DK51" s="26">
        <f t="shared" si="236"/>
        <v>1936</v>
      </c>
      <c r="DL51" s="27">
        <f t="shared" si="236"/>
        <v>676.02499999999986</v>
      </c>
      <c r="DP51" s="88">
        <f t="shared" si="65"/>
        <v>0</v>
      </c>
      <c r="DQ51" s="89">
        <f t="shared" si="66"/>
        <v>-100</v>
      </c>
      <c r="DR51" s="89">
        <f t="shared" si="67"/>
        <v>-100</v>
      </c>
      <c r="DW51" s="52">
        <f t="shared" si="179"/>
        <v>0</v>
      </c>
    </row>
    <row r="52" spans="1:127" hidden="1">
      <c r="A52" s="36"/>
      <c r="B52" s="24" t="s">
        <v>61</v>
      </c>
      <c r="C52" s="24"/>
      <c r="D52" s="24"/>
      <c r="E52" s="24"/>
      <c r="F52" s="24"/>
      <c r="G52" s="37">
        <f t="shared" ref="G52:BR52" si="237">+G36+G51</f>
        <v>673307</v>
      </c>
      <c r="H52" s="38">
        <f t="shared" si="237"/>
        <v>434360.31</v>
      </c>
      <c r="I52" s="37">
        <f t="shared" si="237"/>
        <v>635325</v>
      </c>
      <c r="J52" s="38">
        <f t="shared" si="237"/>
        <v>409965.08000000007</v>
      </c>
      <c r="K52" s="37">
        <f t="shared" si="237"/>
        <v>722475</v>
      </c>
      <c r="L52" s="38">
        <f t="shared" si="237"/>
        <v>469569.64</v>
      </c>
      <c r="M52" s="37">
        <f t="shared" si="237"/>
        <v>565018</v>
      </c>
      <c r="N52" s="38">
        <f t="shared" si="237"/>
        <v>358186.65500000003</v>
      </c>
      <c r="O52" s="37">
        <f t="shared" si="237"/>
        <v>564244</v>
      </c>
      <c r="P52" s="38">
        <f t="shared" si="237"/>
        <v>364154.08000000007</v>
      </c>
      <c r="Q52" s="37">
        <f t="shared" si="237"/>
        <v>652490</v>
      </c>
      <c r="R52" s="38">
        <f t="shared" si="237"/>
        <v>420300.77999999991</v>
      </c>
      <c r="S52" s="37">
        <f t="shared" si="237"/>
        <v>647908</v>
      </c>
      <c r="T52" s="38">
        <f t="shared" si="237"/>
        <v>418437.21500000008</v>
      </c>
      <c r="U52" s="37">
        <f t="shared" si="237"/>
        <v>719553</v>
      </c>
      <c r="V52" s="38">
        <f t="shared" si="237"/>
        <v>466812.68000000005</v>
      </c>
      <c r="W52" s="37">
        <f t="shared" si="237"/>
        <v>633387</v>
      </c>
      <c r="X52" s="38">
        <f t="shared" si="237"/>
        <v>408968.65500000009</v>
      </c>
      <c r="Y52" s="37">
        <f t="shared" si="237"/>
        <v>599383</v>
      </c>
      <c r="Z52" s="38">
        <f t="shared" si="237"/>
        <v>386824.28500000003</v>
      </c>
      <c r="AA52" s="37">
        <f t="shared" si="237"/>
        <v>667503</v>
      </c>
      <c r="AB52" s="38">
        <f t="shared" si="237"/>
        <v>432396.74000000005</v>
      </c>
      <c r="AC52" s="37">
        <f t="shared" si="237"/>
        <v>726650</v>
      </c>
      <c r="AD52" s="38">
        <f t="shared" si="237"/>
        <v>468939.51500000001</v>
      </c>
      <c r="AE52" s="39">
        <f t="shared" si="237"/>
        <v>650603.58333333337</v>
      </c>
      <c r="AF52" s="29">
        <f t="shared" si="237"/>
        <v>419909.63624999998</v>
      </c>
      <c r="AG52" s="37">
        <f t="shared" si="237"/>
        <v>700686</v>
      </c>
      <c r="AH52" s="38">
        <f t="shared" si="237"/>
        <v>452951.16</v>
      </c>
      <c r="AI52" s="37">
        <f t="shared" si="237"/>
        <v>586745</v>
      </c>
      <c r="AJ52" s="38">
        <f t="shared" si="237"/>
        <v>378003.1</v>
      </c>
      <c r="AK52" s="37">
        <f t="shared" si="237"/>
        <v>564026</v>
      </c>
      <c r="AL52" s="38">
        <f t="shared" si="237"/>
        <v>365983.43</v>
      </c>
      <c r="AM52" s="37">
        <f t="shared" si="237"/>
        <v>568040</v>
      </c>
      <c r="AN52" s="38">
        <f t="shared" si="237"/>
        <v>367781.27000000008</v>
      </c>
      <c r="AO52" s="37">
        <f t="shared" si="237"/>
        <v>478139</v>
      </c>
      <c r="AP52" s="38">
        <f t="shared" si="237"/>
        <v>310902.64500000002</v>
      </c>
      <c r="AQ52" s="37">
        <f t="shared" si="237"/>
        <v>602441</v>
      </c>
      <c r="AR52" s="38">
        <f t="shared" si="237"/>
        <v>390590.63999999996</v>
      </c>
      <c r="AS52" s="37">
        <f t="shared" si="237"/>
        <v>656344</v>
      </c>
      <c r="AT52" s="38">
        <f t="shared" si="237"/>
        <v>425742.52500000002</v>
      </c>
      <c r="AU52" s="37">
        <f t="shared" si="237"/>
        <v>629458</v>
      </c>
      <c r="AV52" s="38">
        <f t="shared" si="237"/>
        <v>406654.19500000007</v>
      </c>
      <c r="AW52" s="37">
        <f t="shared" si="237"/>
        <v>616621</v>
      </c>
      <c r="AX52" s="38">
        <f t="shared" si="237"/>
        <v>399341.25000000006</v>
      </c>
      <c r="AY52" s="37">
        <f t="shared" si="237"/>
        <v>665349</v>
      </c>
      <c r="AZ52" s="38">
        <f t="shared" si="237"/>
        <v>429634.99</v>
      </c>
      <c r="BA52" s="37">
        <f t="shared" si="237"/>
        <v>679818</v>
      </c>
      <c r="BB52" s="38">
        <f t="shared" si="237"/>
        <v>441654.64000000007</v>
      </c>
      <c r="BC52" s="37">
        <f t="shared" si="237"/>
        <v>852653</v>
      </c>
      <c r="BD52" s="38">
        <f t="shared" si="237"/>
        <v>550908.30500000005</v>
      </c>
      <c r="BE52" s="39">
        <f t="shared" si="237"/>
        <v>633360.00000000012</v>
      </c>
      <c r="BF52" s="29">
        <f t="shared" si="237"/>
        <v>410012.34583333327</v>
      </c>
      <c r="BG52" s="37">
        <f t="shared" si="237"/>
        <v>950930</v>
      </c>
      <c r="BH52" s="38">
        <f t="shared" si="237"/>
        <v>614419.39999999991</v>
      </c>
      <c r="BI52" s="37">
        <f t="shared" si="237"/>
        <v>775985</v>
      </c>
      <c r="BJ52" s="38">
        <f t="shared" si="237"/>
        <v>501687.05499999993</v>
      </c>
      <c r="BK52" s="37">
        <f t="shared" si="237"/>
        <v>797449</v>
      </c>
      <c r="BL52" s="38">
        <f t="shared" si="237"/>
        <v>514439.88999999996</v>
      </c>
      <c r="BM52" s="37">
        <f t="shared" si="237"/>
        <v>750991</v>
      </c>
      <c r="BN52" s="38">
        <f t="shared" si="237"/>
        <v>487358.1</v>
      </c>
      <c r="BO52" s="37">
        <f t="shared" si="237"/>
        <v>841660</v>
      </c>
      <c r="BP52" s="38">
        <f t="shared" si="237"/>
        <v>541704.71000000008</v>
      </c>
      <c r="BQ52" s="37">
        <f t="shared" si="237"/>
        <v>822028</v>
      </c>
      <c r="BR52" s="38">
        <f t="shared" si="237"/>
        <v>530600.14500000014</v>
      </c>
      <c r="BS52" s="37">
        <f t="shared" ref="BS52:DL52" si="238">+BS36+BS51</f>
        <v>870166</v>
      </c>
      <c r="BT52" s="38">
        <f t="shared" si="238"/>
        <v>562774.81999999995</v>
      </c>
      <c r="BU52" s="37">
        <f t="shared" si="238"/>
        <v>866931</v>
      </c>
      <c r="BV52" s="38">
        <f t="shared" si="238"/>
        <v>561856.58000000007</v>
      </c>
      <c r="BW52" s="37">
        <f t="shared" si="238"/>
        <v>902848</v>
      </c>
      <c r="BX52" s="38">
        <f t="shared" si="238"/>
        <v>584416.41</v>
      </c>
      <c r="BY52" s="37">
        <f t="shared" si="238"/>
        <v>948196</v>
      </c>
      <c r="BZ52" s="38">
        <f t="shared" si="238"/>
        <v>616091.02500000002</v>
      </c>
      <c r="CA52" s="37">
        <f t="shared" si="238"/>
        <v>918548</v>
      </c>
      <c r="CB52" s="38">
        <f t="shared" si="238"/>
        <v>596407.62</v>
      </c>
      <c r="CC52" s="37">
        <f t="shared" si="238"/>
        <v>1013832</v>
      </c>
      <c r="CD52" s="38">
        <f t="shared" si="238"/>
        <v>662323.54</v>
      </c>
      <c r="CE52" s="19">
        <f t="shared" si="177"/>
        <v>823403</v>
      </c>
      <c r="CF52" s="10">
        <f t="shared" si="178"/>
        <v>531921.83100000001</v>
      </c>
      <c r="CG52" s="39">
        <f t="shared" si="238"/>
        <v>871630.33333333337</v>
      </c>
      <c r="CH52" s="29">
        <f t="shared" si="238"/>
        <v>564506.60791666666</v>
      </c>
      <c r="CI52" s="37">
        <f t="shared" si="238"/>
        <v>878551</v>
      </c>
      <c r="CJ52" s="38">
        <f t="shared" si="238"/>
        <v>568660.41</v>
      </c>
      <c r="CK52" s="38"/>
      <c r="CL52" s="38"/>
      <c r="CM52" s="37">
        <f t="shared" si="238"/>
        <v>966149</v>
      </c>
      <c r="CN52" s="38">
        <f t="shared" si="238"/>
        <v>631951.18000000005</v>
      </c>
      <c r="CO52" s="37">
        <f t="shared" si="238"/>
        <v>819391</v>
      </c>
      <c r="CP52" s="38">
        <f t="shared" si="238"/>
        <v>533039.53</v>
      </c>
      <c r="CQ52" s="37">
        <f t="shared" si="238"/>
        <v>1020734</v>
      </c>
      <c r="CR52" s="38">
        <f t="shared" si="238"/>
        <v>677415.91999999993</v>
      </c>
      <c r="CS52" s="37">
        <f t="shared" si="238"/>
        <v>803419</v>
      </c>
      <c r="CT52" s="38">
        <f t="shared" si="238"/>
        <v>524739.30000000005</v>
      </c>
      <c r="CU52" s="37">
        <f t="shared" si="238"/>
        <v>889239</v>
      </c>
      <c r="CV52" s="38">
        <f t="shared" si="238"/>
        <v>583333.91500000015</v>
      </c>
      <c r="CW52" s="37">
        <f t="shared" si="238"/>
        <v>884247</v>
      </c>
      <c r="CX52" s="38">
        <f t="shared" si="238"/>
        <v>578612.40000000014</v>
      </c>
      <c r="CY52" s="37">
        <f t="shared" si="238"/>
        <v>0</v>
      </c>
      <c r="CZ52" s="38">
        <f t="shared" si="238"/>
        <v>0</v>
      </c>
      <c r="DA52" s="37">
        <f t="shared" si="238"/>
        <v>0</v>
      </c>
      <c r="DB52" s="38">
        <f t="shared" si="238"/>
        <v>0</v>
      </c>
      <c r="DC52" s="37">
        <f t="shared" si="238"/>
        <v>0</v>
      </c>
      <c r="DD52" s="38">
        <f t="shared" si="238"/>
        <v>0</v>
      </c>
      <c r="DE52" s="37">
        <f t="shared" si="238"/>
        <v>0</v>
      </c>
      <c r="DF52" s="38">
        <f t="shared" si="238"/>
        <v>0</v>
      </c>
      <c r="DG52" s="37">
        <f t="shared" si="238"/>
        <v>0</v>
      </c>
      <c r="DH52" s="38">
        <f t="shared" si="238"/>
        <v>0</v>
      </c>
      <c r="DI52" s="37">
        <f t="shared" si="238"/>
        <v>0</v>
      </c>
      <c r="DJ52" s="38">
        <f t="shared" si="238"/>
        <v>0</v>
      </c>
      <c r="DK52" s="37">
        <f t="shared" si="238"/>
        <v>5383179</v>
      </c>
      <c r="DL52" s="38">
        <f t="shared" si="238"/>
        <v>3529092.2449999996</v>
      </c>
      <c r="DP52" s="88">
        <f t="shared" si="65"/>
        <v>0</v>
      </c>
      <c r="DQ52" s="89">
        <f t="shared" si="66"/>
        <v>-100</v>
      </c>
      <c r="DR52" s="89">
        <f t="shared" si="67"/>
        <v>-100</v>
      </c>
      <c r="DW52" s="52">
        <f t="shared" si="179"/>
        <v>0</v>
      </c>
    </row>
    <row r="53" spans="1:127" ht="21.75" customHeight="1">
      <c r="DS53" s="242"/>
    </row>
    <row r="54" spans="1:127" ht="21.75" customHeight="1"/>
    <row r="55" spans="1:127">
      <c r="CO55" s="43"/>
      <c r="CP55" s="44"/>
      <c r="CQ55" s="43"/>
      <c r="CR55" s="44"/>
      <c r="CS55" s="43"/>
      <c r="CT55" s="44"/>
      <c r="CU55" s="43"/>
      <c r="CV55" s="44"/>
      <c r="CY55" s="45"/>
      <c r="CZ55" s="46"/>
      <c r="DA55" s="43"/>
      <c r="DB55" s="44"/>
    </row>
    <row r="56" spans="1:127">
      <c r="DE56" s="43"/>
      <c r="DF56" s="44"/>
    </row>
    <row r="57" spans="1:127" ht="21.75" customHeight="1"/>
    <row r="58" spans="1:127" ht="21.75" customHeight="1"/>
    <row r="59" spans="1:127" ht="21.75" customHeight="1"/>
    <row r="60" spans="1:127" ht="21.75" customHeight="1"/>
    <row r="61" spans="1:127" ht="21.75" customHeight="1"/>
    <row r="62" spans="1:127" ht="21.75" customHeight="1"/>
    <row r="63" spans="1:127" ht="21.75" customHeight="1"/>
    <row r="64" spans="1:127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</sheetData>
  <autoFilter ref="A3:DL36" xr:uid="{A4E89EC6-DB86-4950-8C64-4AF394FD3E96}"/>
  <mergeCells count="66">
    <mergeCell ref="DS1:DV1"/>
    <mergeCell ref="DW1:DW3"/>
    <mergeCell ref="DP2:DP3"/>
    <mergeCell ref="DS2:DT2"/>
    <mergeCell ref="CE2:CF2"/>
    <mergeCell ref="DM2:DN2"/>
    <mergeCell ref="CQ2:CR2"/>
    <mergeCell ref="DI2:DJ2"/>
    <mergeCell ref="DK2:DL2"/>
    <mergeCell ref="BQ2:BR2"/>
    <mergeCell ref="BS2:BT2"/>
    <mergeCell ref="BU2:BV2"/>
    <mergeCell ref="BW2:BX2"/>
    <mergeCell ref="BY2:BZ2"/>
    <mergeCell ref="BC2:BD2"/>
    <mergeCell ref="BE2:BF2"/>
    <mergeCell ref="BG2:BH2"/>
    <mergeCell ref="BI2:BJ2"/>
    <mergeCell ref="BK2:BL2"/>
    <mergeCell ref="AS2:AT2"/>
    <mergeCell ref="AU2:AV2"/>
    <mergeCell ref="AW2:AX2"/>
    <mergeCell ref="AY2:AZ2"/>
    <mergeCell ref="BA2:BB2"/>
    <mergeCell ref="A1:F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N2"/>
    <mergeCell ref="O2:P2"/>
    <mergeCell ref="Q2:R2"/>
    <mergeCell ref="AQ2:AR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S2:T2"/>
    <mergeCell ref="BM2:BN2"/>
    <mergeCell ref="CM2:CN2"/>
    <mergeCell ref="CO2:CP2"/>
    <mergeCell ref="DE2:DF2"/>
    <mergeCell ref="DG2:DH2"/>
    <mergeCell ref="CS2:CT2"/>
    <mergeCell ref="CU2:CV2"/>
    <mergeCell ref="CW2:CX2"/>
    <mergeCell ref="CY2:CZ2"/>
    <mergeCell ref="DA2:DB2"/>
    <mergeCell ref="DC2:DD2"/>
    <mergeCell ref="CA2:CB2"/>
    <mergeCell ref="CC2:CD2"/>
    <mergeCell ref="CG2:CH2"/>
    <mergeCell ref="CI2:CJ2"/>
    <mergeCell ref="BO2:BP2"/>
  </mergeCells>
  <pageMargins left="0" right="0" top="0" bottom="0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8A2C-DD16-4825-9A8D-2D6314D8F206}">
  <dimension ref="B1:V41"/>
  <sheetViews>
    <sheetView tabSelected="1" topLeftCell="A16" zoomScale="70" zoomScaleNormal="70" workbookViewId="0">
      <selection activeCell="K33" sqref="K33"/>
    </sheetView>
  </sheetViews>
  <sheetFormatPr defaultRowHeight="20.399999999999999"/>
  <cols>
    <col min="2" max="2" width="15.6640625" bestFit="1" customWidth="1"/>
    <col min="3" max="3" width="16.88671875" bestFit="1" customWidth="1"/>
    <col min="4" max="4" width="38.88671875" bestFit="1" customWidth="1"/>
    <col min="5" max="5" width="49.77734375" bestFit="1" customWidth="1"/>
    <col min="6" max="10" width="7.88671875" bestFit="1" customWidth="1"/>
    <col min="11" max="12" width="9.33203125" bestFit="1" customWidth="1"/>
    <col min="13" max="13" width="11" bestFit="1" customWidth="1"/>
    <col min="14" max="14" width="9.33203125" bestFit="1" customWidth="1"/>
    <col min="15" max="15" width="11.6640625" bestFit="1" customWidth="1"/>
    <col min="16" max="16" width="13.33203125" bestFit="1" customWidth="1"/>
    <col min="17" max="17" width="10.6640625" bestFit="1" customWidth="1"/>
  </cols>
  <sheetData>
    <row r="1" spans="2:22">
      <c r="B1" s="379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1"/>
      <c r="P1" s="382"/>
      <c r="Q1" s="367"/>
    </row>
    <row r="2" spans="2:22">
      <c r="B2" s="840" t="s">
        <v>0</v>
      </c>
      <c r="C2" s="835" t="s">
        <v>192</v>
      </c>
      <c r="D2" s="835"/>
      <c r="E2" s="835"/>
      <c r="F2" s="836" t="s">
        <v>193</v>
      </c>
      <c r="G2" s="836"/>
      <c r="H2" s="836"/>
      <c r="I2" s="837" t="s">
        <v>194</v>
      </c>
      <c r="J2" s="837"/>
      <c r="K2" s="837"/>
      <c r="L2" s="838" t="s">
        <v>195</v>
      </c>
      <c r="M2" s="838"/>
      <c r="N2" s="839"/>
      <c r="O2" s="364"/>
      <c r="P2" s="366"/>
      <c r="Q2" s="368"/>
    </row>
    <row r="3" spans="2:22" ht="21" thickBot="1">
      <c r="B3" s="841"/>
      <c r="C3" s="383" t="s">
        <v>115</v>
      </c>
      <c r="D3" s="384" t="s">
        <v>116</v>
      </c>
      <c r="E3" s="384" t="s">
        <v>85</v>
      </c>
      <c r="F3" s="385" t="s">
        <v>86</v>
      </c>
      <c r="G3" s="385" t="s">
        <v>87</v>
      </c>
      <c r="H3" s="385" t="s">
        <v>88</v>
      </c>
      <c r="I3" s="386" t="s">
        <v>89</v>
      </c>
      <c r="J3" s="386" t="s">
        <v>90</v>
      </c>
      <c r="K3" s="386" t="s">
        <v>123</v>
      </c>
      <c r="L3" s="387" t="s">
        <v>92</v>
      </c>
      <c r="M3" s="387" t="s">
        <v>93</v>
      </c>
      <c r="N3" s="388" t="s">
        <v>94</v>
      </c>
      <c r="O3" s="387" t="s">
        <v>328</v>
      </c>
      <c r="P3" s="388" t="s">
        <v>95</v>
      </c>
      <c r="Q3" s="389" t="s">
        <v>67</v>
      </c>
    </row>
    <row r="4" spans="2:22">
      <c r="B4" s="371" t="s">
        <v>196</v>
      </c>
      <c r="C4" s="372">
        <v>1003246.6764725542</v>
      </c>
      <c r="D4" s="372">
        <v>1003247</v>
      </c>
      <c r="E4" s="372"/>
      <c r="F4" s="373"/>
      <c r="G4" s="373"/>
      <c r="H4" s="373"/>
      <c r="I4" s="374"/>
      <c r="J4" s="374"/>
      <c r="K4" s="374"/>
      <c r="L4" s="375"/>
      <c r="M4" s="375"/>
      <c r="N4" s="376"/>
      <c r="O4" s="377">
        <f>SUM(C4:N4)</f>
        <v>2006493.6764725542</v>
      </c>
      <c r="P4" s="499">
        <f>O4/2</f>
        <v>1003246.8382362771</v>
      </c>
      <c r="Q4" s="378"/>
    </row>
    <row r="5" spans="2:22">
      <c r="B5" s="340" t="s">
        <v>197</v>
      </c>
      <c r="C5" s="319">
        <v>664538.2464239999</v>
      </c>
      <c r="D5" s="319">
        <v>664538</v>
      </c>
      <c r="E5" s="319"/>
      <c r="F5" s="320"/>
      <c r="G5" s="320"/>
      <c r="H5" s="320"/>
      <c r="I5" s="321"/>
      <c r="J5" s="321"/>
      <c r="K5" s="321"/>
      <c r="L5" s="322"/>
      <c r="M5" s="322"/>
      <c r="N5" s="357"/>
      <c r="O5" s="365">
        <f t="shared" ref="O5:O11" si="0">SUM(C5:N5)</f>
        <v>1329076.2464239998</v>
      </c>
      <c r="P5" s="499">
        <f t="shared" ref="P5:P11" si="1">O5/2</f>
        <v>664538.12321199989</v>
      </c>
      <c r="Q5" s="368"/>
    </row>
    <row r="6" spans="2:22">
      <c r="B6" s="341" t="s">
        <v>198</v>
      </c>
      <c r="C6" s="323">
        <v>729352</v>
      </c>
      <c r="D6" s="323">
        <v>650576</v>
      </c>
      <c r="E6" s="342"/>
      <c r="F6" s="324"/>
      <c r="G6" s="324"/>
      <c r="H6" s="324"/>
      <c r="I6" s="343"/>
      <c r="J6" s="325"/>
      <c r="K6" s="325"/>
      <c r="L6" s="344"/>
      <c r="M6" s="497"/>
      <c r="N6" s="358"/>
      <c r="O6" s="365">
        <f t="shared" si="0"/>
        <v>1379928</v>
      </c>
      <c r="P6" s="499">
        <f t="shared" si="1"/>
        <v>689964</v>
      </c>
      <c r="Q6" s="369">
        <f>P6/P10%</f>
        <v>88.871199591943977</v>
      </c>
    </row>
    <row r="7" spans="2:22">
      <c r="B7" s="341" t="s">
        <v>199</v>
      </c>
      <c r="C7" s="323">
        <v>28054</v>
      </c>
      <c r="D7" s="323">
        <v>21814</v>
      </c>
      <c r="E7" s="342"/>
      <c r="F7" s="324"/>
      <c r="G7" s="324"/>
      <c r="H7" s="324"/>
      <c r="I7" s="343"/>
      <c r="J7" s="325"/>
      <c r="K7" s="325"/>
      <c r="L7" s="344"/>
      <c r="M7" s="497"/>
      <c r="N7" s="358"/>
      <c r="O7" s="365">
        <f t="shared" si="0"/>
        <v>49868</v>
      </c>
      <c r="P7" s="499">
        <f t="shared" si="1"/>
        <v>24934</v>
      </c>
      <c r="Q7" s="369">
        <f>P7/P10%</f>
        <v>3.2116378399822763</v>
      </c>
    </row>
    <row r="8" spans="2:22">
      <c r="B8" s="341"/>
      <c r="C8" s="323"/>
      <c r="D8" s="323"/>
      <c r="E8" s="345"/>
      <c r="F8" s="326"/>
      <c r="G8" s="326"/>
      <c r="H8" s="326"/>
      <c r="I8" s="346"/>
      <c r="J8" s="327"/>
      <c r="K8" s="327"/>
      <c r="L8" s="328"/>
      <c r="M8" s="328"/>
      <c r="N8" s="359"/>
      <c r="O8" s="365">
        <f t="shared" si="0"/>
        <v>0</v>
      </c>
      <c r="P8" s="499">
        <f t="shared" si="1"/>
        <v>0</v>
      </c>
      <c r="Q8" s="369"/>
    </row>
    <row r="9" spans="2:22">
      <c r="B9" s="341" t="s">
        <v>200</v>
      </c>
      <c r="C9" s="323">
        <v>65581</v>
      </c>
      <c r="D9" s="323">
        <v>57351</v>
      </c>
      <c r="E9" s="342"/>
      <c r="F9" s="324"/>
      <c r="G9" s="324"/>
      <c r="H9" s="324"/>
      <c r="I9" s="343"/>
      <c r="J9" s="325"/>
      <c r="K9" s="325"/>
      <c r="L9" s="347"/>
      <c r="M9" s="328"/>
      <c r="N9" s="359"/>
      <c r="O9" s="365">
        <f t="shared" si="0"/>
        <v>122932</v>
      </c>
      <c r="P9" s="499">
        <f t="shared" si="1"/>
        <v>61466</v>
      </c>
      <c r="Q9" s="369">
        <f>P9/P10%</f>
        <v>7.9171625680737385</v>
      </c>
    </row>
    <row r="10" spans="2:22">
      <c r="B10" s="348" t="s">
        <v>201</v>
      </c>
      <c r="C10" s="329">
        <v>822987</v>
      </c>
      <c r="D10" s="329">
        <v>729741</v>
      </c>
      <c r="E10" s="329"/>
      <c r="F10" s="330"/>
      <c r="G10" s="330"/>
      <c r="H10" s="330"/>
      <c r="I10" s="331"/>
      <c r="J10" s="331"/>
      <c r="K10" s="331"/>
      <c r="L10" s="332"/>
      <c r="M10" s="332"/>
      <c r="N10" s="360"/>
      <c r="O10" s="365">
        <f t="shared" si="0"/>
        <v>1552728</v>
      </c>
      <c r="P10" s="499">
        <f t="shared" si="1"/>
        <v>776364</v>
      </c>
      <c r="Q10" s="369">
        <f>SUM(Q6:Q9)</f>
        <v>99.999999999999986</v>
      </c>
    </row>
    <row r="11" spans="2:22">
      <c r="B11" s="340" t="s">
        <v>202</v>
      </c>
      <c r="C11" s="349">
        <v>549147.59999999986</v>
      </c>
      <c r="D11" s="333">
        <v>486294.31999999995</v>
      </c>
      <c r="E11" s="350"/>
      <c r="F11" s="334"/>
      <c r="G11" s="334"/>
      <c r="H11" s="334"/>
      <c r="I11" s="335"/>
      <c r="J11" s="335"/>
      <c r="K11" s="335"/>
      <c r="L11" s="351"/>
      <c r="M11" s="498"/>
      <c r="N11" s="361"/>
      <c r="O11" s="365">
        <f t="shared" si="0"/>
        <v>1035441.9199999998</v>
      </c>
      <c r="P11" s="499">
        <f t="shared" si="1"/>
        <v>517720.9599999999</v>
      </c>
      <c r="Q11" s="368"/>
    </row>
    <row r="12" spans="2:22">
      <c r="B12" s="348" t="s">
        <v>203</v>
      </c>
      <c r="C12" s="336">
        <v>0.82032367442636067</v>
      </c>
      <c r="D12" s="336">
        <v>0.72737919973844922</v>
      </c>
      <c r="E12" s="336"/>
      <c r="F12" s="337"/>
      <c r="G12" s="337"/>
      <c r="H12" s="337"/>
      <c r="I12" s="338"/>
      <c r="J12" s="338"/>
      <c r="K12" s="338"/>
      <c r="L12" s="339"/>
      <c r="M12" s="339"/>
      <c r="N12" s="362"/>
      <c r="O12" s="364"/>
      <c r="P12" s="366"/>
      <c r="Q12" s="368"/>
    </row>
    <row r="13" spans="2:22" ht="21" thickBot="1">
      <c r="B13" s="352" t="s">
        <v>204</v>
      </c>
      <c r="C13" s="353">
        <v>0.82635966094511804</v>
      </c>
      <c r="D13" s="353">
        <v>0.73177804730504492</v>
      </c>
      <c r="E13" s="353"/>
      <c r="F13" s="354"/>
      <c r="G13" s="354"/>
      <c r="H13" s="354"/>
      <c r="I13" s="355"/>
      <c r="J13" s="355"/>
      <c r="K13" s="355"/>
      <c r="L13" s="356"/>
      <c r="M13" s="356"/>
      <c r="N13" s="363"/>
      <c r="O13" s="364"/>
      <c r="P13" s="366"/>
      <c r="Q13" s="370"/>
    </row>
    <row r="14" spans="2:22" ht="21" thickBot="1"/>
    <row r="15" spans="2:22" ht="61.2">
      <c r="B15" s="597" t="s">
        <v>351</v>
      </c>
      <c r="C15" s="598" t="s">
        <v>352</v>
      </c>
      <c r="D15" s="599" t="s">
        <v>183</v>
      </c>
      <c r="E15" s="598" t="s">
        <v>166</v>
      </c>
      <c r="F15" s="599" t="s">
        <v>353</v>
      </c>
      <c r="G15" s="599" t="s">
        <v>354</v>
      </c>
      <c r="H15" s="599" t="s">
        <v>355</v>
      </c>
      <c r="I15" s="599" t="s">
        <v>330</v>
      </c>
      <c r="J15" s="599" t="s">
        <v>168</v>
      </c>
      <c r="K15" s="598" t="s">
        <v>167</v>
      </c>
      <c r="L15" s="598" t="s">
        <v>171</v>
      </c>
      <c r="M15" s="598" t="s">
        <v>181</v>
      </c>
      <c r="N15" s="599" t="s">
        <v>356</v>
      </c>
      <c r="O15" s="599" t="s">
        <v>357</v>
      </c>
      <c r="P15" s="599" t="s">
        <v>186</v>
      </c>
      <c r="Q15" s="599" t="s">
        <v>358</v>
      </c>
      <c r="R15" s="598" t="s">
        <v>172</v>
      </c>
      <c r="S15" s="598" t="s">
        <v>336</v>
      </c>
      <c r="T15" s="598" t="s">
        <v>359</v>
      </c>
      <c r="U15" s="598" t="s">
        <v>173</v>
      </c>
      <c r="V15" s="600" t="s">
        <v>360</v>
      </c>
    </row>
    <row r="16" spans="2:22">
      <c r="B16" s="601" t="s">
        <v>98</v>
      </c>
      <c r="C16" s="602" t="s">
        <v>128</v>
      </c>
      <c r="D16" s="603">
        <v>0.15602362643486012</v>
      </c>
      <c r="E16" s="604">
        <v>15.022321867563473</v>
      </c>
      <c r="F16" s="604">
        <v>2.4474294342723156E-2</v>
      </c>
      <c r="G16" s="604">
        <v>1.44048703845742</v>
      </c>
      <c r="H16" s="604">
        <v>2.3315844410500928</v>
      </c>
      <c r="I16" s="604">
        <v>0.66406918649922164</v>
      </c>
      <c r="J16" s="604">
        <v>6.1725772815905948</v>
      </c>
      <c r="K16" s="604">
        <v>16.18833260857372</v>
      </c>
      <c r="L16" s="604">
        <v>5.1157830790847481</v>
      </c>
      <c r="M16" s="604">
        <v>6.8381178393568502</v>
      </c>
      <c r="N16" s="604">
        <v>21.626885012335482</v>
      </c>
      <c r="O16" s="604">
        <v>15.090849891723098</v>
      </c>
      <c r="P16" s="604">
        <v>1.769520617043578</v>
      </c>
      <c r="Q16" s="604">
        <v>6.1114352498308282</v>
      </c>
      <c r="R16" s="604">
        <v>1.5296433964201973E-2</v>
      </c>
      <c r="S16" s="604">
        <v>0.19011282212651023</v>
      </c>
      <c r="T16" s="604">
        <v>0.81953922770490106</v>
      </c>
      <c r="U16" s="604">
        <v>0.42258948231768645</v>
      </c>
      <c r="V16" s="612">
        <v>100</v>
      </c>
    </row>
    <row r="17" spans="2:22">
      <c r="B17" s="605" t="s">
        <v>98</v>
      </c>
      <c r="C17" s="606" t="s">
        <v>98</v>
      </c>
      <c r="D17" s="607"/>
      <c r="E17" s="608">
        <v>8.443062001252148</v>
      </c>
      <c r="F17" s="608"/>
      <c r="G17" s="608">
        <v>0.61329748193114875</v>
      </c>
      <c r="H17" s="608">
        <v>4.0466276446679315</v>
      </c>
      <c r="I17" s="608"/>
      <c r="J17" s="608">
        <v>5.1218857761833299</v>
      </c>
      <c r="K17" s="608">
        <v>17.91502990535059</v>
      </c>
      <c r="L17" s="608">
        <v>0.37372815305179374</v>
      </c>
      <c r="M17" s="608">
        <v>5.0642471702425782</v>
      </c>
      <c r="N17" s="608">
        <v>36.538901090164664</v>
      </c>
      <c r="O17" s="608">
        <v>14.37785087501366</v>
      </c>
      <c r="P17" s="608">
        <v>0.32070347492649648</v>
      </c>
      <c r="Q17" s="608">
        <v>4.90637985544919</v>
      </c>
      <c r="R17" s="608"/>
      <c r="S17" s="608"/>
      <c r="T17" s="608">
        <v>1.6899752835436097</v>
      </c>
      <c r="U17" s="608">
        <v>0.58831128822284262</v>
      </c>
      <c r="V17" s="613">
        <v>99.999999999999986</v>
      </c>
    </row>
    <row r="18" spans="2:22">
      <c r="B18" s="605" t="s">
        <v>98</v>
      </c>
      <c r="C18" s="606" t="s">
        <v>361</v>
      </c>
      <c r="D18" s="609"/>
      <c r="E18" s="608">
        <v>1.7010677237587524</v>
      </c>
      <c r="F18" s="608"/>
      <c r="G18" s="608"/>
      <c r="H18" s="608">
        <v>2.5516015856381284</v>
      </c>
      <c r="I18" s="608"/>
      <c r="J18" s="608">
        <v>17.1807840099634</v>
      </c>
      <c r="K18" s="608">
        <v>9.5533178414665656</v>
      </c>
      <c r="L18" s="608">
        <v>5.148767485305509</v>
      </c>
      <c r="M18" s="608">
        <v>1.7010677237587524</v>
      </c>
      <c r="N18" s="608">
        <v>15.017997904041556</v>
      </c>
      <c r="O18" s="608">
        <v>1.2758007928190642</v>
      </c>
      <c r="P18" s="608">
        <v>40.341124831032339</v>
      </c>
      <c r="Q18" s="608">
        <v>5.5284701022159446</v>
      </c>
      <c r="R18" s="608"/>
      <c r="S18" s="608"/>
      <c r="T18" s="608"/>
      <c r="U18" s="608"/>
      <c r="V18" s="613">
        <v>100.00000000000003</v>
      </c>
    </row>
    <row r="19" spans="2:22">
      <c r="B19" s="605" t="s">
        <v>98</v>
      </c>
      <c r="C19" s="606" t="s">
        <v>147</v>
      </c>
      <c r="D19" s="609"/>
      <c r="E19" s="608"/>
      <c r="F19" s="608"/>
      <c r="G19" s="608"/>
      <c r="H19" s="608"/>
      <c r="I19" s="608"/>
      <c r="J19" s="608">
        <v>18.170304995728056</v>
      </c>
      <c r="K19" s="608">
        <v>7.8983207891103877</v>
      </c>
      <c r="L19" s="608">
        <v>2.1825318300442094</v>
      </c>
      <c r="M19" s="608">
        <v>5.866645559158834</v>
      </c>
      <c r="N19" s="608">
        <v>14.817470497989742</v>
      </c>
      <c r="O19" s="608">
        <v>48.015234654182194</v>
      </c>
      <c r="P19" s="608">
        <v>1.94856441786347</v>
      </c>
      <c r="Q19" s="608">
        <v>0.43045347773351927</v>
      </c>
      <c r="R19" s="608"/>
      <c r="S19" s="608"/>
      <c r="T19" s="608">
        <v>0.67047377818958109</v>
      </c>
      <c r="U19" s="608"/>
      <c r="V19" s="613">
        <v>99.999999999999986</v>
      </c>
    </row>
    <row r="20" spans="2:22">
      <c r="B20" s="605" t="s">
        <v>98</v>
      </c>
      <c r="C20" s="606" t="s">
        <v>362</v>
      </c>
      <c r="D20" s="609"/>
      <c r="E20" s="608">
        <v>7.3392568119208024</v>
      </c>
      <c r="F20" s="608">
        <v>0.20052614240220773</v>
      </c>
      <c r="G20" s="608">
        <v>4.3771992227224779</v>
      </c>
      <c r="H20" s="608">
        <v>1.8849457385807529</v>
      </c>
      <c r="I20" s="608">
        <v>0.76199934112838941</v>
      </c>
      <c r="J20" s="608">
        <v>1.5010814088393836</v>
      </c>
      <c r="K20" s="608">
        <v>23.515032299032224</v>
      </c>
      <c r="L20" s="608">
        <v>12.386070117307792</v>
      </c>
      <c r="M20" s="608">
        <v>13.595672454869684</v>
      </c>
      <c r="N20" s="608">
        <v>11.916982177045487</v>
      </c>
      <c r="O20" s="608">
        <v>20.640824257933915</v>
      </c>
      <c r="P20" s="608">
        <v>0.42802782538947437</v>
      </c>
      <c r="Q20" s="608">
        <v>0.41012370553213434</v>
      </c>
      <c r="R20" s="608"/>
      <c r="S20" s="608">
        <v>0.89520599286699876</v>
      </c>
      <c r="T20" s="608"/>
      <c r="U20" s="608">
        <v>0.14705250442828566</v>
      </c>
      <c r="V20" s="613">
        <v>100.00000000000001</v>
      </c>
    </row>
    <row r="21" spans="2:22">
      <c r="B21" s="605" t="s">
        <v>98</v>
      </c>
      <c r="C21" s="606" t="s">
        <v>363</v>
      </c>
      <c r="D21" s="609">
        <v>0.42961557774926062</v>
      </c>
      <c r="E21" s="608">
        <v>20.725696962934034</v>
      </c>
      <c r="F21" s="608"/>
      <c r="G21" s="608"/>
      <c r="H21" s="608">
        <v>4.9991630865368517</v>
      </c>
      <c r="I21" s="608"/>
      <c r="J21" s="608">
        <v>8.5402369395004545</v>
      </c>
      <c r="K21" s="608">
        <v>12.010638100020456</v>
      </c>
      <c r="L21" s="608"/>
      <c r="M21" s="608">
        <v>16.247280031244767</v>
      </c>
      <c r="N21" s="608">
        <v>29.637895441611338</v>
      </c>
      <c r="O21" s="608">
        <v>1.8746861574513194</v>
      </c>
      <c r="P21" s="608">
        <v>0.62489538581710646</v>
      </c>
      <c r="Q21" s="608">
        <v>2.2912830813293903</v>
      </c>
      <c r="R21" s="608"/>
      <c r="S21" s="608"/>
      <c r="T21" s="608">
        <v>0.53562461641466264</v>
      </c>
      <c r="U21" s="608">
        <v>2.0829846193903547</v>
      </c>
      <c r="V21" s="613">
        <v>100.00000000000001</v>
      </c>
    </row>
    <row r="22" spans="2:22">
      <c r="B22" s="605" t="s">
        <v>98</v>
      </c>
      <c r="C22" s="606" t="s">
        <v>364</v>
      </c>
      <c r="D22" s="609"/>
      <c r="E22" s="608">
        <v>9.4266857860470079</v>
      </c>
      <c r="F22" s="608"/>
      <c r="G22" s="608">
        <v>0.7695253702895517</v>
      </c>
      <c r="H22" s="608"/>
      <c r="I22" s="608"/>
      <c r="J22" s="608"/>
      <c r="K22" s="608">
        <v>8.6504805080292488</v>
      </c>
      <c r="L22" s="608">
        <v>21.903417440793753</v>
      </c>
      <c r="M22" s="608">
        <v>32.419818840902408</v>
      </c>
      <c r="N22" s="608">
        <v>0.17100563784212258</v>
      </c>
      <c r="O22" s="608">
        <v>14.962993311185727</v>
      </c>
      <c r="P22" s="608">
        <v>4.2982979595108528</v>
      </c>
      <c r="Q22" s="608">
        <v>7.2641769908351668</v>
      </c>
      <c r="R22" s="608"/>
      <c r="S22" s="608">
        <v>0.13359815456415827</v>
      </c>
      <c r="T22" s="608"/>
      <c r="U22" s="608"/>
      <c r="V22" s="613">
        <v>99.999999999999986</v>
      </c>
    </row>
    <row r="23" spans="2:22">
      <c r="B23" s="605" t="s">
        <v>98</v>
      </c>
      <c r="C23" s="606" t="s">
        <v>365</v>
      </c>
      <c r="D23" s="609">
        <v>0.29543538265447278</v>
      </c>
      <c r="E23" s="608">
        <v>40.756952344865944</v>
      </c>
      <c r="F23" s="610"/>
      <c r="G23" s="608"/>
      <c r="H23" s="608"/>
      <c r="I23" s="608"/>
      <c r="J23" s="608">
        <v>0.80424076389273158</v>
      </c>
      <c r="K23" s="608">
        <v>19.958301405991051</v>
      </c>
      <c r="L23" s="608">
        <v>9.580547408937905</v>
      </c>
      <c r="M23" s="608"/>
      <c r="N23" s="608">
        <v>4.5378874775727027</v>
      </c>
      <c r="O23" s="608"/>
      <c r="P23" s="608">
        <v>1.6253635496514331</v>
      </c>
      <c r="Q23" s="608">
        <v>22.342793205548933</v>
      </c>
      <c r="R23" s="608">
        <v>9.8478460884824273E-2</v>
      </c>
      <c r="S23" s="608"/>
      <c r="T23" s="608"/>
      <c r="U23" s="608"/>
      <c r="V23" s="613">
        <v>100</v>
      </c>
    </row>
    <row r="24" spans="2:22">
      <c r="B24" s="605" t="s">
        <v>98</v>
      </c>
      <c r="C24" s="606" t="s">
        <v>366</v>
      </c>
      <c r="D24" s="609"/>
      <c r="E24" s="608"/>
      <c r="F24" s="608"/>
      <c r="G24" s="608"/>
      <c r="H24" s="608"/>
      <c r="I24" s="608"/>
      <c r="J24" s="608"/>
      <c r="K24" s="608">
        <v>100</v>
      </c>
      <c r="L24" s="608"/>
      <c r="M24" s="608"/>
      <c r="N24" s="608"/>
      <c r="O24" s="608"/>
      <c r="P24" s="608"/>
      <c r="Q24" s="608"/>
      <c r="R24" s="608"/>
      <c r="S24" s="608"/>
      <c r="T24" s="608"/>
      <c r="U24" s="608"/>
      <c r="V24" s="613">
        <v>100</v>
      </c>
    </row>
    <row r="25" spans="2:22">
      <c r="B25" s="605" t="s">
        <v>98</v>
      </c>
      <c r="C25" s="606" t="s">
        <v>367</v>
      </c>
      <c r="D25" s="609">
        <v>5.2557813594954457</v>
      </c>
      <c r="E25" s="608">
        <v>38.682550805886486</v>
      </c>
      <c r="F25" s="608"/>
      <c r="G25" s="608">
        <v>43.247572329562523</v>
      </c>
      <c r="H25" s="608"/>
      <c r="I25" s="608"/>
      <c r="J25" s="608"/>
      <c r="K25" s="608">
        <v>8.9698668535388943</v>
      </c>
      <c r="L25" s="608"/>
      <c r="M25" s="608"/>
      <c r="N25" s="608"/>
      <c r="O25" s="608"/>
      <c r="P25" s="608">
        <v>3.8442286515166684</v>
      </c>
      <c r="Q25" s="608"/>
      <c r="R25" s="608"/>
      <c r="S25" s="608"/>
      <c r="T25" s="608"/>
      <c r="U25" s="608"/>
      <c r="V25" s="613">
        <v>100.00000000000001</v>
      </c>
    </row>
    <row r="26" spans="2:22">
      <c r="B26" s="605" t="s">
        <v>98</v>
      </c>
      <c r="C26" s="606" t="s">
        <v>368</v>
      </c>
      <c r="D26" s="611"/>
      <c r="E26" s="608">
        <v>26.48953301127214</v>
      </c>
      <c r="F26" s="608"/>
      <c r="G26" s="608"/>
      <c r="H26" s="608"/>
      <c r="I26" s="608">
        <v>2.2544283413848634</v>
      </c>
      <c r="J26" s="608"/>
      <c r="K26" s="608">
        <v>8.3031400966183568</v>
      </c>
      <c r="L26" s="608">
        <v>52.838164251207729</v>
      </c>
      <c r="M26" s="608"/>
      <c r="N26" s="608"/>
      <c r="O26" s="608"/>
      <c r="P26" s="608">
        <v>4.8309178743961354</v>
      </c>
      <c r="Q26" s="608"/>
      <c r="R26" s="608"/>
      <c r="S26" s="608">
        <v>5.2838164251207731</v>
      </c>
      <c r="T26" s="608"/>
      <c r="U26" s="608"/>
      <c r="V26" s="613">
        <v>100</v>
      </c>
    </row>
    <row r="27" spans="2:22">
      <c r="B27" s="605" t="s">
        <v>98</v>
      </c>
      <c r="C27" s="606" t="s">
        <v>369</v>
      </c>
      <c r="D27" s="609"/>
      <c r="E27" s="608">
        <v>55.521367521367516</v>
      </c>
      <c r="F27" s="608"/>
      <c r="G27" s="608"/>
      <c r="H27" s="608"/>
      <c r="I27" s="608">
        <v>21.05982905982906</v>
      </c>
      <c r="J27" s="608">
        <v>19.145299145299145</v>
      </c>
      <c r="K27" s="608"/>
      <c r="L27" s="608">
        <v>4.2735042735042734</v>
      </c>
      <c r="M27" s="608"/>
      <c r="N27" s="608"/>
      <c r="O27" s="608"/>
      <c r="P27" s="608"/>
      <c r="Q27" s="608"/>
      <c r="R27" s="608"/>
      <c r="S27" s="608"/>
      <c r="T27" s="608"/>
      <c r="U27" s="608"/>
      <c r="V27" s="613">
        <v>100</v>
      </c>
    </row>
    <row r="29" spans="2:22">
      <c r="B29" s="391" t="s">
        <v>351</v>
      </c>
      <c r="C29" s="391" t="s">
        <v>352</v>
      </c>
      <c r="D29" s="615" t="s">
        <v>371</v>
      </c>
      <c r="E29" s="614" t="s">
        <v>370</v>
      </c>
    </row>
    <row r="30" spans="2:22">
      <c r="B30" s="616" t="s">
        <v>98</v>
      </c>
      <c r="C30" s="602" t="s">
        <v>128</v>
      </c>
      <c r="D30" s="364" t="s">
        <v>1273</v>
      </c>
      <c r="E30" s="364" t="s">
        <v>1272</v>
      </c>
    </row>
    <row r="31" spans="2:22">
      <c r="B31" s="617" t="s">
        <v>98</v>
      </c>
      <c r="C31" s="606" t="s">
        <v>98</v>
      </c>
      <c r="D31" s="364" t="s">
        <v>1273</v>
      </c>
      <c r="E31" s="364" t="s">
        <v>1272</v>
      </c>
    </row>
    <row r="32" spans="2:22">
      <c r="B32" s="617" t="s">
        <v>98</v>
      </c>
      <c r="C32" s="606" t="s">
        <v>361</v>
      </c>
      <c r="D32" s="364" t="s">
        <v>1273</v>
      </c>
      <c r="E32" s="364" t="s">
        <v>1272</v>
      </c>
    </row>
    <row r="33" spans="2:5">
      <c r="B33" s="617" t="s">
        <v>98</v>
      </c>
      <c r="C33" s="606" t="s">
        <v>147</v>
      </c>
      <c r="D33" s="364" t="s">
        <v>1273</v>
      </c>
      <c r="E33" s="364" t="s">
        <v>1272</v>
      </c>
    </row>
    <row r="34" spans="2:5">
      <c r="B34" s="617" t="s">
        <v>98</v>
      </c>
      <c r="C34" s="606" t="s">
        <v>362</v>
      </c>
      <c r="D34" s="364" t="s">
        <v>1273</v>
      </c>
      <c r="E34" s="364" t="s">
        <v>1272</v>
      </c>
    </row>
    <row r="35" spans="2:5">
      <c r="B35" s="617" t="s">
        <v>98</v>
      </c>
      <c r="C35" s="606" t="s">
        <v>363</v>
      </c>
      <c r="D35" s="364" t="s">
        <v>1273</v>
      </c>
      <c r="E35" s="364" t="s">
        <v>1272</v>
      </c>
    </row>
    <row r="36" spans="2:5">
      <c r="B36" s="617" t="s">
        <v>98</v>
      </c>
      <c r="C36" s="606" t="s">
        <v>364</v>
      </c>
      <c r="D36" s="364" t="s">
        <v>1273</v>
      </c>
      <c r="E36" s="364" t="s">
        <v>1272</v>
      </c>
    </row>
    <row r="37" spans="2:5">
      <c r="B37" s="617" t="s">
        <v>98</v>
      </c>
      <c r="C37" s="606" t="s">
        <v>365</v>
      </c>
      <c r="D37" s="364" t="s">
        <v>1273</v>
      </c>
      <c r="E37" s="364" t="s">
        <v>1272</v>
      </c>
    </row>
    <row r="38" spans="2:5">
      <c r="B38" s="617" t="s">
        <v>98</v>
      </c>
      <c r="C38" s="606" t="s">
        <v>366</v>
      </c>
      <c r="D38" s="364" t="s">
        <v>1273</v>
      </c>
      <c r="E38" s="364" t="s">
        <v>1272</v>
      </c>
    </row>
    <row r="39" spans="2:5">
      <c r="B39" s="617" t="s">
        <v>98</v>
      </c>
      <c r="C39" s="606" t="s">
        <v>367</v>
      </c>
      <c r="D39" s="364" t="s">
        <v>1273</v>
      </c>
      <c r="E39" s="364" t="s">
        <v>1272</v>
      </c>
    </row>
    <row r="40" spans="2:5">
      <c r="B40" s="617" t="s">
        <v>98</v>
      </c>
      <c r="C40" s="606" t="s">
        <v>368</v>
      </c>
      <c r="D40" s="364" t="s">
        <v>1273</v>
      </c>
      <c r="E40" s="364" t="s">
        <v>1272</v>
      </c>
    </row>
    <row r="41" spans="2:5">
      <c r="B41" s="617" t="s">
        <v>98</v>
      </c>
      <c r="C41" s="606" t="s">
        <v>369</v>
      </c>
      <c r="D41" s="364" t="s">
        <v>1273</v>
      </c>
      <c r="E41" s="364" t="s">
        <v>1272</v>
      </c>
    </row>
  </sheetData>
  <mergeCells count="5">
    <mergeCell ref="C2:E2"/>
    <mergeCell ref="F2:H2"/>
    <mergeCell ref="I2:K2"/>
    <mergeCell ref="L2:N2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F106-0891-4A72-B153-802F4CE8B618}">
  <dimension ref="A1:CB52"/>
  <sheetViews>
    <sheetView zoomScale="80" zoomScaleNormal="80" workbookViewId="0">
      <pane xSplit="28" ySplit="3" topLeftCell="AC4" activePane="bottomRight" state="frozen"/>
      <selection pane="topRight" activeCell="AC1" sqref="AC1"/>
      <selection pane="bottomLeft" activeCell="A4" sqref="A4"/>
      <selection pane="bottomRight" activeCell="AJ52" sqref="AJ52"/>
    </sheetView>
  </sheetViews>
  <sheetFormatPr defaultColWidth="9.109375" defaultRowHeight="20.399999999999999"/>
  <cols>
    <col min="1" max="1" width="6" style="390" customWidth="1"/>
    <col min="2" max="2" width="16.33203125" style="390" hidden="1" customWidth="1"/>
    <col min="3" max="3" width="19.33203125" style="390" bestFit="1" customWidth="1"/>
    <col min="4" max="4" width="24.6640625" style="390" hidden="1" customWidth="1"/>
    <col min="5" max="5" width="18.88671875" style="390" customWidth="1"/>
    <col min="6" max="6" width="18.5546875" style="390" bestFit="1" customWidth="1"/>
    <col min="7" max="7" width="8.5546875" style="390" hidden="1" customWidth="1"/>
    <col min="8" max="8" width="9.44140625" style="390" hidden="1" customWidth="1"/>
    <col min="9" max="9" width="8.5546875" style="390" hidden="1" customWidth="1"/>
    <col min="10" max="10" width="9.33203125" style="390" hidden="1" customWidth="1"/>
    <col min="11" max="11" width="9.109375" style="390" hidden="1" customWidth="1"/>
    <col min="12" max="12" width="10.44140625" style="390" hidden="1" customWidth="1"/>
    <col min="13" max="13" width="8.44140625" style="390" hidden="1" customWidth="1"/>
    <col min="14" max="14" width="9.88671875" style="390" hidden="1" customWidth="1"/>
    <col min="15" max="15" width="9.5546875" style="390" hidden="1" customWidth="1"/>
    <col min="16" max="16" width="10.5546875" style="390" hidden="1" customWidth="1"/>
    <col min="17" max="17" width="9.44140625" style="390" hidden="1" customWidth="1"/>
    <col min="18" max="18" width="10.44140625" style="390" hidden="1" customWidth="1"/>
    <col min="19" max="19" width="8.44140625" style="390" hidden="1" customWidth="1"/>
    <col min="20" max="20" width="9.88671875" style="390" hidden="1" customWidth="1"/>
    <col min="21" max="21" width="8.109375" style="390" hidden="1" customWidth="1"/>
    <col min="22" max="22" width="9.33203125" style="390" hidden="1" customWidth="1"/>
    <col min="23" max="23" width="9.6640625" style="390" hidden="1" customWidth="1"/>
    <col min="24" max="24" width="9.109375" style="390" hidden="1" customWidth="1"/>
    <col min="25" max="25" width="9.6640625" style="390" hidden="1" customWidth="1"/>
    <col min="26" max="26" width="10.88671875" style="390" hidden="1" customWidth="1"/>
    <col min="27" max="27" width="8.109375" style="390" hidden="1" customWidth="1"/>
    <col min="28" max="28" width="9.109375" style="390" hidden="1" customWidth="1"/>
    <col min="29" max="30" width="10.88671875" style="390" hidden="1" customWidth="1"/>
    <col min="31" max="31" width="8.33203125" style="390" hidden="1" customWidth="1"/>
    <col min="32" max="32" width="11.44140625" style="390" hidden="1" customWidth="1"/>
    <col min="33" max="33" width="13.44140625" style="390" hidden="1" customWidth="1"/>
    <col min="34" max="34" width="11.6640625" style="390" hidden="1" customWidth="1"/>
    <col min="35" max="36" width="11.6640625" style="390" customWidth="1"/>
    <col min="37" max="43" width="10" style="390" hidden="1" customWidth="1"/>
    <col min="44" max="44" width="10.88671875" style="390" hidden="1" customWidth="1"/>
    <col min="45" max="72" width="10" style="390" hidden="1" customWidth="1"/>
    <col min="73" max="73" width="10.5546875" style="390" hidden="1" customWidth="1"/>
    <col min="74" max="74" width="12.109375" style="390" hidden="1" customWidth="1"/>
    <col min="75" max="75" width="12" style="390" hidden="1" customWidth="1"/>
    <col min="76" max="76" width="10.5546875" style="390" bestFit="1" customWidth="1"/>
    <col min="77" max="78" width="10.44140625" style="390" bestFit="1" customWidth="1"/>
    <col min="79" max="79" width="9.44140625" style="390" bestFit="1" customWidth="1"/>
    <col min="80" max="80" width="12.33203125" style="390" customWidth="1"/>
    <col min="81" max="16384" width="9.109375" style="390"/>
  </cols>
  <sheetData>
    <row r="1" spans="1:80">
      <c r="A1" s="421"/>
      <c r="B1" s="422"/>
      <c r="C1" s="423"/>
      <c r="F1" s="414"/>
      <c r="AC1" s="421"/>
      <c r="AD1" s="423"/>
      <c r="BX1" s="421"/>
      <c r="BY1" s="422"/>
      <c r="BZ1" s="422"/>
      <c r="CA1" s="421"/>
      <c r="CB1" s="423"/>
    </row>
    <row r="2" spans="1:80" ht="29.25" customHeight="1">
      <c r="A2" s="861" t="s">
        <v>205</v>
      </c>
      <c r="B2" s="862"/>
      <c r="C2" s="863"/>
      <c r="D2" s="864"/>
      <c r="E2" s="862"/>
      <c r="F2" s="865"/>
      <c r="G2" s="846">
        <v>45292</v>
      </c>
      <c r="H2" s="845"/>
      <c r="I2" s="844">
        <v>45323</v>
      </c>
      <c r="J2" s="844"/>
      <c r="K2" s="844">
        <v>45352</v>
      </c>
      <c r="L2" s="845"/>
      <c r="M2" s="844">
        <v>45383</v>
      </c>
      <c r="N2" s="844"/>
      <c r="O2" s="844">
        <v>45413</v>
      </c>
      <c r="P2" s="845"/>
      <c r="Q2" s="844">
        <v>45444</v>
      </c>
      <c r="R2" s="844"/>
      <c r="S2" s="844">
        <v>45474</v>
      </c>
      <c r="T2" s="845"/>
      <c r="U2" s="844">
        <v>45505</v>
      </c>
      <c r="V2" s="844"/>
      <c r="W2" s="844">
        <v>45536</v>
      </c>
      <c r="X2" s="845"/>
      <c r="Y2" s="844">
        <v>45566</v>
      </c>
      <c r="Z2" s="844"/>
      <c r="AA2" s="846">
        <v>45597</v>
      </c>
      <c r="AB2" s="845"/>
      <c r="AC2" s="859" t="s">
        <v>327</v>
      </c>
      <c r="AD2" s="860"/>
      <c r="AE2" s="844">
        <v>45627</v>
      </c>
      <c r="AF2" s="844"/>
      <c r="AG2" s="845" t="s">
        <v>206</v>
      </c>
      <c r="AH2" s="845"/>
      <c r="AI2" s="845" t="s">
        <v>178</v>
      </c>
      <c r="AJ2" s="845"/>
      <c r="AK2" s="842">
        <v>45658</v>
      </c>
      <c r="AL2" s="843"/>
      <c r="AM2" s="843"/>
      <c r="AN2" s="842">
        <v>45689</v>
      </c>
      <c r="AO2" s="843"/>
      <c r="AP2" s="843"/>
      <c r="AQ2" s="842">
        <v>45717</v>
      </c>
      <c r="AR2" s="843"/>
      <c r="AS2" s="843"/>
      <c r="AT2" s="842">
        <v>45748</v>
      </c>
      <c r="AU2" s="843"/>
      <c r="AV2" s="843"/>
      <c r="AW2" s="842">
        <v>45778</v>
      </c>
      <c r="AX2" s="843"/>
      <c r="AY2" s="843"/>
      <c r="AZ2" s="842">
        <v>45809</v>
      </c>
      <c r="BA2" s="843"/>
      <c r="BB2" s="843"/>
      <c r="BC2" s="842">
        <v>45839</v>
      </c>
      <c r="BD2" s="843"/>
      <c r="BE2" s="843"/>
      <c r="BF2" s="842">
        <v>45870</v>
      </c>
      <c r="BG2" s="843"/>
      <c r="BH2" s="843"/>
      <c r="BI2" s="842">
        <v>45901</v>
      </c>
      <c r="BJ2" s="843"/>
      <c r="BK2" s="843"/>
      <c r="BL2" s="842">
        <v>45931</v>
      </c>
      <c r="BM2" s="843"/>
      <c r="BN2" s="843"/>
      <c r="BO2" s="842">
        <v>45962</v>
      </c>
      <c r="BP2" s="843"/>
      <c r="BQ2" s="843"/>
      <c r="BR2" s="842">
        <v>45992</v>
      </c>
      <c r="BS2" s="843"/>
      <c r="BT2" s="843"/>
      <c r="BU2" s="845" t="s">
        <v>207</v>
      </c>
      <c r="BV2" s="845"/>
      <c r="BW2" s="845"/>
      <c r="BX2" s="847" t="s">
        <v>329</v>
      </c>
      <c r="BY2" s="845"/>
      <c r="BZ2" s="848"/>
      <c r="CA2" s="432" t="s">
        <v>212</v>
      </c>
      <c r="CB2" s="428"/>
    </row>
    <row r="3" spans="1:80" ht="21" thickBot="1">
      <c r="A3" s="424" t="s">
        <v>208</v>
      </c>
      <c r="B3" s="849" t="s">
        <v>209</v>
      </c>
      <c r="C3" s="850"/>
      <c r="D3" s="851" t="s">
        <v>210</v>
      </c>
      <c r="E3" s="852"/>
      <c r="F3" s="425" t="s">
        <v>211</v>
      </c>
      <c r="G3" s="417" t="s">
        <v>212</v>
      </c>
      <c r="H3" s="392" t="s">
        <v>213</v>
      </c>
      <c r="I3" s="392" t="s">
        <v>212</v>
      </c>
      <c r="J3" s="392" t="s">
        <v>213</v>
      </c>
      <c r="K3" s="392" t="s">
        <v>212</v>
      </c>
      <c r="L3" s="392" t="s">
        <v>213</v>
      </c>
      <c r="M3" s="392" t="s">
        <v>212</v>
      </c>
      <c r="N3" s="392" t="s">
        <v>213</v>
      </c>
      <c r="O3" s="392" t="s">
        <v>212</v>
      </c>
      <c r="P3" s="392" t="s">
        <v>213</v>
      </c>
      <c r="Q3" s="392" t="s">
        <v>212</v>
      </c>
      <c r="R3" s="392" t="s">
        <v>213</v>
      </c>
      <c r="S3" s="392" t="s">
        <v>212</v>
      </c>
      <c r="T3" s="392" t="s">
        <v>213</v>
      </c>
      <c r="U3" s="392" t="s">
        <v>212</v>
      </c>
      <c r="V3" s="392" t="s">
        <v>213</v>
      </c>
      <c r="W3" s="392" t="s">
        <v>212</v>
      </c>
      <c r="X3" s="392" t="s">
        <v>213</v>
      </c>
      <c r="Y3" s="392" t="s">
        <v>212</v>
      </c>
      <c r="Z3" s="392" t="s">
        <v>213</v>
      </c>
      <c r="AA3" s="417" t="s">
        <v>212</v>
      </c>
      <c r="AB3" s="392" t="s">
        <v>213</v>
      </c>
      <c r="AC3" s="426" t="s">
        <v>212</v>
      </c>
      <c r="AD3" s="427" t="s">
        <v>213</v>
      </c>
      <c r="AE3" s="392" t="s">
        <v>212</v>
      </c>
      <c r="AF3" s="392" t="s">
        <v>213</v>
      </c>
      <c r="AG3" s="392" t="s">
        <v>212</v>
      </c>
      <c r="AH3" s="392" t="s">
        <v>213</v>
      </c>
      <c r="AI3" s="392" t="s">
        <v>212</v>
      </c>
      <c r="AJ3" s="392" t="s">
        <v>213</v>
      </c>
      <c r="AK3" s="392" t="s">
        <v>212</v>
      </c>
      <c r="AL3" s="392" t="s">
        <v>213</v>
      </c>
      <c r="AM3" s="392" t="s">
        <v>12</v>
      </c>
      <c r="AN3" s="392" t="s">
        <v>212</v>
      </c>
      <c r="AO3" s="392" t="s">
        <v>213</v>
      </c>
      <c r="AP3" s="392" t="s">
        <v>12</v>
      </c>
      <c r="AQ3" s="392" t="s">
        <v>212</v>
      </c>
      <c r="AR3" s="392" t="s">
        <v>213</v>
      </c>
      <c r="AS3" s="392" t="s">
        <v>12</v>
      </c>
      <c r="AT3" s="392" t="s">
        <v>212</v>
      </c>
      <c r="AU3" s="392" t="s">
        <v>213</v>
      </c>
      <c r="AV3" s="392" t="s">
        <v>12</v>
      </c>
      <c r="AW3" s="392" t="s">
        <v>212</v>
      </c>
      <c r="AX3" s="392" t="s">
        <v>213</v>
      </c>
      <c r="AY3" s="392" t="s">
        <v>12</v>
      </c>
      <c r="AZ3" s="392" t="s">
        <v>212</v>
      </c>
      <c r="BA3" s="392" t="s">
        <v>213</v>
      </c>
      <c r="BB3" s="392" t="s">
        <v>12</v>
      </c>
      <c r="BC3" s="392" t="s">
        <v>212</v>
      </c>
      <c r="BD3" s="392" t="s">
        <v>213</v>
      </c>
      <c r="BE3" s="392" t="s">
        <v>12</v>
      </c>
      <c r="BF3" s="392" t="s">
        <v>212</v>
      </c>
      <c r="BG3" s="392" t="s">
        <v>213</v>
      </c>
      <c r="BH3" s="392" t="s">
        <v>12</v>
      </c>
      <c r="BI3" s="392" t="s">
        <v>212</v>
      </c>
      <c r="BJ3" s="392" t="s">
        <v>213</v>
      </c>
      <c r="BK3" s="392" t="s">
        <v>12</v>
      </c>
      <c r="BL3" s="392" t="s">
        <v>212</v>
      </c>
      <c r="BM3" s="392" t="s">
        <v>213</v>
      </c>
      <c r="BN3" s="392" t="s">
        <v>12</v>
      </c>
      <c r="BO3" s="392" t="s">
        <v>212</v>
      </c>
      <c r="BP3" s="392" t="s">
        <v>213</v>
      </c>
      <c r="BQ3" s="392" t="s">
        <v>12</v>
      </c>
      <c r="BR3" s="392" t="s">
        <v>212</v>
      </c>
      <c r="BS3" s="392" t="s">
        <v>213</v>
      </c>
      <c r="BT3" s="392" t="s">
        <v>12</v>
      </c>
      <c r="BU3" s="392" t="s">
        <v>212</v>
      </c>
      <c r="BV3" s="392" t="s">
        <v>213</v>
      </c>
      <c r="BW3" s="392" t="s">
        <v>12</v>
      </c>
      <c r="BX3" s="426" t="s">
        <v>212</v>
      </c>
      <c r="BY3" s="429" t="s">
        <v>213</v>
      </c>
      <c r="BZ3" s="431" t="s">
        <v>12</v>
      </c>
      <c r="CA3" s="433" t="s">
        <v>157</v>
      </c>
      <c r="CB3" s="430" t="s">
        <v>323</v>
      </c>
    </row>
    <row r="4" spans="1:80" ht="21" thickBot="1">
      <c r="A4" s="418">
        <v>1</v>
      </c>
      <c r="B4" s="418" t="s">
        <v>214</v>
      </c>
      <c r="C4" s="418" t="s">
        <v>215</v>
      </c>
      <c r="D4" s="391" t="s">
        <v>216</v>
      </c>
      <c r="E4" s="391" t="s">
        <v>217</v>
      </c>
      <c r="F4" s="418" t="s">
        <v>218</v>
      </c>
      <c r="G4" s="393">
        <v>12031</v>
      </c>
      <c r="H4" s="393">
        <v>198014</v>
      </c>
      <c r="I4" s="393">
        <v>11110</v>
      </c>
      <c r="J4" s="393">
        <v>182120</v>
      </c>
      <c r="K4" s="393">
        <v>12250</v>
      </c>
      <c r="L4" s="393">
        <v>199906</v>
      </c>
      <c r="M4" s="393">
        <v>10615</v>
      </c>
      <c r="N4" s="393">
        <v>175860</v>
      </c>
      <c r="O4" s="393">
        <v>10324</v>
      </c>
      <c r="P4" s="393">
        <v>169560</v>
      </c>
      <c r="Q4" s="393">
        <v>11201</v>
      </c>
      <c r="R4" s="393">
        <v>185414</v>
      </c>
      <c r="S4" s="393">
        <v>12184</v>
      </c>
      <c r="T4" s="393">
        <v>198826</v>
      </c>
      <c r="U4" s="393">
        <v>9687</v>
      </c>
      <c r="V4" s="393">
        <v>163388</v>
      </c>
      <c r="W4" s="393">
        <v>13358</v>
      </c>
      <c r="X4" s="393">
        <v>216802</v>
      </c>
      <c r="Y4" s="393">
        <v>11203</v>
      </c>
      <c r="Z4" s="402">
        <v>183792</v>
      </c>
      <c r="AA4" s="407">
        <v>10964</v>
      </c>
      <c r="AB4" s="393">
        <v>179636</v>
      </c>
      <c r="AC4" s="419">
        <f>(Y4+W4+U4+S4+Q4+O4+M4+K4+I4+G4+AA4)/11</f>
        <v>11357</v>
      </c>
      <c r="AD4" s="420">
        <f>(Z4+X4+V4+T4+R4+P4+N4+L4+J4+H4+AB4)/11</f>
        <v>186665.27272727274</v>
      </c>
      <c r="AE4" s="393">
        <v>13115</v>
      </c>
      <c r="AF4" s="393">
        <v>214850</v>
      </c>
      <c r="AG4" s="394">
        <v>138042</v>
      </c>
      <c r="AH4" s="394">
        <v>2268168</v>
      </c>
      <c r="AI4" s="394">
        <f>AG4/12</f>
        <v>11503.5</v>
      </c>
      <c r="AJ4" s="394">
        <f>AH4/12</f>
        <v>189014</v>
      </c>
      <c r="AK4" s="287">
        <v>12414</v>
      </c>
      <c r="AL4" s="287">
        <v>202626</v>
      </c>
      <c r="AM4" s="287">
        <v>133364.63999999998</v>
      </c>
      <c r="AN4" s="287">
        <v>8906</v>
      </c>
      <c r="AO4" s="287">
        <v>152794</v>
      </c>
      <c r="AP4" s="287">
        <v>99067.359999999986</v>
      </c>
      <c r="AQ4" s="287">
        <v>12246</v>
      </c>
      <c r="AR4" s="287">
        <v>205094</v>
      </c>
      <c r="AS4" s="287">
        <v>134008.15999999997</v>
      </c>
      <c r="AT4" s="287">
        <v>10332</v>
      </c>
      <c r="AU4" s="287">
        <v>171198</v>
      </c>
      <c r="AV4" s="287">
        <v>113284.8</v>
      </c>
      <c r="AW4" s="287">
        <v>11079</v>
      </c>
      <c r="AX4" s="287">
        <v>181346</v>
      </c>
      <c r="AY4" s="287">
        <v>119599.03999999999</v>
      </c>
      <c r="AZ4" s="287">
        <v>10685</v>
      </c>
      <c r="BA4" s="287">
        <v>178630</v>
      </c>
      <c r="BB4" s="287">
        <v>117920.79999999999</v>
      </c>
      <c r="BC4" s="287">
        <v>12128</v>
      </c>
      <c r="BD4" s="287">
        <v>201622</v>
      </c>
      <c r="BE4" s="287">
        <v>133010.07999999996</v>
      </c>
      <c r="BF4" s="287">
        <v>8978</v>
      </c>
      <c r="BG4" s="287">
        <v>149522</v>
      </c>
      <c r="BH4" s="287">
        <v>99457.279999999999</v>
      </c>
      <c r="BI4" s="287">
        <v>9559</v>
      </c>
      <c r="BJ4" s="293">
        <v>158076</v>
      </c>
      <c r="BK4" s="287">
        <v>105366.24000000003</v>
      </c>
      <c r="BL4" s="287">
        <v>9461</v>
      </c>
      <c r="BM4" s="287">
        <v>161164</v>
      </c>
      <c r="BN4" s="287">
        <v>106548.15999999999</v>
      </c>
      <c r="BO4" s="287">
        <v>9441</v>
      </c>
      <c r="BP4" s="287">
        <v>156534</v>
      </c>
      <c r="BQ4" s="287">
        <v>104300.16000000002</v>
      </c>
      <c r="BR4" s="287">
        <v>9331</v>
      </c>
      <c r="BS4" s="287">
        <v>157064</v>
      </c>
      <c r="BT4" s="287">
        <v>103484.95999999998</v>
      </c>
      <c r="BU4" s="395">
        <f>BR4+BO4+BL4+BI4+BF4+BC4+AZ4+AW4+AT4+AQ4+AN4+AK4</f>
        <v>124560</v>
      </c>
      <c r="BV4" s="395">
        <f t="shared" ref="BV4:BW4" si="0">BS4+BP4+BM4+BJ4+BG4+BD4+BA4+AX4+AU4+AR4+AO4+AL4</f>
        <v>2075670</v>
      </c>
      <c r="BW4" s="395">
        <f t="shared" si="0"/>
        <v>1369411.68</v>
      </c>
      <c r="BX4" s="490">
        <f>BU4/12</f>
        <v>10380</v>
      </c>
      <c r="BY4" s="490">
        <f t="shared" ref="BY4:BZ4" si="1">BV4/12</f>
        <v>172972.5</v>
      </c>
      <c r="BZ4" s="490">
        <f t="shared" si="1"/>
        <v>114117.64</v>
      </c>
      <c r="CA4" s="434">
        <f>BX4/AI4*100-100</f>
        <v>-9.7665927761116222</v>
      </c>
      <c r="CB4" s="416" t="s">
        <v>324</v>
      </c>
    </row>
    <row r="5" spans="1:80" ht="21" thickBot="1">
      <c r="A5" s="391">
        <v>2</v>
      </c>
      <c r="B5" s="391" t="s">
        <v>219</v>
      </c>
      <c r="C5" s="391" t="s">
        <v>219</v>
      </c>
      <c r="D5" s="391" t="s">
        <v>216</v>
      </c>
      <c r="E5" s="391" t="s">
        <v>217</v>
      </c>
      <c r="F5" s="391" t="s">
        <v>220</v>
      </c>
      <c r="G5" s="393">
        <v>1984</v>
      </c>
      <c r="H5" s="393">
        <v>33356</v>
      </c>
      <c r="I5" s="393">
        <v>699</v>
      </c>
      <c r="J5" s="393">
        <v>13206</v>
      </c>
      <c r="K5" s="393">
        <v>1415</v>
      </c>
      <c r="L5" s="393">
        <v>23520</v>
      </c>
      <c r="M5" s="393">
        <v>930</v>
      </c>
      <c r="N5" s="393">
        <v>15920</v>
      </c>
      <c r="O5" s="393">
        <v>2040</v>
      </c>
      <c r="P5" s="393">
        <v>35040</v>
      </c>
      <c r="Q5" s="393">
        <v>665</v>
      </c>
      <c r="R5" s="393">
        <v>9660</v>
      </c>
      <c r="S5" s="393">
        <v>1290</v>
      </c>
      <c r="T5" s="393">
        <v>22820</v>
      </c>
      <c r="U5" s="393">
        <v>923</v>
      </c>
      <c r="V5" s="393">
        <v>14922</v>
      </c>
      <c r="W5" s="393">
        <v>865</v>
      </c>
      <c r="X5" s="393">
        <v>15610</v>
      </c>
      <c r="Y5" s="393">
        <v>1517</v>
      </c>
      <c r="Z5" s="402">
        <v>24138</v>
      </c>
      <c r="AA5" s="407">
        <v>1180</v>
      </c>
      <c r="AB5" s="393">
        <v>22420</v>
      </c>
      <c r="AC5" s="419">
        <f t="shared" ref="AC5:AC52" si="2">(Y5+W5+U5+S5+Q5+O5+M5+K5+I5+G5+AA5)/11</f>
        <v>1228</v>
      </c>
      <c r="AD5" s="420">
        <f t="shared" ref="AD5:AD52" si="3">(Z5+X5+V5+T5+R5+P5+N5+L5+J5+H5+AB5)/11</f>
        <v>20964.727272727272</v>
      </c>
      <c r="AE5" s="393">
        <v>1993</v>
      </c>
      <c r="AF5" s="393">
        <v>31182</v>
      </c>
      <c r="AG5" s="394">
        <v>15501</v>
      </c>
      <c r="AH5" s="394">
        <v>261794</v>
      </c>
      <c r="AI5" s="394">
        <f t="shared" ref="AI5:AI52" si="4">AG5/12</f>
        <v>1291.75</v>
      </c>
      <c r="AJ5" s="394">
        <f t="shared" ref="AJ5:AJ52" si="5">AH5/12</f>
        <v>21816.166666666668</v>
      </c>
      <c r="AK5" s="287">
        <v>1030</v>
      </c>
      <c r="AL5" s="287">
        <v>16720</v>
      </c>
      <c r="AM5" s="287">
        <v>10700.8</v>
      </c>
      <c r="AN5" s="287">
        <v>1110</v>
      </c>
      <c r="AO5" s="287">
        <v>18230</v>
      </c>
      <c r="AP5" s="287">
        <v>11670.800000000001</v>
      </c>
      <c r="AQ5" s="287">
        <v>2180</v>
      </c>
      <c r="AR5" s="287">
        <v>37340</v>
      </c>
      <c r="AS5" s="287">
        <v>23962.400000000001</v>
      </c>
      <c r="AT5" s="287">
        <v>485</v>
      </c>
      <c r="AU5" s="287">
        <v>6840</v>
      </c>
      <c r="AV5" s="287">
        <v>4377.6000000000004</v>
      </c>
      <c r="AW5" s="287">
        <v>973</v>
      </c>
      <c r="AX5" s="287">
        <v>14622</v>
      </c>
      <c r="AY5" s="287">
        <v>9358.08</v>
      </c>
      <c r="AZ5" s="287">
        <v>1035</v>
      </c>
      <c r="BA5" s="287">
        <v>14960</v>
      </c>
      <c r="BB5" s="287">
        <v>9771.2000000000007</v>
      </c>
      <c r="BC5" s="287">
        <v>1785</v>
      </c>
      <c r="BD5" s="287">
        <v>29580</v>
      </c>
      <c r="BE5" s="287">
        <v>18916.8</v>
      </c>
      <c r="BF5" s="287">
        <v>790</v>
      </c>
      <c r="BG5" s="287">
        <v>15260</v>
      </c>
      <c r="BH5" s="287">
        <v>9766.4</v>
      </c>
      <c r="BI5" s="287">
        <v>2170</v>
      </c>
      <c r="BJ5" s="293">
        <v>38140</v>
      </c>
      <c r="BK5" s="287">
        <v>24496</v>
      </c>
      <c r="BL5" s="287">
        <v>1920</v>
      </c>
      <c r="BM5" s="287">
        <v>33880</v>
      </c>
      <c r="BN5" s="287">
        <v>21683.199999999997</v>
      </c>
      <c r="BO5" s="287">
        <v>1990</v>
      </c>
      <c r="BP5" s="287">
        <v>35660</v>
      </c>
      <c r="BQ5" s="287">
        <v>22822.400000000001</v>
      </c>
      <c r="BR5" s="287">
        <v>2130</v>
      </c>
      <c r="BS5" s="287">
        <v>37840</v>
      </c>
      <c r="BT5" s="287">
        <v>24390.399999999998</v>
      </c>
      <c r="BU5" s="395">
        <f t="shared" ref="BU5:BU28" si="6">BR5+BO5+BL5+BI5+BF5+BC5+AZ5+AW5+AT5+AQ5+AN5+AK5</f>
        <v>17598</v>
      </c>
      <c r="BV5" s="395">
        <f t="shared" ref="BV5:BV28" si="7">BS5+BP5+BM5+BJ5+BG5+BD5+BA5+AX5+AU5+AR5+AO5+AL5</f>
        <v>299072</v>
      </c>
      <c r="BW5" s="395">
        <f t="shared" ref="BW5:BW28" si="8">BT5+BQ5+BN5+BK5+BH5+BE5+BB5+AY5+AV5+AS5+AP5+AM5</f>
        <v>191916.07999999996</v>
      </c>
      <c r="BX5" s="490">
        <f t="shared" ref="BX5:BX52" si="9">BU5/12</f>
        <v>1466.5</v>
      </c>
      <c r="BY5" s="490">
        <f t="shared" ref="BY5:BY52" si="10">BV5/12</f>
        <v>24922.666666666668</v>
      </c>
      <c r="BZ5" s="490">
        <f t="shared" ref="BZ5:BZ52" si="11">BW5/12</f>
        <v>15993.006666666663</v>
      </c>
      <c r="CA5" s="434">
        <f>BX5/AI5*100-100</f>
        <v>13.528159473582349</v>
      </c>
    </row>
    <row r="6" spans="1:80">
      <c r="A6" s="391">
        <v>3</v>
      </c>
      <c r="B6" s="391" t="s">
        <v>221</v>
      </c>
      <c r="C6" s="391" t="s">
        <v>221</v>
      </c>
      <c r="D6" s="391" t="s">
        <v>216</v>
      </c>
      <c r="E6" s="391" t="s">
        <v>217</v>
      </c>
      <c r="F6" s="391" t="s">
        <v>220</v>
      </c>
      <c r="G6" s="393">
        <v>1805</v>
      </c>
      <c r="H6" s="393">
        <v>31720</v>
      </c>
      <c r="I6" s="393">
        <v>1590</v>
      </c>
      <c r="J6" s="393">
        <v>28010</v>
      </c>
      <c r="K6" s="393">
        <v>1280</v>
      </c>
      <c r="L6" s="393">
        <v>22500</v>
      </c>
      <c r="M6" s="393">
        <v>1555</v>
      </c>
      <c r="N6" s="393">
        <v>26940</v>
      </c>
      <c r="O6" s="393">
        <v>1365</v>
      </c>
      <c r="P6" s="393">
        <v>23600</v>
      </c>
      <c r="Q6" s="393">
        <v>1295</v>
      </c>
      <c r="R6" s="393">
        <v>22900</v>
      </c>
      <c r="S6" s="393">
        <v>1395</v>
      </c>
      <c r="T6" s="393">
        <v>24420</v>
      </c>
      <c r="U6" s="393">
        <v>1360</v>
      </c>
      <c r="V6" s="393">
        <v>25120</v>
      </c>
      <c r="W6" s="393">
        <v>1435</v>
      </c>
      <c r="X6" s="393">
        <v>25200</v>
      </c>
      <c r="Y6" s="393">
        <v>1495</v>
      </c>
      <c r="Z6" s="402">
        <v>26440</v>
      </c>
      <c r="AA6" s="407">
        <v>1530</v>
      </c>
      <c r="AB6" s="393">
        <v>26680</v>
      </c>
      <c r="AC6" s="419">
        <f t="shared" si="2"/>
        <v>1464.090909090909</v>
      </c>
      <c r="AD6" s="420">
        <f t="shared" si="3"/>
        <v>25775.454545454544</v>
      </c>
      <c r="AE6" s="393">
        <v>1665</v>
      </c>
      <c r="AF6" s="393">
        <v>29220</v>
      </c>
      <c r="AG6" s="394">
        <v>17770</v>
      </c>
      <c r="AH6" s="394">
        <v>312750</v>
      </c>
      <c r="AI6" s="394">
        <f t="shared" si="4"/>
        <v>1480.8333333333333</v>
      </c>
      <c r="AJ6" s="394">
        <f t="shared" si="5"/>
        <v>26062.5</v>
      </c>
      <c r="AK6" s="287">
        <v>1375</v>
      </c>
      <c r="AL6" s="287">
        <v>24100</v>
      </c>
      <c r="AM6" s="287">
        <v>16072</v>
      </c>
      <c r="AN6" s="287">
        <v>1230</v>
      </c>
      <c r="AO6" s="287">
        <v>21740</v>
      </c>
      <c r="AP6" s="287">
        <v>14302.400000000003</v>
      </c>
      <c r="AQ6" s="287">
        <v>1485</v>
      </c>
      <c r="AR6" s="287">
        <v>26340</v>
      </c>
      <c r="AS6" s="287">
        <v>17505.600000000002</v>
      </c>
      <c r="AT6" s="287">
        <v>1303</v>
      </c>
      <c r="AU6" s="287">
        <v>23132</v>
      </c>
      <c r="AV6" s="287">
        <v>15106.880000000001</v>
      </c>
      <c r="AW6" s="287">
        <v>1355</v>
      </c>
      <c r="AX6" s="287">
        <v>23920</v>
      </c>
      <c r="AY6" s="287">
        <v>15956.800000000003</v>
      </c>
      <c r="AZ6" s="287">
        <v>905</v>
      </c>
      <c r="BA6" s="287">
        <v>16520</v>
      </c>
      <c r="BB6" s="287">
        <v>11004.800000000003</v>
      </c>
      <c r="BC6" s="287">
        <v>1205</v>
      </c>
      <c r="BD6" s="287">
        <v>20760</v>
      </c>
      <c r="BE6" s="287">
        <v>13632.000000000002</v>
      </c>
      <c r="BF6" s="287">
        <v>1250</v>
      </c>
      <c r="BG6" s="287">
        <v>21640</v>
      </c>
      <c r="BH6" s="287">
        <v>14411.200000000003</v>
      </c>
      <c r="BI6" s="287">
        <v>1740</v>
      </c>
      <c r="BJ6" s="293">
        <v>29880</v>
      </c>
      <c r="BK6" s="287">
        <v>20160.000000000004</v>
      </c>
      <c r="BL6" s="287">
        <v>1695</v>
      </c>
      <c r="BM6" s="287">
        <v>28260</v>
      </c>
      <c r="BN6" s="287">
        <v>19641.600000000006</v>
      </c>
      <c r="BO6" s="287">
        <v>1686</v>
      </c>
      <c r="BP6" s="287">
        <v>29152</v>
      </c>
      <c r="BQ6" s="287">
        <v>19417.600000000006</v>
      </c>
      <c r="BR6" s="287">
        <v>1910</v>
      </c>
      <c r="BS6" s="287">
        <v>32560</v>
      </c>
      <c r="BT6" s="287">
        <v>22091.200000000004</v>
      </c>
      <c r="BU6" s="395">
        <f t="shared" si="6"/>
        <v>17139</v>
      </c>
      <c r="BV6" s="395">
        <f t="shared" si="7"/>
        <v>298004</v>
      </c>
      <c r="BW6" s="395">
        <f t="shared" si="8"/>
        <v>199302.08000000002</v>
      </c>
      <c r="BX6" s="490">
        <f t="shared" si="9"/>
        <v>1428.25</v>
      </c>
      <c r="BY6" s="490">
        <f t="shared" si="10"/>
        <v>24833.666666666668</v>
      </c>
      <c r="BZ6" s="490">
        <f t="shared" si="11"/>
        <v>16608.506666666668</v>
      </c>
      <c r="CA6" s="434">
        <f t="shared" ref="CA6:CA52" si="12">BX6/AI6*100-100</f>
        <v>-3.5509285312324153</v>
      </c>
      <c r="CB6" s="414" t="s">
        <v>324</v>
      </c>
    </row>
    <row r="7" spans="1:80">
      <c r="A7" s="391">
        <v>4</v>
      </c>
      <c r="B7" s="391" t="s">
        <v>222</v>
      </c>
      <c r="C7" s="391" t="s">
        <v>223</v>
      </c>
      <c r="D7" s="391" t="s">
        <v>216</v>
      </c>
      <c r="E7" s="391" t="s">
        <v>217</v>
      </c>
      <c r="F7" s="391" t="s">
        <v>220</v>
      </c>
      <c r="G7" s="393">
        <v>680</v>
      </c>
      <c r="H7" s="393">
        <v>11720</v>
      </c>
      <c r="I7" s="393">
        <v>550</v>
      </c>
      <c r="J7" s="393">
        <v>9700</v>
      </c>
      <c r="K7" s="393">
        <v>655</v>
      </c>
      <c r="L7" s="393">
        <v>10920</v>
      </c>
      <c r="M7" s="393">
        <v>500</v>
      </c>
      <c r="N7" s="393">
        <v>8250</v>
      </c>
      <c r="O7" s="393">
        <v>375</v>
      </c>
      <c r="P7" s="393">
        <v>6850</v>
      </c>
      <c r="Q7" s="393">
        <v>595</v>
      </c>
      <c r="R7" s="393">
        <v>10030</v>
      </c>
      <c r="S7" s="393">
        <v>635</v>
      </c>
      <c r="T7" s="393">
        <v>10690</v>
      </c>
      <c r="U7" s="393">
        <v>690</v>
      </c>
      <c r="V7" s="393">
        <v>11360</v>
      </c>
      <c r="W7" s="393">
        <v>530</v>
      </c>
      <c r="X7" s="393">
        <v>9050</v>
      </c>
      <c r="Y7" s="393">
        <v>610</v>
      </c>
      <c r="Z7" s="402">
        <v>10340</v>
      </c>
      <c r="AA7" s="407">
        <v>565</v>
      </c>
      <c r="AB7" s="393">
        <v>9660</v>
      </c>
      <c r="AC7" s="419">
        <f t="shared" si="2"/>
        <v>580.4545454545455</v>
      </c>
      <c r="AD7" s="420">
        <f t="shared" si="3"/>
        <v>9870</v>
      </c>
      <c r="AE7" s="393">
        <v>655</v>
      </c>
      <c r="AF7" s="393">
        <v>11220</v>
      </c>
      <c r="AG7" s="394">
        <v>7040</v>
      </c>
      <c r="AH7" s="394">
        <v>119790</v>
      </c>
      <c r="AI7" s="394">
        <f t="shared" si="4"/>
        <v>586.66666666666663</v>
      </c>
      <c r="AJ7" s="394">
        <f t="shared" si="5"/>
        <v>9982.5</v>
      </c>
      <c r="AK7" s="287">
        <v>515</v>
      </c>
      <c r="AL7" s="287">
        <v>8860</v>
      </c>
      <c r="AM7" s="287">
        <v>5670.4</v>
      </c>
      <c r="AN7" s="287">
        <v>670</v>
      </c>
      <c r="AO7" s="287">
        <v>11080</v>
      </c>
      <c r="AP7" s="287">
        <v>7091.1999999999989</v>
      </c>
      <c r="AQ7" s="287">
        <v>495</v>
      </c>
      <c r="AR7" s="287">
        <v>8630</v>
      </c>
      <c r="AS7" s="287">
        <v>5523.2000000000007</v>
      </c>
      <c r="AT7" s="287">
        <v>410</v>
      </c>
      <c r="AU7" s="287">
        <v>7390</v>
      </c>
      <c r="AV7" s="287">
        <v>4729.6000000000004</v>
      </c>
      <c r="AW7" s="287">
        <v>605</v>
      </c>
      <c r="AX7" s="287">
        <v>10970</v>
      </c>
      <c r="AY7" s="287">
        <v>7280</v>
      </c>
      <c r="AZ7" s="287">
        <v>480</v>
      </c>
      <c r="BA7" s="287">
        <v>8420</v>
      </c>
      <c r="BB7" s="287">
        <v>5388.8</v>
      </c>
      <c r="BC7" s="287">
        <v>595</v>
      </c>
      <c r="BD7" s="287">
        <v>10480</v>
      </c>
      <c r="BE7" s="287">
        <v>6707.2000000000007</v>
      </c>
      <c r="BF7" s="287">
        <v>445</v>
      </c>
      <c r="BG7" s="287">
        <v>7930</v>
      </c>
      <c r="BH7" s="287">
        <v>5075.2000000000007</v>
      </c>
      <c r="BI7" s="287">
        <v>470</v>
      </c>
      <c r="BJ7" s="293">
        <v>8230</v>
      </c>
      <c r="BK7" s="287">
        <v>5267.2</v>
      </c>
      <c r="BL7" s="287">
        <v>500</v>
      </c>
      <c r="BM7" s="287">
        <v>9000</v>
      </c>
      <c r="BN7" s="287">
        <v>5760</v>
      </c>
      <c r="BO7" s="287">
        <v>615</v>
      </c>
      <c r="BP7" s="287">
        <v>10460</v>
      </c>
      <c r="BQ7" s="287">
        <v>6694.4000000000005</v>
      </c>
      <c r="BR7" s="287">
        <v>410</v>
      </c>
      <c r="BS7" s="287">
        <v>7340</v>
      </c>
      <c r="BT7" s="287">
        <v>4697.6000000000004</v>
      </c>
      <c r="BU7" s="395">
        <f t="shared" si="6"/>
        <v>6210</v>
      </c>
      <c r="BV7" s="395">
        <f t="shared" si="7"/>
        <v>108790</v>
      </c>
      <c r="BW7" s="395">
        <f t="shared" si="8"/>
        <v>69884.800000000003</v>
      </c>
      <c r="BX7" s="490">
        <f t="shared" si="9"/>
        <v>517.5</v>
      </c>
      <c r="BY7" s="490">
        <f t="shared" si="10"/>
        <v>9065.8333333333339</v>
      </c>
      <c r="BZ7" s="490">
        <f t="shared" si="11"/>
        <v>5823.7333333333336</v>
      </c>
      <c r="CA7" s="434">
        <f t="shared" si="12"/>
        <v>-11.78977272727272</v>
      </c>
      <c r="CB7" s="415" t="s">
        <v>324</v>
      </c>
    </row>
    <row r="8" spans="1:80">
      <c r="A8" s="391">
        <v>5</v>
      </c>
      <c r="B8" s="391" t="s">
        <v>224</v>
      </c>
      <c r="C8" s="391" t="s">
        <v>225</v>
      </c>
      <c r="D8" s="391" t="s">
        <v>226</v>
      </c>
      <c r="E8" s="391" t="s">
        <v>99</v>
      </c>
      <c r="F8" s="391" t="s">
        <v>220</v>
      </c>
      <c r="G8" s="393">
        <v>820</v>
      </c>
      <c r="H8" s="393">
        <v>12240</v>
      </c>
      <c r="I8" s="393">
        <v>1091</v>
      </c>
      <c r="J8" s="393">
        <v>15944</v>
      </c>
      <c r="K8" s="393">
        <v>1010</v>
      </c>
      <c r="L8" s="393">
        <v>14850</v>
      </c>
      <c r="M8" s="393">
        <v>1210</v>
      </c>
      <c r="N8" s="393">
        <v>17820</v>
      </c>
      <c r="O8" s="393">
        <v>1050</v>
      </c>
      <c r="P8" s="393">
        <v>15550</v>
      </c>
      <c r="Q8" s="393">
        <v>830</v>
      </c>
      <c r="R8" s="393">
        <v>12290</v>
      </c>
      <c r="S8" s="393">
        <v>1315</v>
      </c>
      <c r="T8" s="393">
        <v>19480</v>
      </c>
      <c r="U8" s="393">
        <v>1150</v>
      </c>
      <c r="V8" s="393">
        <v>17060</v>
      </c>
      <c r="W8" s="393">
        <v>1185</v>
      </c>
      <c r="X8" s="393">
        <v>17750</v>
      </c>
      <c r="Y8" s="393">
        <v>1055</v>
      </c>
      <c r="Z8" s="402">
        <v>15730</v>
      </c>
      <c r="AA8" s="407">
        <v>880</v>
      </c>
      <c r="AB8" s="393">
        <v>13380</v>
      </c>
      <c r="AC8" s="419">
        <f t="shared" si="2"/>
        <v>1054.1818181818182</v>
      </c>
      <c r="AD8" s="420">
        <f t="shared" si="3"/>
        <v>15644.90909090909</v>
      </c>
      <c r="AE8" s="393">
        <v>695</v>
      </c>
      <c r="AF8" s="393">
        <v>10370</v>
      </c>
      <c r="AG8" s="394">
        <v>12291</v>
      </c>
      <c r="AH8" s="394">
        <v>182464</v>
      </c>
      <c r="AI8" s="394">
        <f t="shared" si="4"/>
        <v>1024.25</v>
      </c>
      <c r="AJ8" s="394">
        <f t="shared" si="5"/>
        <v>15205.333333333334</v>
      </c>
      <c r="AK8" s="287">
        <v>820</v>
      </c>
      <c r="AL8" s="287">
        <v>12290</v>
      </c>
      <c r="AM8" s="287">
        <v>7898</v>
      </c>
      <c r="AN8" s="287">
        <v>525</v>
      </c>
      <c r="AO8" s="287">
        <v>8050</v>
      </c>
      <c r="AP8" s="287">
        <v>5170</v>
      </c>
      <c r="AQ8" s="287">
        <v>790</v>
      </c>
      <c r="AR8" s="287">
        <v>12280</v>
      </c>
      <c r="AS8" s="287">
        <v>7870</v>
      </c>
      <c r="AT8" s="287">
        <v>668</v>
      </c>
      <c r="AU8" s="287">
        <v>10932</v>
      </c>
      <c r="AV8" s="287">
        <v>7003.68</v>
      </c>
      <c r="AW8" s="287">
        <v>660</v>
      </c>
      <c r="AX8" s="287">
        <v>10920</v>
      </c>
      <c r="AY8" s="287">
        <v>7014.0000000000009</v>
      </c>
      <c r="AZ8" s="287">
        <v>510</v>
      </c>
      <c r="BA8" s="287">
        <v>7630</v>
      </c>
      <c r="BB8" s="287">
        <v>4886.8</v>
      </c>
      <c r="BC8" s="287">
        <v>595</v>
      </c>
      <c r="BD8" s="287">
        <v>8560</v>
      </c>
      <c r="BE8" s="287">
        <v>5467.6</v>
      </c>
      <c r="BF8" s="287">
        <v>575</v>
      </c>
      <c r="BG8" s="287">
        <v>8500</v>
      </c>
      <c r="BH8" s="287">
        <v>5440</v>
      </c>
      <c r="BI8" s="287">
        <v>530</v>
      </c>
      <c r="BJ8" s="293">
        <v>7860</v>
      </c>
      <c r="BK8" s="287">
        <v>5034</v>
      </c>
      <c r="BL8" s="287">
        <v>695</v>
      </c>
      <c r="BM8" s="287">
        <v>10220</v>
      </c>
      <c r="BN8" s="287">
        <v>6544.4</v>
      </c>
      <c r="BO8" s="287">
        <v>535</v>
      </c>
      <c r="BP8" s="287">
        <v>8090</v>
      </c>
      <c r="BQ8" s="287">
        <v>5177.6000000000004</v>
      </c>
      <c r="BR8" s="287">
        <v>445</v>
      </c>
      <c r="BS8" s="287">
        <v>6820</v>
      </c>
      <c r="BT8" s="287">
        <v>4368.3999999999996</v>
      </c>
      <c r="BU8" s="395">
        <f t="shared" si="6"/>
        <v>7348</v>
      </c>
      <c r="BV8" s="395">
        <f t="shared" si="7"/>
        <v>112152</v>
      </c>
      <c r="BW8" s="395">
        <f t="shared" si="8"/>
        <v>71874.48000000001</v>
      </c>
      <c r="BX8" s="490">
        <f t="shared" si="9"/>
        <v>612.33333333333337</v>
      </c>
      <c r="BY8" s="490">
        <f t="shared" si="10"/>
        <v>9346</v>
      </c>
      <c r="BZ8" s="490">
        <f t="shared" si="11"/>
        <v>5989.5400000000009</v>
      </c>
      <c r="CA8" s="434">
        <f t="shared" si="12"/>
        <v>-40.216418517614514</v>
      </c>
      <c r="CB8" s="415" t="s">
        <v>324</v>
      </c>
    </row>
    <row r="9" spans="1:80" ht="21" thickBot="1">
      <c r="A9" s="391">
        <v>6</v>
      </c>
      <c r="B9" s="391" t="s">
        <v>227</v>
      </c>
      <c r="C9" s="391" t="s">
        <v>228</v>
      </c>
      <c r="D9" s="391" t="s">
        <v>229</v>
      </c>
      <c r="E9" s="391" t="s">
        <v>147</v>
      </c>
      <c r="F9" s="391" t="s">
        <v>220</v>
      </c>
      <c r="G9" s="393">
        <v>600</v>
      </c>
      <c r="H9" s="393">
        <v>8000</v>
      </c>
      <c r="I9" s="393">
        <v>420</v>
      </c>
      <c r="J9" s="393">
        <v>6120</v>
      </c>
      <c r="K9" s="393">
        <v>710</v>
      </c>
      <c r="L9" s="393">
        <v>10520</v>
      </c>
      <c r="M9" s="393">
        <v>530</v>
      </c>
      <c r="N9" s="393">
        <v>7560</v>
      </c>
      <c r="O9" s="393">
        <v>350</v>
      </c>
      <c r="P9" s="393">
        <v>5300</v>
      </c>
      <c r="Q9" s="393">
        <v>410</v>
      </c>
      <c r="R9" s="393">
        <v>5580</v>
      </c>
      <c r="S9" s="393">
        <v>600</v>
      </c>
      <c r="T9" s="393">
        <v>8580</v>
      </c>
      <c r="U9" s="393">
        <v>580</v>
      </c>
      <c r="V9" s="393">
        <v>8380</v>
      </c>
      <c r="W9" s="393">
        <v>590</v>
      </c>
      <c r="X9" s="393">
        <v>8060</v>
      </c>
      <c r="Y9" s="393">
        <v>540</v>
      </c>
      <c r="Z9" s="402">
        <v>7680</v>
      </c>
      <c r="AA9" s="407">
        <v>630</v>
      </c>
      <c r="AB9" s="393">
        <v>8920</v>
      </c>
      <c r="AC9" s="419">
        <f t="shared" si="2"/>
        <v>541.81818181818187</v>
      </c>
      <c r="AD9" s="420">
        <f t="shared" si="3"/>
        <v>7700</v>
      </c>
      <c r="AE9" s="393">
        <v>580</v>
      </c>
      <c r="AF9" s="393">
        <v>8480</v>
      </c>
      <c r="AG9" s="394">
        <v>6540</v>
      </c>
      <c r="AH9" s="394">
        <v>93180</v>
      </c>
      <c r="AI9" s="394">
        <f t="shared" si="4"/>
        <v>545</v>
      </c>
      <c r="AJ9" s="394">
        <f t="shared" si="5"/>
        <v>7765</v>
      </c>
      <c r="AK9" s="287">
        <v>710</v>
      </c>
      <c r="AL9" s="287">
        <v>10540</v>
      </c>
      <c r="AM9" s="287">
        <v>6817.6</v>
      </c>
      <c r="AN9" s="287">
        <v>410</v>
      </c>
      <c r="AO9" s="287">
        <v>5580</v>
      </c>
      <c r="AP9" s="287">
        <v>3664.8</v>
      </c>
      <c r="AQ9" s="287">
        <v>680</v>
      </c>
      <c r="AR9" s="287">
        <v>9720</v>
      </c>
      <c r="AS9" s="287">
        <v>6328.8</v>
      </c>
      <c r="AT9" s="287">
        <v>490</v>
      </c>
      <c r="AU9" s="287">
        <v>7160</v>
      </c>
      <c r="AV9" s="287">
        <v>4582.3999999999996</v>
      </c>
      <c r="AW9" s="287">
        <v>200</v>
      </c>
      <c r="AX9" s="287">
        <v>2900</v>
      </c>
      <c r="AY9" s="287">
        <v>1892</v>
      </c>
      <c r="AZ9" s="287">
        <v>250</v>
      </c>
      <c r="BA9" s="287">
        <v>3400</v>
      </c>
      <c r="BB9" s="287">
        <v>2212</v>
      </c>
      <c r="BC9" s="287">
        <v>250</v>
      </c>
      <c r="BD9" s="287">
        <v>3300</v>
      </c>
      <c r="BE9" s="287">
        <v>2184</v>
      </c>
      <c r="BF9" s="287">
        <v>270</v>
      </c>
      <c r="BG9" s="287">
        <v>3980</v>
      </c>
      <c r="BH9" s="287">
        <v>2547.1999999999998</v>
      </c>
      <c r="BI9" s="287">
        <v>200</v>
      </c>
      <c r="BJ9" s="293">
        <v>2700</v>
      </c>
      <c r="BK9" s="287">
        <v>1764</v>
      </c>
      <c r="BL9" s="287">
        <v>540</v>
      </c>
      <c r="BM9" s="287">
        <v>7510</v>
      </c>
      <c r="BN9" s="287">
        <v>4896.3999999999996</v>
      </c>
      <c r="BO9" s="287">
        <v>570</v>
      </c>
      <c r="BP9" s="287">
        <v>8080</v>
      </c>
      <c r="BQ9" s="287">
        <v>5207.2</v>
      </c>
      <c r="BR9" s="287">
        <v>350</v>
      </c>
      <c r="BS9" s="287">
        <v>4800</v>
      </c>
      <c r="BT9" s="287">
        <v>3108</v>
      </c>
      <c r="BU9" s="395">
        <f t="shared" si="6"/>
        <v>4920</v>
      </c>
      <c r="BV9" s="395">
        <f t="shared" si="7"/>
        <v>69670</v>
      </c>
      <c r="BW9" s="395">
        <f t="shared" si="8"/>
        <v>45204.4</v>
      </c>
      <c r="BX9" s="490">
        <f t="shared" si="9"/>
        <v>410</v>
      </c>
      <c r="BY9" s="490">
        <f t="shared" si="10"/>
        <v>5805.833333333333</v>
      </c>
      <c r="BZ9" s="490">
        <f t="shared" si="11"/>
        <v>3767.0333333333333</v>
      </c>
      <c r="CA9" s="434">
        <f t="shared" si="12"/>
        <v>-24.77064220183486</v>
      </c>
      <c r="CB9" s="416" t="s">
        <v>324</v>
      </c>
    </row>
    <row r="10" spans="1:80" ht="21" thickBot="1">
      <c r="A10" s="391">
        <v>7</v>
      </c>
      <c r="B10" s="391" t="s">
        <v>230</v>
      </c>
      <c r="C10" s="391" t="s">
        <v>231</v>
      </c>
      <c r="D10" s="391" t="s">
        <v>232</v>
      </c>
      <c r="E10" s="391" t="s">
        <v>233</v>
      </c>
      <c r="F10" s="391" t="s">
        <v>218</v>
      </c>
      <c r="G10" s="393">
        <v>6516</v>
      </c>
      <c r="H10" s="393">
        <v>98691</v>
      </c>
      <c r="I10" s="393">
        <v>5647</v>
      </c>
      <c r="J10" s="393">
        <v>85230</v>
      </c>
      <c r="K10" s="393">
        <v>5710</v>
      </c>
      <c r="L10" s="393">
        <v>88118</v>
      </c>
      <c r="M10" s="393">
        <v>5365</v>
      </c>
      <c r="N10" s="393">
        <v>72126</v>
      </c>
      <c r="O10" s="393">
        <v>6023</v>
      </c>
      <c r="P10" s="393">
        <v>91184</v>
      </c>
      <c r="Q10" s="393">
        <v>4894</v>
      </c>
      <c r="R10" s="393">
        <v>74732</v>
      </c>
      <c r="S10" s="393">
        <v>6323</v>
      </c>
      <c r="T10" s="393">
        <v>96882</v>
      </c>
      <c r="U10" s="393">
        <v>5935</v>
      </c>
      <c r="V10" s="393">
        <v>91352</v>
      </c>
      <c r="W10" s="393">
        <v>5317</v>
      </c>
      <c r="X10" s="393">
        <v>82814</v>
      </c>
      <c r="Y10" s="393">
        <v>7035</v>
      </c>
      <c r="Z10" s="402">
        <v>107706</v>
      </c>
      <c r="AA10" s="407">
        <v>6748</v>
      </c>
      <c r="AB10" s="393">
        <v>103760</v>
      </c>
      <c r="AC10" s="419">
        <f t="shared" si="2"/>
        <v>5955.727272727273</v>
      </c>
      <c r="AD10" s="420">
        <f t="shared" si="3"/>
        <v>90235.909090909088</v>
      </c>
      <c r="AE10" s="393">
        <v>6983</v>
      </c>
      <c r="AF10" s="393">
        <v>110426</v>
      </c>
      <c r="AG10" s="394">
        <v>72496</v>
      </c>
      <c r="AH10" s="394">
        <v>1103021</v>
      </c>
      <c r="AI10" s="394">
        <f t="shared" si="4"/>
        <v>6041.333333333333</v>
      </c>
      <c r="AJ10" s="394">
        <f t="shared" si="5"/>
        <v>91918.416666666672</v>
      </c>
      <c r="AK10" s="287">
        <v>5679</v>
      </c>
      <c r="AL10" s="287">
        <v>91044</v>
      </c>
      <c r="AM10" s="287">
        <v>59232.719999999994</v>
      </c>
      <c r="AN10" s="287">
        <v>5524</v>
      </c>
      <c r="AO10" s="287">
        <v>85900</v>
      </c>
      <c r="AP10" s="287">
        <v>56079.760000000009</v>
      </c>
      <c r="AQ10" s="287">
        <v>9718.6428571428569</v>
      </c>
      <c r="AR10" s="287">
        <v>150353</v>
      </c>
      <c r="AS10" s="287">
        <v>97036.88</v>
      </c>
      <c r="AT10" s="287">
        <v>5446</v>
      </c>
      <c r="AU10" s="287">
        <v>86797</v>
      </c>
      <c r="AV10" s="287">
        <v>56531.499999999993</v>
      </c>
      <c r="AW10" s="287">
        <v>6013.25</v>
      </c>
      <c r="AX10" s="287">
        <v>95492</v>
      </c>
      <c r="AY10" s="287">
        <v>61728.5</v>
      </c>
      <c r="AZ10" s="287">
        <v>5801</v>
      </c>
      <c r="BA10" s="287">
        <v>91868</v>
      </c>
      <c r="BB10" s="287">
        <v>59636.479999999996</v>
      </c>
      <c r="BC10" s="287">
        <v>5860</v>
      </c>
      <c r="BD10" s="287">
        <v>92652</v>
      </c>
      <c r="BE10" s="287">
        <v>60025.680000000022</v>
      </c>
      <c r="BF10" s="287">
        <v>6328</v>
      </c>
      <c r="BG10" s="287">
        <v>99700</v>
      </c>
      <c r="BH10" s="287">
        <v>64743.520000000004</v>
      </c>
      <c r="BI10" s="287">
        <v>5447</v>
      </c>
      <c r="BJ10" s="293">
        <v>86272</v>
      </c>
      <c r="BK10" s="287">
        <v>56440.240000000005</v>
      </c>
      <c r="BL10" s="287">
        <v>6337</v>
      </c>
      <c r="BM10" s="287">
        <v>99162</v>
      </c>
      <c r="BN10" s="287">
        <v>65068.319999999992</v>
      </c>
      <c r="BO10" s="287">
        <v>5405</v>
      </c>
      <c r="BP10" s="287">
        <v>84154</v>
      </c>
      <c r="BQ10" s="287">
        <v>55391.200000000012</v>
      </c>
      <c r="BR10" s="287">
        <v>6894</v>
      </c>
      <c r="BS10" s="287">
        <v>108108</v>
      </c>
      <c r="BT10" s="287">
        <v>71232.960000000006</v>
      </c>
      <c r="BU10" s="395">
        <f t="shared" si="6"/>
        <v>74452.892857142855</v>
      </c>
      <c r="BV10" s="395">
        <f t="shared" si="7"/>
        <v>1171502</v>
      </c>
      <c r="BW10" s="395">
        <f t="shared" si="8"/>
        <v>763147.76</v>
      </c>
      <c r="BX10" s="490">
        <f t="shared" si="9"/>
        <v>6204.4077380952376</v>
      </c>
      <c r="BY10" s="490">
        <f t="shared" si="10"/>
        <v>97625.166666666672</v>
      </c>
      <c r="BZ10" s="490">
        <f t="shared" si="11"/>
        <v>63595.646666666667</v>
      </c>
      <c r="CA10" s="434">
        <f t="shared" si="12"/>
        <v>2.6993114891067762</v>
      </c>
    </row>
    <row r="11" spans="1:80">
      <c r="A11" s="391">
        <v>8</v>
      </c>
      <c r="B11" s="391" t="s">
        <v>234</v>
      </c>
      <c r="C11" s="391" t="s">
        <v>235</v>
      </c>
      <c r="D11" s="391" t="s">
        <v>236</v>
      </c>
      <c r="E11" s="391" t="s">
        <v>150</v>
      </c>
      <c r="F11" s="391" t="s">
        <v>218</v>
      </c>
      <c r="G11" s="393">
        <v>2190</v>
      </c>
      <c r="H11" s="393">
        <v>36320</v>
      </c>
      <c r="I11" s="393">
        <v>1835</v>
      </c>
      <c r="J11" s="393">
        <v>30600</v>
      </c>
      <c r="K11" s="393">
        <v>1680</v>
      </c>
      <c r="L11" s="393">
        <v>27970</v>
      </c>
      <c r="M11" s="393">
        <v>1220</v>
      </c>
      <c r="N11" s="393">
        <v>21340</v>
      </c>
      <c r="O11" s="393">
        <v>1935</v>
      </c>
      <c r="P11" s="393">
        <v>32790</v>
      </c>
      <c r="Q11" s="393">
        <v>1670</v>
      </c>
      <c r="R11" s="393">
        <v>27630</v>
      </c>
      <c r="S11" s="393">
        <v>1850</v>
      </c>
      <c r="T11" s="393">
        <v>31070</v>
      </c>
      <c r="U11" s="393">
        <v>1745</v>
      </c>
      <c r="V11" s="393">
        <v>28830</v>
      </c>
      <c r="W11" s="393">
        <v>1530</v>
      </c>
      <c r="X11" s="393">
        <v>26620</v>
      </c>
      <c r="Y11" s="393">
        <v>2110</v>
      </c>
      <c r="Z11" s="402">
        <v>34710</v>
      </c>
      <c r="AA11" s="407">
        <v>1680</v>
      </c>
      <c r="AB11" s="393">
        <v>28690</v>
      </c>
      <c r="AC11" s="419">
        <f t="shared" si="2"/>
        <v>1767.7272727272727</v>
      </c>
      <c r="AD11" s="420">
        <f t="shared" si="3"/>
        <v>29688.18181818182</v>
      </c>
      <c r="AE11" s="393">
        <v>2085</v>
      </c>
      <c r="AF11" s="393">
        <v>33990</v>
      </c>
      <c r="AG11" s="394">
        <v>21530</v>
      </c>
      <c r="AH11" s="394">
        <v>360560</v>
      </c>
      <c r="AI11" s="394">
        <f t="shared" si="4"/>
        <v>1794.1666666666667</v>
      </c>
      <c r="AJ11" s="394">
        <f t="shared" si="5"/>
        <v>30046.666666666668</v>
      </c>
      <c r="AK11" s="287">
        <v>2081</v>
      </c>
      <c r="AL11" s="287">
        <v>35334</v>
      </c>
      <c r="AM11" s="287">
        <v>22613.760000000002</v>
      </c>
      <c r="AN11" s="287">
        <v>1760</v>
      </c>
      <c r="AO11" s="287">
        <v>29590</v>
      </c>
      <c r="AP11" s="287">
        <v>18937.600000000002</v>
      </c>
      <c r="AQ11" s="287">
        <v>2085</v>
      </c>
      <c r="AR11" s="287">
        <v>35120</v>
      </c>
      <c r="AS11" s="287">
        <v>22754</v>
      </c>
      <c r="AT11" s="287">
        <v>1620</v>
      </c>
      <c r="AU11" s="287">
        <v>27840</v>
      </c>
      <c r="AV11" s="287">
        <v>17904</v>
      </c>
      <c r="AW11" s="287">
        <v>1309</v>
      </c>
      <c r="AX11" s="287">
        <v>22476</v>
      </c>
      <c r="AY11" s="287">
        <v>14492.64</v>
      </c>
      <c r="AZ11" s="287">
        <v>2830</v>
      </c>
      <c r="BA11" s="287">
        <v>46070</v>
      </c>
      <c r="BB11" s="287">
        <v>30024.799999999999</v>
      </c>
      <c r="BC11" s="287">
        <v>880</v>
      </c>
      <c r="BD11" s="287">
        <v>15060</v>
      </c>
      <c r="BE11" s="287">
        <v>9656.4</v>
      </c>
      <c r="BF11" s="287">
        <v>1515</v>
      </c>
      <c r="BG11" s="287">
        <v>26220</v>
      </c>
      <c r="BH11" s="287">
        <v>16795.2</v>
      </c>
      <c r="BI11" s="287">
        <v>1320</v>
      </c>
      <c r="BJ11" s="293">
        <v>22680</v>
      </c>
      <c r="BK11" s="287">
        <v>14515.2</v>
      </c>
      <c r="BL11" s="287">
        <v>1704</v>
      </c>
      <c r="BM11" s="287">
        <v>28436</v>
      </c>
      <c r="BN11" s="287">
        <v>18458.240000000002</v>
      </c>
      <c r="BO11" s="287">
        <v>1800</v>
      </c>
      <c r="BP11" s="287">
        <v>29370</v>
      </c>
      <c r="BQ11" s="287">
        <v>18807.600000000002</v>
      </c>
      <c r="BR11" s="287">
        <v>1900</v>
      </c>
      <c r="BS11" s="287">
        <v>31750</v>
      </c>
      <c r="BT11" s="287">
        <v>20535.999999999996</v>
      </c>
      <c r="BU11" s="395">
        <f t="shared" si="6"/>
        <v>20804</v>
      </c>
      <c r="BV11" s="395">
        <f t="shared" si="7"/>
        <v>349946</v>
      </c>
      <c r="BW11" s="395">
        <f t="shared" si="8"/>
        <v>225495.44</v>
      </c>
      <c r="BX11" s="490">
        <f t="shared" si="9"/>
        <v>1733.6666666666667</v>
      </c>
      <c r="BY11" s="490">
        <f t="shared" si="10"/>
        <v>29162.166666666668</v>
      </c>
      <c r="BZ11" s="490">
        <f t="shared" si="11"/>
        <v>18791.286666666667</v>
      </c>
      <c r="CA11" s="434">
        <f t="shared" si="12"/>
        <v>-3.3720390153274593</v>
      </c>
      <c r="CB11" s="414" t="s">
        <v>324</v>
      </c>
    </row>
    <row r="12" spans="1:80">
      <c r="A12" s="391">
        <v>9</v>
      </c>
      <c r="B12" s="391" t="s">
        <v>237</v>
      </c>
      <c r="C12" s="391" t="s">
        <v>238</v>
      </c>
      <c r="D12" s="391" t="s">
        <v>236</v>
      </c>
      <c r="E12" s="391" t="s">
        <v>150</v>
      </c>
      <c r="F12" s="391" t="s">
        <v>218</v>
      </c>
      <c r="G12" s="393">
        <v>2195</v>
      </c>
      <c r="H12" s="393">
        <v>33730</v>
      </c>
      <c r="I12" s="393">
        <v>2065</v>
      </c>
      <c r="J12" s="393">
        <v>34150</v>
      </c>
      <c r="K12" s="393">
        <v>1725</v>
      </c>
      <c r="L12" s="393">
        <v>28650</v>
      </c>
      <c r="M12" s="393">
        <v>1340</v>
      </c>
      <c r="N12" s="393">
        <v>22500</v>
      </c>
      <c r="O12" s="393">
        <v>2230</v>
      </c>
      <c r="P12" s="393">
        <v>37610</v>
      </c>
      <c r="Q12" s="393">
        <v>2305</v>
      </c>
      <c r="R12" s="393">
        <v>37710</v>
      </c>
      <c r="S12" s="393">
        <v>1291</v>
      </c>
      <c r="T12" s="393">
        <v>20784</v>
      </c>
      <c r="U12" s="393">
        <v>2127</v>
      </c>
      <c r="V12" s="393">
        <v>34938</v>
      </c>
      <c r="W12" s="393">
        <v>1646</v>
      </c>
      <c r="X12" s="393">
        <v>27484</v>
      </c>
      <c r="Y12" s="393">
        <v>1615</v>
      </c>
      <c r="Z12" s="402">
        <v>26810</v>
      </c>
      <c r="AA12" s="407">
        <v>2040</v>
      </c>
      <c r="AB12" s="393">
        <v>32860</v>
      </c>
      <c r="AC12" s="419">
        <f t="shared" si="2"/>
        <v>1870.8181818181818</v>
      </c>
      <c r="AD12" s="420">
        <f t="shared" si="3"/>
        <v>30656.909090909092</v>
      </c>
      <c r="AE12" s="393">
        <v>2000</v>
      </c>
      <c r="AF12" s="393">
        <v>32200</v>
      </c>
      <c r="AG12" s="394">
        <v>22579</v>
      </c>
      <c r="AH12" s="394">
        <v>369426</v>
      </c>
      <c r="AI12" s="394">
        <f t="shared" si="4"/>
        <v>1881.5833333333333</v>
      </c>
      <c r="AJ12" s="394">
        <f t="shared" si="5"/>
        <v>30785.5</v>
      </c>
      <c r="AK12" s="287">
        <v>1590</v>
      </c>
      <c r="AL12" s="287">
        <v>26100</v>
      </c>
      <c r="AM12" s="287">
        <v>16725.599999999999</v>
      </c>
      <c r="AN12" s="287">
        <v>2015</v>
      </c>
      <c r="AO12" s="287">
        <v>33510</v>
      </c>
      <c r="AP12" s="287">
        <v>21446.400000000001</v>
      </c>
      <c r="AQ12" s="287">
        <v>1905</v>
      </c>
      <c r="AR12" s="287">
        <v>32040</v>
      </c>
      <c r="AS12" s="287">
        <v>20570.400000000001</v>
      </c>
      <c r="AT12" s="287">
        <v>2120</v>
      </c>
      <c r="AU12" s="287">
        <v>34440</v>
      </c>
      <c r="AV12" s="287">
        <v>22128</v>
      </c>
      <c r="AW12" s="287">
        <v>1100</v>
      </c>
      <c r="AX12" s="287">
        <v>18700</v>
      </c>
      <c r="AY12" s="287">
        <v>11968</v>
      </c>
      <c r="AZ12" s="287">
        <v>1315</v>
      </c>
      <c r="BA12" s="287">
        <v>20900</v>
      </c>
      <c r="BB12" s="287">
        <v>13505.6</v>
      </c>
      <c r="BC12" s="287">
        <v>1435</v>
      </c>
      <c r="BD12" s="287">
        <v>24620</v>
      </c>
      <c r="BE12" s="287">
        <v>15836.000000000002</v>
      </c>
      <c r="BF12" s="287">
        <v>1250</v>
      </c>
      <c r="BG12" s="287">
        <v>21200</v>
      </c>
      <c r="BH12" s="287">
        <v>13568</v>
      </c>
      <c r="BI12" s="287">
        <v>1450</v>
      </c>
      <c r="BJ12" s="293">
        <v>24340</v>
      </c>
      <c r="BK12" s="287">
        <v>15995.199999999999</v>
      </c>
      <c r="BL12" s="287">
        <v>1145</v>
      </c>
      <c r="BM12" s="287">
        <v>19530</v>
      </c>
      <c r="BN12" s="287">
        <v>12499.199999999999</v>
      </c>
      <c r="BO12" s="287">
        <v>1910</v>
      </c>
      <c r="BP12" s="287">
        <v>31340</v>
      </c>
      <c r="BQ12" s="287">
        <v>20057.599999999999</v>
      </c>
      <c r="BR12" s="287">
        <v>1080</v>
      </c>
      <c r="BS12" s="287">
        <v>17820</v>
      </c>
      <c r="BT12" s="287">
        <v>11404.8</v>
      </c>
      <c r="BU12" s="395">
        <f t="shared" si="6"/>
        <v>18315</v>
      </c>
      <c r="BV12" s="395">
        <f t="shared" si="7"/>
        <v>304540</v>
      </c>
      <c r="BW12" s="395">
        <f t="shared" si="8"/>
        <v>195704.8</v>
      </c>
      <c r="BX12" s="490">
        <f t="shared" si="9"/>
        <v>1526.25</v>
      </c>
      <c r="BY12" s="490">
        <f t="shared" si="10"/>
        <v>25378.333333333332</v>
      </c>
      <c r="BZ12" s="490">
        <f t="shared" si="11"/>
        <v>16308.733333333332</v>
      </c>
      <c r="CA12" s="434">
        <f t="shared" si="12"/>
        <v>-18.884804464325256</v>
      </c>
      <c r="CB12" s="415" t="s">
        <v>324</v>
      </c>
    </row>
    <row r="13" spans="1:80">
      <c r="A13" s="391">
        <v>10</v>
      </c>
      <c r="B13" s="391" t="s">
        <v>239</v>
      </c>
      <c r="C13" s="391" t="s">
        <v>240</v>
      </c>
      <c r="D13" s="391" t="s">
        <v>241</v>
      </c>
      <c r="E13" s="391" t="s">
        <v>151</v>
      </c>
      <c r="F13" s="391" t="s">
        <v>220</v>
      </c>
      <c r="G13" s="393">
        <v>600</v>
      </c>
      <c r="H13" s="393">
        <v>8200</v>
      </c>
      <c r="I13" s="393">
        <v>400</v>
      </c>
      <c r="J13" s="393">
        <v>5600</v>
      </c>
      <c r="K13" s="393">
        <v>900</v>
      </c>
      <c r="L13" s="393">
        <v>12600</v>
      </c>
      <c r="M13" s="393">
        <v>300</v>
      </c>
      <c r="N13" s="393">
        <v>5600</v>
      </c>
      <c r="O13" s="393">
        <v>400</v>
      </c>
      <c r="P13" s="393">
        <v>5600</v>
      </c>
      <c r="Q13" s="393">
        <v>400</v>
      </c>
      <c r="R13" s="393">
        <v>5600</v>
      </c>
      <c r="S13" s="393">
        <v>200</v>
      </c>
      <c r="T13" s="393">
        <v>2800</v>
      </c>
      <c r="U13" s="393">
        <v>300</v>
      </c>
      <c r="V13" s="393">
        <v>4200</v>
      </c>
      <c r="W13" s="393">
        <v>300</v>
      </c>
      <c r="X13" s="393">
        <v>4200</v>
      </c>
      <c r="Y13" s="393">
        <v>400</v>
      </c>
      <c r="Z13" s="402">
        <v>5600</v>
      </c>
      <c r="AA13" s="407">
        <v>300</v>
      </c>
      <c r="AB13" s="393">
        <v>4200</v>
      </c>
      <c r="AC13" s="419">
        <f t="shared" si="2"/>
        <v>409.09090909090907</v>
      </c>
      <c r="AD13" s="420">
        <f t="shared" si="3"/>
        <v>5836.363636363636</v>
      </c>
      <c r="AE13" s="393">
        <v>500</v>
      </c>
      <c r="AF13" s="393">
        <v>8000</v>
      </c>
      <c r="AG13" s="394">
        <v>5000</v>
      </c>
      <c r="AH13" s="394">
        <v>72200</v>
      </c>
      <c r="AI13" s="394">
        <f t="shared" si="4"/>
        <v>416.66666666666669</v>
      </c>
      <c r="AJ13" s="394">
        <f t="shared" si="5"/>
        <v>6016.666666666667</v>
      </c>
      <c r="AK13" s="287">
        <v>200</v>
      </c>
      <c r="AL13" s="287">
        <v>2800</v>
      </c>
      <c r="AM13" s="287">
        <v>1792</v>
      </c>
      <c r="AN13" s="287">
        <v>550</v>
      </c>
      <c r="AO13" s="287">
        <v>8700</v>
      </c>
      <c r="AP13" s="287">
        <v>5472</v>
      </c>
      <c r="AQ13" s="287">
        <v>300</v>
      </c>
      <c r="AR13" s="287">
        <v>4200</v>
      </c>
      <c r="AS13" s="287">
        <v>2688</v>
      </c>
      <c r="AT13" s="287">
        <v>100</v>
      </c>
      <c r="AU13" s="287">
        <v>2400</v>
      </c>
      <c r="AV13" s="287">
        <v>1440</v>
      </c>
      <c r="AW13" s="287">
        <v>270</v>
      </c>
      <c r="AX13" s="287">
        <v>4740</v>
      </c>
      <c r="AY13" s="287">
        <v>2947.2</v>
      </c>
      <c r="AZ13" s="287">
        <v>200</v>
      </c>
      <c r="BA13" s="287">
        <v>2700</v>
      </c>
      <c r="BB13" s="287">
        <v>1944</v>
      </c>
      <c r="BC13" s="287">
        <v>400</v>
      </c>
      <c r="BD13" s="287">
        <v>6600</v>
      </c>
      <c r="BE13" s="287">
        <v>4128</v>
      </c>
      <c r="BF13" s="287">
        <v>280</v>
      </c>
      <c r="BG13" s="287">
        <v>4920</v>
      </c>
      <c r="BH13" s="287">
        <v>3052.8</v>
      </c>
      <c r="BI13" s="287">
        <v>330</v>
      </c>
      <c r="BJ13" s="293">
        <v>5060</v>
      </c>
      <c r="BK13" s="287">
        <v>3204.8</v>
      </c>
      <c r="BL13" s="287">
        <v>250</v>
      </c>
      <c r="BM13" s="287">
        <v>4000</v>
      </c>
      <c r="BN13" s="287">
        <v>2512</v>
      </c>
      <c r="BO13" s="287">
        <v>330</v>
      </c>
      <c r="BP13" s="287">
        <v>6620</v>
      </c>
      <c r="BQ13" s="287">
        <v>4044.8</v>
      </c>
      <c r="BR13" s="287">
        <v>200</v>
      </c>
      <c r="BS13" s="287">
        <v>2800</v>
      </c>
      <c r="BT13" s="287">
        <v>1792</v>
      </c>
      <c r="BU13" s="395">
        <f t="shared" si="6"/>
        <v>3410</v>
      </c>
      <c r="BV13" s="395">
        <f t="shared" si="7"/>
        <v>55540</v>
      </c>
      <c r="BW13" s="395">
        <f t="shared" si="8"/>
        <v>35017.599999999999</v>
      </c>
      <c r="BX13" s="490">
        <f t="shared" si="9"/>
        <v>284.16666666666669</v>
      </c>
      <c r="BY13" s="490">
        <f t="shared" si="10"/>
        <v>4628.333333333333</v>
      </c>
      <c r="BZ13" s="490">
        <f t="shared" si="11"/>
        <v>2918.1333333333332</v>
      </c>
      <c r="CA13" s="434">
        <f t="shared" si="12"/>
        <v>-31.799999999999997</v>
      </c>
      <c r="CB13" s="415" t="s">
        <v>324</v>
      </c>
    </row>
    <row r="14" spans="1:80" ht="21" thickBot="1">
      <c r="A14" s="391">
        <v>11</v>
      </c>
      <c r="B14" s="391" t="s">
        <v>242</v>
      </c>
      <c r="C14" s="391" t="s">
        <v>243</v>
      </c>
      <c r="D14" s="391" t="s">
        <v>241</v>
      </c>
      <c r="E14" s="391" t="s">
        <v>151</v>
      </c>
      <c r="F14" s="391" t="s">
        <v>218</v>
      </c>
      <c r="G14" s="393">
        <v>930</v>
      </c>
      <c r="H14" s="393">
        <v>13320</v>
      </c>
      <c r="I14" s="393">
        <v>400</v>
      </c>
      <c r="J14" s="393">
        <v>5600</v>
      </c>
      <c r="K14" s="393">
        <v>730</v>
      </c>
      <c r="L14" s="393">
        <v>10520</v>
      </c>
      <c r="M14" s="393">
        <v>730</v>
      </c>
      <c r="N14" s="393">
        <v>10520</v>
      </c>
      <c r="O14" s="393">
        <v>700</v>
      </c>
      <c r="P14" s="393">
        <v>9800</v>
      </c>
      <c r="Q14" s="393">
        <v>750</v>
      </c>
      <c r="R14" s="393">
        <v>10900</v>
      </c>
      <c r="S14" s="393">
        <v>960</v>
      </c>
      <c r="T14" s="393">
        <v>13840</v>
      </c>
      <c r="U14" s="393">
        <v>775</v>
      </c>
      <c r="V14" s="393">
        <v>11100</v>
      </c>
      <c r="W14" s="393">
        <v>230</v>
      </c>
      <c r="X14" s="393">
        <v>3520</v>
      </c>
      <c r="Y14" s="393">
        <v>1024</v>
      </c>
      <c r="Z14" s="402">
        <v>15436</v>
      </c>
      <c r="AA14" s="407">
        <v>700</v>
      </c>
      <c r="AB14" s="393">
        <v>10300</v>
      </c>
      <c r="AC14" s="419">
        <f t="shared" si="2"/>
        <v>720.81818181818187</v>
      </c>
      <c r="AD14" s="420">
        <f t="shared" si="3"/>
        <v>10441.454545454546</v>
      </c>
      <c r="AE14" s="393">
        <v>700</v>
      </c>
      <c r="AF14" s="393">
        <v>10800</v>
      </c>
      <c r="AG14" s="394">
        <v>8629</v>
      </c>
      <c r="AH14" s="394">
        <v>125656</v>
      </c>
      <c r="AI14" s="394">
        <f t="shared" si="4"/>
        <v>719.08333333333337</v>
      </c>
      <c r="AJ14" s="394">
        <f t="shared" si="5"/>
        <v>10471.333333333334</v>
      </c>
      <c r="AK14" s="287">
        <v>850</v>
      </c>
      <c r="AL14" s="287">
        <v>12400</v>
      </c>
      <c r="AM14" s="287">
        <v>7888</v>
      </c>
      <c r="AN14" s="287">
        <v>700</v>
      </c>
      <c r="AO14" s="287">
        <v>10800</v>
      </c>
      <c r="AP14" s="287">
        <v>6816</v>
      </c>
      <c r="AQ14" s="287">
        <v>1000</v>
      </c>
      <c r="AR14" s="287">
        <v>16000</v>
      </c>
      <c r="AS14" s="287">
        <v>11968</v>
      </c>
      <c r="AT14" s="287">
        <v>450</v>
      </c>
      <c r="AU14" s="287">
        <v>6800</v>
      </c>
      <c r="AV14" s="287">
        <v>4304</v>
      </c>
      <c r="AW14" s="287">
        <v>550</v>
      </c>
      <c r="AX14" s="287">
        <v>9200</v>
      </c>
      <c r="AY14" s="287">
        <v>5744</v>
      </c>
      <c r="AZ14" s="287">
        <v>350</v>
      </c>
      <c r="BA14" s="287">
        <v>5400</v>
      </c>
      <c r="BB14" s="287">
        <v>3408</v>
      </c>
      <c r="BC14" s="287">
        <v>800</v>
      </c>
      <c r="BD14" s="287">
        <v>12700</v>
      </c>
      <c r="BE14" s="287">
        <v>7984</v>
      </c>
      <c r="BF14" s="287">
        <v>470</v>
      </c>
      <c r="BG14" s="287">
        <v>6780</v>
      </c>
      <c r="BH14" s="287">
        <v>4334.3999999999996</v>
      </c>
      <c r="BI14" s="287">
        <v>800</v>
      </c>
      <c r="BJ14" s="293">
        <v>12700</v>
      </c>
      <c r="BK14" s="287">
        <v>7984</v>
      </c>
      <c r="BL14" s="287">
        <v>800</v>
      </c>
      <c r="BM14" s="287">
        <v>12900</v>
      </c>
      <c r="BN14" s="287">
        <v>8121.6</v>
      </c>
      <c r="BO14" s="287">
        <v>550</v>
      </c>
      <c r="BP14" s="287">
        <v>8200</v>
      </c>
      <c r="BQ14" s="287">
        <v>5200</v>
      </c>
      <c r="BR14" s="287">
        <v>750</v>
      </c>
      <c r="BS14" s="287">
        <v>11000</v>
      </c>
      <c r="BT14" s="287">
        <v>6992</v>
      </c>
      <c r="BU14" s="395">
        <f t="shared" si="6"/>
        <v>8070</v>
      </c>
      <c r="BV14" s="395">
        <f t="shared" si="7"/>
        <v>124880</v>
      </c>
      <c r="BW14" s="395">
        <f t="shared" si="8"/>
        <v>80744</v>
      </c>
      <c r="BX14" s="490">
        <f t="shared" si="9"/>
        <v>672.5</v>
      </c>
      <c r="BY14" s="490">
        <f t="shared" si="10"/>
        <v>10406.666666666666</v>
      </c>
      <c r="BZ14" s="490">
        <f t="shared" si="11"/>
        <v>6728.666666666667</v>
      </c>
      <c r="CA14" s="434">
        <f t="shared" si="12"/>
        <v>-6.4781550585235976</v>
      </c>
      <c r="CB14" s="416" t="s">
        <v>324</v>
      </c>
    </row>
    <row r="15" spans="1:80">
      <c r="A15" s="391">
        <v>12</v>
      </c>
      <c r="B15" s="391" t="s">
        <v>244</v>
      </c>
      <c r="C15" s="391" t="s">
        <v>245</v>
      </c>
      <c r="D15" s="391" t="s">
        <v>229</v>
      </c>
      <c r="E15" s="391" t="s">
        <v>147</v>
      </c>
      <c r="F15" s="391" t="s">
        <v>218</v>
      </c>
      <c r="G15" s="393">
        <v>10135</v>
      </c>
      <c r="H15" s="393">
        <v>144090</v>
      </c>
      <c r="I15" s="393">
        <v>4020</v>
      </c>
      <c r="J15" s="393">
        <v>58580</v>
      </c>
      <c r="K15" s="393">
        <v>2940</v>
      </c>
      <c r="L15" s="393">
        <v>43560</v>
      </c>
      <c r="M15" s="393">
        <v>3315</v>
      </c>
      <c r="N15" s="393">
        <v>49110</v>
      </c>
      <c r="O15" s="393">
        <v>5095</v>
      </c>
      <c r="P15" s="393">
        <v>74930</v>
      </c>
      <c r="Q15" s="393">
        <v>4712</v>
      </c>
      <c r="R15" s="393">
        <v>68226</v>
      </c>
      <c r="S15" s="393">
        <v>4261</v>
      </c>
      <c r="T15" s="393">
        <v>62212</v>
      </c>
      <c r="U15" s="393">
        <v>4865</v>
      </c>
      <c r="V15" s="393">
        <v>70410</v>
      </c>
      <c r="W15" s="393">
        <v>6505</v>
      </c>
      <c r="X15" s="393">
        <v>93370</v>
      </c>
      <c r="Y15" s="393">
        <v>4340</v>
      </c>
      <c r="Z15" s="402">
        <v>63810</v>
      </c>
      <c r="AA15" s="407">
        <v>5230</v>
      </c>
      <c r="AB15" s="393">
        <v>91520</v>
      </c>
      <c r="AC15" s="419">
        <f t="shared" si="2"/>
        <v>5038</v>
      </c>
      <c r="AD15" s="420">
        <f t="shared" si="3"/>
        <v>74528.909090909088</v>
      </c>
      <c r="AE15" s="393">
        <v>5835</v>
      </c>
      <c r="AF15" s="393">
        <v>85990</v>
      </c>
      <c r="AG15" s="394">
        <v>61253</v>
      </c>
      <c r="AH15" s="394">
        <v>905808</v>
      </c>
      <c r="AI15" s="394">
        <f t="shared" si="4"/>
        <v>5104.416666666667</v>
      </c>
      <c r="AJ15" s="394">
        <f t="shared" si="5"/>
        <v>75484</v>
      </c>
      <c r="AK15" s="287">
        <v>5550</v>
      </c>
      <c r="AL15" s="287">
        <v>81900</v>
      </c>
      <c r="AM15" s="287">
        <v>52488.000000000007</v>
      </c>
      <c r="AN15" s="287">
        <v>5550</v>
      </c>
      <c r="AO15" s="287">
        <v>80910</v>
      </c>
      <c r="AP15" s="287">
        <v>51892.800000000003</v>
      </c>
      <c r="AQ15" s="287">
        <v>5550</v>
      </c>
      <c r="AR15" s="287">
        <v>85100</v>
      </c>
      <c r="AS15" s="287">
        <v>57300.800000000003</v>
      </c>
      <c r="AT15" s="287">
        <v>4305</v>
      </c>
      <c r="AU15" s="287">
        <v>63220</v>
      </c>
      <c r="AV15" s="287">
        <v>40928.800000000003</v>
      </c>
      <c r="AW15" s="287">
        <v>6520</v>
      </c>
      <c r="AX15" s="287">
        <v>95580</v>
      </c>
      <c r="AY15" s="287">
        <v>61207.200000000012</v>
      </c>
      <c r="AZ15" s="287">
        <v>5825</v>
      </c>
      <c r="BA15" s="287">
        <v>87000</v>
      </c>
      <c r="BB15" s="287">
        <v>55824.000000000007</v>
      </c>
      <c r="BC15" s="287">
        <v>4150</v>
      </c>
      <c r="BD15" s="287">
        <v>61500</v>
      </c>
      <c r="BE15" s="287">
        <v>39395.999999999993</v>
      </c>
      <c r="BF15" s="287">
        <v>5395</v>
      </c>
      <c r="BG15" s="287">
        <v>78630</v>
      </c>
      <c r="BH15" s="287">
        <v>50395.199999999997</v>
      </c>
      <c r="BI15" s="287">
        <v>4715</v>
      </c>
      <c r="BJ15" s="293">
        <v>69310</v>
      </c>
      <c r="BK15" s="287">
        <v>44358.400000000009</v>
      </c>
      <c r="BL15" s="287">
        <v>6470</v>
      </c>
      <c r="BM15" s="287">
        <v>94780</v>
      </c>
      <c r="BN15" s="287">
        <v>60731.200000000004</v>
      </c>
      <c r="BO15" s="287">
        <v>6715</v>
      </c>
      <c r="BP15" s="287">
        <v>98860</v>
      </c>
      <c r="BQ15" s="287">
        <v>63306.400000000001</v>
      </c>
      <c r="BR15" s="287">
        <v>6600</v>
      </c>
      <c r="BS15" s="287">
        <v>99440</v>
      </c>
      <c r="BT15" s="287">
        <v>63699.199999999997</v>
      </c>
      <c r="BU15" s="395">
        <f t="shared" si="6"/>
        <v>67345</v>
      </c>
      <c r="BV15" s="395">
        <f t="shared" si="7"/>
        <v>996230</v>
      </c>
      <c r="BW15" s="395">
        <f t="shared" si="8"/>
        <v>641528.00000000012</v>
      </c>
      <c r="BX15" s="490">
        <f t="shared" si="9"/>
        <v>5612.083333333333</v>
      </c>
      <c r="BY15" s="490">
        <f t="shared" si="10"/>
        <v>83019.166666666672</v>
      </c>
      <c r="BZ15" s="490">
        <f t="shared" si="11"/>
        <v>53460.666666666679</v>
      </c>
      <c r="CA15" s="434">
        <f t="shared" si="12"/>
        <v>9.9456353158212494</v>
      </c>
    </row>
    <row r="16" spans="1:80">
      <c r="A16" s="391">
        <v>13</v>
      </c>
      <c r="B16" s="391" t="s">
        <v>246</v>
      </c>
      <c r="C16" s="391" t="s">
        <v>247</v>
      </c>
      <c r="D16" s="391" t="s">
        <v>248</v>
      </c>
      <c r="E16" s="391" t="s">
        <v>104</v>
      </c>
      <c r="F16" s="391" t="s">
        <v>218</v>
      </c>
      <c r="G16" s="393">
        <v>1900</v>
      </c>
      <c r="H16" s="393">
        <v>26500</v>
      </c>
      <c r="I16" s="393">
        <v>1320</v>
      </c>
      <c r="J16" s="393">
        <v>18670</v>
      </c>
      <c r="K16" s="393">
        <v>1405</v>
      </c>
      <c r="L16" s="393">
        <v>19570</v>
      </c>
      <c r="M16" s="393">
        <v>1325</v>
      </c>
      <c r="N16" s="393">
        <v>18550</v>
      </c>
      <c r="O16" s="393">
        <v>1899</v>
      </c>
      <c r="P16" s="393">
        <v>28474</v>
      </c>
      <c r="Q16" s="393">
        <v>2200</v>
      </c>
      <c r="R16" s="393">
        <v>30760</v>
      </c>
      <c r="S16" s="393">
        <v>1920</v>
      </c>
      <c r="T16" s="393">
        <v>28700</v>
      </c>
      <c r="U16" s="393">
        <v>1905</v>
      </c>
      <c r="V16" s="393">
        <v>28150</v>
      </c>
      <c r="W16" s="393">
        <v>2425</v>
      </c>
      <c r="X16" s="393">
        <v>35860</v>
      </c>
      <c r="Y16" s="393">
        <v>2490</v>
      </c>
      <c r="Z16" s="402">
        <v>36740</v>
      </c>
      <c r="AA16" s="407">
        <v>2900</v>
      </c>
      <c r="AB16" s="393">
        <v>43640</v>
      </c>
      <c r="AC16" s="419">
        <f t="shared" si="2"/>
        <v>1971.7272727272727</v>
      </c>
      <c r="AD16" s="420">
        <f t="shared" si="3"/>
        <v>28692.18181818182</v>
      </c>
      <c r="AE16" s="393">
        <v>2758</v>
      </c>
      <c r="AF16" s="393">
        <v>41692</v>
      </c>
      <c r="AG16" s="394">
        <v>24447</v>
      </c>
      <c r="AH16" s="394">
        <v>357306</v>
      </c>
      <c r="AI16" s="394">
        <f t="shared" si="4"/>
        <v>2037.25</v>
      </c>
      <c r="AJ16" s="394">
        <f t="shared" si="5"/>
        <v>29775.5</v>
      </c>
      <c r="AK16" s="287">
        <v>2720</v>
      </c>
      <c r="AL16" s="287">
        <v>42860</v>
      </c>
      <c r="AM16" s="287">
        <v>27137.599999999999</v>
      </c>
      <c r="AN16" s="287">
        <v>2080</v>
      </c>
      <c r="AO16" s="287">
        <v>31420</v>
      </c>
      <c r="AP16" s="287">
        <v>19916.8</v>
      </c>
      <c r="AQ16" s="287">
        <v>2548</v>
      </c>
      <c r="AR16" s="287">
        <v>38072</v>
      </c>
      <c r="AS16" s="287">
        <v>24246.080000000002</v>
      </c>
      <c r="AT16" s="287">
        <v>2760</v>
      </c>
      <c r="AU16" s="287">
        <v>42680</v>
      </c>
      <c r="AV16" s="287">
        <v>27108.799999999999</v>
      </c>
      <c r="AW16" s="287">
        <v>2703</v>
      </c>
      <c r="AX16" s="287">
        <v>40712</v>
      </c>
      <c r="AY16" s="287">
        <v>26277.200000000001</v>
      </c>
      <c r="AZ16" s="287">
        <v>2982</v>
      </c>
      <c r="BA16" s="287">
        <v>45668</v>
      </c>
      <c r="BB16" s="287">
        <v>29085.200000000001</v>
      </c>
      <c r="BC16" s="287">
        <v>2720</v>
      </c>
      <c r="BD16" s="287">
        <v>40890</v>
      </c>
      <c r="BE16" s="287">
        <v>26629.199999999997</v>
      </c>
      <c r="BF16" s="287">
        <v>2949</v>
      </c>
      <c r="BG16" s="287">
        <v>44396</v>
      </c>
      <c r="BH16" s="287">
        <v>28811.840000000004</v>
      </c>
      <c r="BI16" s="287">
        <v>3354</v>
      </c>
      <c r="BJ16" s="293">
        <v>50696</v>
      </c>
      <c r="BK16" s="287">
        <v>32971.040000000001</v>
      </c>
      <c r="BL16" s="287">
        <v>3205</v>
      </c>
      <c r="BM16" s="287">
        <v>47960</v>
      </c>
      <c r="BN16" s="287">
        <v>31518.800000000003</v>
      </c>
      <c r="BO16" s="287">
        <v>3345</v>
      </c>
      <c r="BP16" s="287">
        <v>50810</v>
      </c>
      <c r="BQ16" s="287">
        <v>33755.599999999999</v>
      </c>
      <c r="BR16" s="287">
        <v>3725</v>
      </c>
      <c r="BS16" s="287">
        <v>57280</v>
      </c>
      <c r="BT16" s="287">
        <v>37017.999999999993</v>
      </c>
      <c r="BU16" s="395">
        <f t="shared" si="6"/>
        <v>35091</v>
      </c>
      <c r="BV16" s="395">
        <f t="shared" si="7"/>
        <v>533444</v>
      </c>
      <c r="BW16" s="395">
        <f t="shared" si="8"/>
        <v>344476.15999999997</v>
      </c>
      <c r="BX16" s="490">
        <f t="shared" si="9"/>
        <v>2924.25</v>
      </c>
      <c r="BY16" s="490">
        <f t="shared" si="10"/>
        <v>44453.666666666664</v>
      </c>
      <c r="BZ16" s="490">
        <f t="shared" si="11"/>
        <v>28706.346666666665</v>
      </c>
      <c r="CA16" s="434">
        <f t="shared" si="12"/>
        <v>43.539084550251573</v>
      </c>
    </row>
    <row r="17" spans="1:80" ht="21" thickBot="1">
      <c r="A17" s="391">
        <v>14</v>
      </c>
      <c r="B17" s="391" t="s">
        <v>249</v>
      </c>
      <c r="C17" s="391" t="s">
        <v>250</v>
      </c>
      <c r="D17" s="391" t="s">
        <v>248</v>
      </c>
      <c r="E17" s="391" t="s">
        <v>104</v>
      </c>
      <c r="F17" s="391" t="s">
        <v>218</v>
      </c>
      <c r="G17" s="393">
        <v>920</v>
      </c>
      <c r="H17" s="393">
        <v>12680</v>
      </c>
      <c r="I17" s="393">
        <v>1180</v>
      </c>
      <c r="J17" s="393">
        <v>16820</v>
      </c>
      <c r="K17" s="393">
        <v>1600</v>
      </c>
      <c r="L17" s="393">
        <v>22400</v>
      </c>
      <c r="M17" s="393">
        <v>1400</v>
      </c>
      <c r="N17" s="393">
        <v>19300</v>
      </c>
      <c r="O17" s="393">
        <v>1850</v>
      </c>
      <c r="P17" s="393">
        <v>26900</v>
      </c>
      <c r="Q17" s="393">
        <v>1830</v>
      </c>
      <c r="R17" s="393">
        <v>25720</v>
      </c>
      <c r="S17" s="393">
        <v>1630</v>
      </c>
      <c r="T17" s="393">
        <v>22460</v>
      </c>
      <c r="U17" s="393">
        <v>1940</v>
      </c>
      <c r="V17" s="393">
        <v>27060</v>
      </c>
      <c r="W17" s="393">
        <v>770</v>
      </c>
      <c r="X17" s="393">
        <v>11380</v>
      </c>
      <c r="Y17" s="393">
        <v>2013</v>
      </c>
      <c r="Z17" s="402">
        <v>27718</v>
      </c>
      <c r="AA17" s="407">
        <v>1269</v>
      </c>
      <c r="AB17" s="393">
        <v>19478</v>
      </c>
      <c r="AC17" s="419">
        <f t="shared" si="2"/>
        <v>1491.090909090909</v>
      </c>
      <c r="AD17" s="420">
        <f t="shared" si="3"/>
        <v>21083.272727272728</v>
      </c>
      <c r="AE17" s="393">
        <v>2030</v>
      </c>
      <c r="AF17" s="393">
        <v>27420</v>
      </c>
      <c r="AG17" s="394">
        <v>18432</v>
      </c>
      <c r="AH17" s="394">
        <v>259336</v>
      </c>
      <c r="AI17" s="394">
        <f t="shared" si="4"/>
        <v>1536</v>
      </c>
      <c r="AJ17" s="394">
        <f t="shared" si="5"/>
        <v>21611.333333333332</v>
      </c>
      <c r="AK17" s="287">
        <v>1861</v>
      </c>
      <c r="AL17" s="287">
        <v>27924</v>
      </c>
      <c r="AM17" s="287">
        <v>18806.400000000001</v>
      </c>
      <c r="AN17" s="287">
        <v>1730</v>
      </c>
      <c r="AO17" s="287">
        <v>24520</v>
      </c>
      <c r="AP17" s="287">
        <v>15692.8</v>
      </c>
      <c r="AQ17" s="287">
        <v>1215</v>
      </c>
      <c r="AR17" s="287">
        <v>17560</v>
      </c>
      <c r="AS17" s="287">
        <v>13398.4</v>
      </c>
      <c r="AT17" s="287">
        <v>1500</v>
      </c>
      <c r="AU17" s="287">
        <v>23000</v>
      </c>
      <c r="AV17" s="287">
        <v>15176</v>
      </c>
      <c r="AW17" s="287">
        <v>2650</v>
      </c>
      <c r="AX17" s="287">
        <v>38800</v>
      </c>
      <c r="AY17" s="287">
        <v>26320</v>
      </c>
      <c r="AZ17" s="287">
        <v>2238.5</v>
      </c>
      <c r="BA17" s="287">
        <v>33512</v>
      </c>
      <c r="BB17" s="287">
        <v>22238.6</v>
      </c>
      <c r="BC17" s="287">
        <v>1400</v>
      </c>
      <c r="BD17" s="287">
        <v>19900</v>
      </c>
      <c r="BE17" s="287">
        <v>14152</v>
      </c>
      <c r="BF17" s="287">
        <v>2160</v>
      </c>
      <c r="BG17" s="287">
        <v>33840</v>
      </c>
      <c r="BH17" s="287">
        <v>22353.599999999999</v>
      </c>
      <c r="BI17" s="287">
        <v>2515</v>
      </c>
      <c r="BJ17" s="293">
        <v>33360</v>
      </c>
      <c r="BK17" s="287">
        <v>25670.400000000001</v>
      </c>
      <c r="BL17" s="287">
        <v>1765</v>
      </c>
      <c r="BM17" s="287">
        <v>28760</v>
      </c>
      <c r="BN17" s="287">
        <v>18238.400000000001</v>
      </c>
      <c r="BO17" s="287">
        <v>3915</v>
      </c>
      <c r="BP17" s="287">
        <v>60560</v>
      </c>
      <c r="BQ17" s="287">
        <v>39046.400000000001</v>
      </c>
      <c r="BR17" s="287">
        <v>2060</v>
      </c>
      <c r="BS17" s="287">
        <v>34440</v>
      </c>
      <c r="BT17" s="287">
        <v>23625.599999999999</v>
      </c>
      <c r="BU17" s="395">
        <f t="shared" si="6"/>
        <v>25009.5</v>
      </c>
      <c r="BV17" s="395">
        <f t="shared" si="7"/>
        <v>376176</v>
      </c>
      <c r="BW17" s="395">
        <f t="shared" si="8"/>
        <v>254718.59999999998</v>
      </c>
      <c r="BX17" s="490">
        <f t="shared" si="9"/>
        <v>2084.125</v>
      </c>
      <c r="BY17" s="490">
        <f t="shared" si="10"/>
        <v>31348</v>
      </c>
      <c r="BZ17" s="490">
        <f t="shared" si="11"/>
        <v>21226.55</v>
      </c>
      <c r="CA17" s="434">
        <f t="shared" si="12"/>
        <v>35.685221354166686</v>
      </c>
    </row>
    <row r="18" spans="1:80" ht="21" thickBot="1">
      <c r="A18" s="391">
        <v>15</v>
      </c>
      <c r="B18" s="391" t="s">
        <v>251</v>
      </c>
      <c r="C18" s="391" t="s">
        <v>252</v>
      </c>
      <c r="D18" s="391" t="s">
        <v>248</v>
      </c>
      <c r="E18" s="391" t="s">
        <v>104</v>
      </c>
      <c r="F18" s="391" t="s">
        <v>220</v>
      </c>
      <c r="G18" s="393">
        <v>500</v>
      </c>
      <c r="H18" s="393">
        <v>7000</v>
      </c>
      <c r="I18" s="393">
        <v>500</v>
      </c>
      <c r="J18" s="393">
        <v>7000</v>
      </c>
      <c r="K18" s="393">
        <v>500</v>
      </c>
      <c r="L18" s="393">
        <v>7000</v>
      </c>
      <c r="M18" s="393">
        <v>500</v>
      </c>
      <c r="N18" s="393">
        <v>7000</v>
      </c>
      <c r="O18" s="393">
        <v>652</v>
      </c>
      <c r="P18" s="393">
        <v>9136</v>
      </c>
      <c r="Q18" s="393">
        <v>499</v>
      </c>
      <c r="R18" s="393">
        <v>7116</v>
      </c>
      <c r="S18" s="393">
        <v>400</v>
      </c>
      <c r="T18" s="393">
        <v>5900</v>
      </c>
      <c r="U18" s="393">
        <v>750</v>
      </c>
      <c r="V18" s="393">
        <v>10500</v>
      </c>
      <c r="W18" s="393">
        <v>360</v>
      </c>
      <c r="X18" s="393">
        <v>5540</v>
      </c>
      <c r="Y18" s="393">
        <v>660</v>
      </c>
      <c r="Z18" s="402">
        <v>9780</v>
      </c>
      <c r="AA18" s="407">
        <v>311</v>
      </c>
      <c r="AB18" s="393">
        <v>4406</v>
      </c>
      <c r="AC18" s="419">
        <f t="shared" si="2"/>
        <v>512</v>
      </c>
      <c r="AD18" s="420">
        <f t="shared" si="3"/>
        <v>7307.090909090909</v>
      </c>
      <c r="AE18" s="393">
        <v>400</v>
      </c>
      <c r="AF18" s="393">
        <v>5600</v>
      </c>
      <c r="AG18" s="394">
        <v>6032</v>
      </c>
      <c r="AH18" s="394">
        <v>85978</v>
      </c>
      <c r="AI18" s="394">
        <f t="shared" si="4"/>
        <v>502.66666666666669</v>
      </c>
      <c r="AJ18" s="394">
        <f t="shared" si="5"/>
        <v>7164.833333333333</v>
      </c>
      <c r="AK18" s="287">
        <v>600</v>
      </c>
      <c r="AL18" s="287">
        <v>8400</v>
      </c>
      <c r="AM18" s="287">
        <v>5376</v>
      </c>
      <c r="AN18" s="287">
        <v>250</v>
      </c>
      <c r="AO18" s="287">
        <v>3500</v>
      </c>
      <c r="AP18" s="287">
        <v>2240</v>
      </c>
      <c r="AQ18" s="287">
        <v>600</v>
      </c>
      <c r="AR18" s="287">
        <v>8400</v>
      </c>
      <c r="AS18" s="287">
        <v>5376</v>
      </c>
      <c r="AT18" s="287">
        <v>650</v>
      </c>
      <c r="AU18" s="287">
        <v>9100</v>
      </c>
      <c r="AV18" s="287">
        <v>5824</v>
      </c>
      <c r="AW18" s="287">
        <v>301.45833333333331</v>
      </c>
      <c r="AX18" s="287">
        <v>4229</v>
      </c>
      <c r="AY18" s="287">
        <v>2700.25</v>
      </c>
      <c r="AZ18" s="287">
        <v>500</v>
      </c>
      <c r="BA18" s="287">
        <v>7000</v>
      </c>
      <c r="BB18" s="287">
        <v>4480</v>
      </c>
      <c r="BC18" s="287">
        <v>550</v>
      </c>
      <c r="BD18" s="287">
        <v>7700</v>
      </c>
      <c r="BE18" s="287">
        <v>4928</v>
      </c>
      <c r="BF18" s="287">
        <v>300</v>
      </c>
      <c r="BG18" s="287">
        <v>4200</v>
      </c>
      <c r="BH18" s="287">
        <v>2688</v>
      </c>
      <c r="BI18" s="287">
        <v>530</v>
      </c>
      <c r="BJ18" s="293">
        <v>7720</v>
      </c>
      <c r="BK18" s="287">
        <v>4912</v>
      </c>
      <c r="BL18" s="287">
        <v>300</v>
      </c>
      <c r="BM18" s="287">
        <v>4200</v>
      </c>
      <c r="BN18" s="287">
        <v>2688</v>
      </c>
      <c r="BO18" s="287">
        <v>550</v>
      </c>
      <c r="BP18" s="287">
        <v>7700</v>
      </c>
      <c r="BQ18" s="287">
        <v>4928</v>
      </c>
      <c r="BR18" s="287">
        <v>280</v>
      </c>
      <c r="BS18" s="287">
        <v>4220</v>
      </c>
      <c r="BT18" s="287">
        <v>2672</v>
      </c>
      <c r="BU18" s="395">
        <f t="shared" si="6"/>
        <v>5411.4583333333339</v>
      </c>
      <c r="BV18" s="395">
        <f t="shared" si="7"/>
        <v>76369</v>
      </c>
      <c r="BW18" s="395">
        <f t="shared" si="8"/>
        <v>48812.25</v>
      </c>
      <c r="BX18" s="490">
        <f t="shared" si="9"/>
        <v>450.95486111111114</v>
      </c>
      <c r="BY18" s="490">
        <f t="shared" si="10"/>
        <v>6364.083333333333</v>
      </c>
      <c r="BZ18" s="490">
        <f t="shared" si="11"/>
        <v>4067.6875</v>
      </c>
      <c r="CA18" s="434">
        <f t="shared" si="12"/>
        <v>-10.28749447391688</v>
      </c>
      <c r="CB18" s="413" t="s">
        <v>324</v>
      </c>
    </row>
    <row r="19" spans="1:80" ht="21" thickBot="1">
      <c r="A19" s="391">
        <v>16</v>
      </c>
      <c r="B19" s="391" t="s">
        <v>253</v>
      </c>
      <c r="C19" s="391" t="s">
        <v>254</v>
      </c>
      <c r="D19" s="391" t="s">
        <v>248</v>
      </c>
      <c r="E19" s="391" t="s">
        <v>104</v>
      </c>
      <c r="F19" s="391" t="s">
        <v>218</v>
      </c>
      <c r="G19" s="393">
        <v>1470</v>
      </c>
      <c r="H19" s="393">
        <v>21680</v>
      </c>
      <c r="I19" s="393">
        <v>610</v>
      </c>
      <c r="J19" s="393">
        <v>9660</v>
      </c>
      <c r="K19" s="393">
        <v>700</v>
      </c>
      <c r="L19" s="393">
        <v>9800</v>
      </c>
      <c r="M19" s="393">
        <v>1450</v>
      </c>
      <c r="N19" s="393">
        <v>20200</v>
      </c>
      <c r="O19" s="393">
        <v>742</v>
      </c>
      <c r="P19" s="393">
        <v>14216</v>
      </c>
      <c r="Q19" s="393">
        <v>1540</v>
      </c>
      <c r="R19" s="393">
        <v>22060</v>
      </c>
      <c r="S19" s="393">
        <v>1010</v>
      </c>
      <c r="T19" s="393">
        <v>16740</v>
      </c>
      <c r="U19" s="393">
        <v>1098</v>
      </c>
      <c r="V19" s="393">
        <v>17980</v>
      </c>
      <c r="W19" s="393">
        <v>960</v>
      </c>
      <c r="X19" s="393">
        <v>16050</v>
      </c>
      <c r="Y19" s="393">
        <v>1820</v>
      </c>
      <c r="Z19" s="402">
        <v>30672</v>
      </c>
      <c r="AA19" s="407">
        <v>1084</v>
      </c>
      <c r="AB19" s="393">
        <v>15542</v>
      </c>
      <c r="AC19" s="419">
        <f t="shared" si="2"/>
        <v>1134.909090909091</v>
      </c>
      <c r="AD19" s="420">
        <f t="shared" si="3"/>
        <v>17690.909090909092</v>
      </c>
      <c r="AE19" s="393">
        <v>1423</v>
      </c>
      <c r="AF19" s="393">
        <v>22122</v>
      </c>
      <c r="AG19" s="394">
        <v>13907</v>
      </c>
      <c r="AH19" s="394">
        <v>216722</v>
      </c>
      <c r="AI19" s="394">
        <f t="shared" si="4"/>
        <v>1158.9166666666667</v>
      </c>
      <c r="AJ19" s="394">
        <f t="shared" si="5"/>
        <v>18060.166666666668</v>
      </c>
      <c r="AK19" s="287">
        <v>1225</v>
      </c>
      <c r="AL19" s="287">
        <v>17820</v>
      </c>
      <c r="AM19" s="287">
        <v>11811.6</v>
      </c>
      <c r="AN19" s="287">
        <v>990</v>
      </c>
      <c r="AO19" s="287">
        <v>17260</v>
      </c>
      <c r="AP19" s="287">
        <v>10806.400000000001</v>
      </c>
      <c r="AQ19" s="287">
        <v>1114</v>
      </c>
      <c r="AR19" s="287">
        <v>15796</v>
      </c>
      <c r="AS19" s="287">
        <v>10748.8</v>
      </c>
      <c r="AT19" s="287">
        <v>1350</v>
      </c>
      <c r="AU19" s="287">
        <v>22700</v>
      </c>
      <c r="AV19" s="287">
        <v>14456</v>
      </c>
      <c r="AW19" s="287">
        <v>1386</v>
      </c>
      <c r="AX19" s="287">
        <v>20116</v>
      </c>
      <c r="AY19" s="287">
        <v>13031.199999999999</v>
      </c>
      <c r="AZ19" s="287">
        <v>1339.5</v>
      </c>
      <c r="BA19" s="287">
        <v>20912</v>
      </c>
      <c r="BB19" s="287">
        <v>13580.6</v>
      </c>
      <c r="BC19" s="287">
        <v>820</v>
      </c>
      <c r="BD19" s="287">
        <v>13060</v>
      </c>
      <c r="BE19" s="287">
        <v>8152</v>
      </c>
      <c r="BF19" s="287">
        <v>1395</v>
      </c>
      <c r="BG19" s="287">
        <v>20980</v>
      </c>
      <c r="BH19" s="287">
        <v>13345.6</v>
      </c>
      <c r="BI19" s="287">
        <v>1000</v>
      </c>
      <c r="BJ19" s="293">
        <v>16300</v>
      </c>
      <c r="BK19" s="287">
        <v>10240</v>
      </c>
      <c r="BL19" s="287">
        <v>1000</v>
      </c>
      <c r="BM19" s="287">
        <v>14600</v>
      </c>
      <c r="BN19" s="287">
        <v>10112</v>
      </c>
      <c r="BO19" s="287">
        <v>1360</v>
      </c>
      <c r="BP19" s="287">
        <v>21140</v>
      </c>
      <c r="BQ19" s="287">
        <v>13356.8</v>
      </c>
      <c r="BR19" s="287">
        <v>1280</v>
      </c>
      <c r="BS19" s="287">
        <v>22220</v>
      </c>
      <c r="BT19" s="287">
        <v>13836.8</v>
      </c>
      <c r="BU19" s="395">
        <f t="shared" si="6"/>
        <v>14259.5</v>
      </c>
      <c r="BV19" s="395">
        <f t="shared" si="7"/>
        <v>222904</v>
      </c>
      <c r="BW19" s="395">
        <f t="shared" si="8"/>
        <v>143477.80000000002</v>
      </c>
      <c r="BX19" s="490">
        <f t="shared" si="9"/>
        <v>1188.2916666666667</v>
      </c>
      <c r="BY19" s="490">
        <f t="shared" si="10"/>
        <v>18575.333333333332</v>
      </c>
      <c r="BZ19" s="490">
        <f t="shared" si="11"/>
        <v>11956.483333333335</v>
      </c>
      <c r="CA19" s="434">
        <f t="shared" si="12"/>
        <v>2.5346947580355135</v>
      </c>
    </row>
    <row r="20" spans="1:80" ht="21" thickBot="1">
      <c r="A20" s="391">
        <v>17</v>
      </c>
      <c r="B20" s="391" t="s">
        <v>255</v>
      </c>
      <c r="C20" s="391" t="s">
        <v>256</v>
      </c>
      <c r="D20" s="391" t="s">
        <v>248</v>
      </c>
      <c r="E20" s="391" t="s">
        <v>104</v>
      </c>
      <c r="F20" s="391" t="s">
        <v>218</v>
      </c>
      <c r="G20" s="393">
        <v>700</v>
      </c>
      <c r="H20" s="393">
        <v>9800</v>
      </c>
      <c r="I20" s="393">
        <v>1130</v>
      </c>
      <c r="J20" s="393">
        <v>16120</v>
      </c>
      <c r="K20" s="393">
        <v>1150</v>
      </c>
      <c r="L20" s="393">
        <v>16100</v>
      </c>
      <c r="M20" s="393">
        <v>950</v>
      </c>
      <c r="N20" s="393">
        <v>13800</v>
      </c>
      <c r="O20" s="393">
        <v>1054</v>
      </c>
      <c r="P20" s="393">
        <v>15236</v>
      </c>
      <c r="Q20" s="393">
        <v>872</v>
      </c>
      <c r="R20" s="393">
        <v>12916</v>
      </c>
      <c r="S20" s="393">
        <v>1174</v>
      </c>
      <c r="T20" s="393">
        <v>17426</v>
      </c>
      <c r="U20" s="393">
        <v>1322</v>
      </c>
      <c r="V20" s="393">
        <v>19476</v>
      </c>
      <c r="W20" s="393">
        <v>1570</v>
      </c>
      <c r="X20" s="393">
        <v>23980</v>
      </c>
      <c r="Y20" s="393">
        <v>1355</v>
      </c>
      <c r="Z20" s="402">
        <v>20478</v>
      </c>
      <c r="AA20" s="407">
        <v>1225</v>
      </c>
      <c r="AB20" s="393">
        <v>18780</v>
      </c>
      <c r="AC20" s="419">
        <f t="shared" si="2"/>
        <v>1136.5454545454545</v>
      </c>
      <c r="AD20" s="420">
        <f t="shared" si="3"/>
        <v>16737.454545454544</v>
      </c>
      <c r="AE20" s="393">
        <v>1237</v>
      </c>
      <c r="AF20" s="393">
        <v>18298</v>
      </c>
      <c r="AG20" s="394">
        <v>13739</v>
      </c>
      <c r="AH20" s="394">
        <v>202410</v>
      </c>
      <c r="AI20" s="394">
        <f t="shared" si="4"/>
        <v>1144.9166666666667</v>
      </c>
      <c r="AJ20" s="394">
        <f t="shared" si="5"/>
        <v>16867.5</v>
      </c>
      <c r="AK20" s="287">
        <v>1100</v>
      </c>
      <c r="AL20" s="287">
        <v>15900</v>
      </c>
      <c r="AM20" s="287">
        <v>10128</v>
      </c>
      <c r="AN20" s="287">
        <v>970</v>
      </c>
      <c r="AO20" s="287">
        <v>14180</v>
      </c>
      <c r="AP20" s="287">
        <v>9046.4</v>
      </c>
      <c r="AQ20" s="287">
        <v>590</v>
      </c>
      <c r="AR20" s="287">
        <v>8660</v>
      </c>
      <c r="AS20" s="287">
        <v>5523.2</v>
      </c>
      <c r="AT20" s="287">
        <v>1060</v>
      </c>
      <c r="AU20" s="287">
        <v>15940</v>
      </c>
      <c r="AV20" s="287">
        <v>10153.6</v>
      </c>
      <c r="AW20" s="287">
        <v>1110.5</v>
      </c>
      <c r="AX20" s="287">
        <v>16344</v>
      </c>
      <c r="AY20" s="287">
        <v>10408.200000000001</v>
      </c>
      <c r="AZ20" s="287">
        <v>1792.5</v>
      </c>
      <c r="BA20" s="287">
        <v>25424</v>
      </c>
      <c r="BB20" s="287">
        <v>16149.800000000001</v>
      </c>
      <c r="BC20" s="287">
        <v>550</v>
      </c>
      <c r="BD20" s="287">
        <v>7700</v>
      </c>
      <c r="BE20" s="287">
        <v>4928</v>
      </c>
      <c r="BF20" s="287">
        <v>1115</v>
      </c>
      <c r="BG20" s="287">
        <v>16020</v>
      </c>
      <c r="BH20" s="287">
        <v>10320</v>
      </c>
      <c r="BI20" s="287">
        <v>868</v>
      </c>
      <c r="BJ20" s="293">
        <v>12612</v>
      </c>
      <c r="BK20" s="287">
        <v>8110.08</v>
      </c>
      <c r="BL20" s="287">
        <v>1200</v>
      </c>
      <c r="BM20" s="287">
        <v>17320</v>
      </c>
      <c r="BN20" s="287">
        <v>11209.6</v>
      </c>
      <c r="BO20" s="287">
        <v>885</v>
      </c>
      <c r="BP20" s="287">
        <v>12480</v>
      </c>
      <c r="BQ20" s="287">
        <v>8116.7999999999993</v>
      </c>
      <c r="BR20" s="287">
        <v>1500</v>
      </c>
      <c r="BS20" s="287">
        <v>21520</v>
      </c>
      <c r="BT20" s="287">
        <v>13897.6</v>
      </c>
      <c r="BU20" s="395">
        <f t="shared" si="6"/>
        <v>12741</v>
      </c>
      <c r="BV20" s="395">
        <f t="shared" si="7"/>
        <v>184100</v>
      </c>
      <c r="BW20" s="395">
        <f t="shared" si="8"/>
        <v>117991.28</v>
      </c>
      <c r="BX20" s="490">
        <f t="shared" si="9"/>
        <v>1061.75</v>
      </c>
      <c r="BY20" s="490">
        <f t="shared" si="10"/>
        <v>15341.666666666666</v>
      </c>
      <c r="BZ20" s="490">
        <f t="shared" si="11"/>
        <v>9832.6066666666666</v>
      </c>
      <c r="CA20" s="434">
        <f t="shared" si="12"/>
        <v>-7.2639930125918966</v>
      </c>
      <c r="CB20" s="413" t="s">
        <v>324</v>
      </c>
    </row>
    <row r="21" spans="1:80">
      <c r="A21" s="391">
        <v>18</v>
      </c>
      <c r="B21" s="391" t="s">
        <v>257</v>
      </c>
      <c r="C21" s="391" t="s">
        <v>258</v>
      </c>
      <c r="D21" s="391" t="s">
        <v>248</v>
      </c>
      <c r="E21" s="391" t="s">
        <v>104</v>
      </c>
      <c r="F21" s="391" t="s">
        <v>218</v>
      </c>
      <c r="G21" s="393">
        <v>675</v>
      </c>
      <c r="H21" s="393">
        <v>9450</v>
      </c>
      <c r="I21" s="393">
        <v>450</v>
      </c>
      <c r="J21" s="393">
        <v>6300</v>
      </c>
      <c r="K21" s="393">
        <v>650</v>
      </c>
      <c r="L21" s="393">
        <v>9100</v>
      </c>
      <c r="M21" s="393">
        <v>600</v>
      </c>
      <c r="N21" s="393">
        <v>8400</v>
      </c>
      <c r="O21" s="393">
        <v>752</v>
      </c>
      <c r="P21" s="393">
        <v>10536</v>
      </c>
      <c r="Q21" s="393">
        <v>955</v>
      </c>
      <c r="R21" s="393">
        <v>13420</v>
      </c>
      <c r="S21" s="393">
        <v>650</v>
      </c>
      <c r="T21" s="393">
        <v>9100</v>
      </c>
      <c r="U21" s="393">
        <v>602</v>
      </c>
      <c r="V21" s="393">
        <v>8436</v>
      </c>
      <c r="W21" s="393">
        <v>702</v>
      </c>
      <c r="X21" s="393">
        <v>9824</v>
      </c>
      <c r="Y21" s="393">
        <v>503</v>
      </c>
      <c r="Z21" s="402">
        <v>7068</v>
      </c>
      <c r="AA21" s="407">
        <v>983</v>
      </c>
      <c r="AB21" s="393">
        <v>13918</v>
      </c>
      <c r="AC21" s="419">
        <f t="shared" si="2"/>
        <v>683.81818181818187</v>
      </c>
      <c r="AD21" s="420">
        <f t="shared" si="3"/>
        <v>9595.636363636364</v>
      </c>
      <c r="AE21" s="393">
        <v>800</v>
      </c>
      <c r="AF21" s="393">
        <v>11200</v>
      </c>
      <c r="AG21" s="394">
        <v>8322</v>
      </c>
      <c r="AH21" s="394">
        <v>116752</v>
      </c>
      <c r="AI21" s="394">
        <f t="shared" si="4"/>
        <v>693.5</v>
      </c>
      <c r="AJ21" s="394">
        <f t="shared" si="5"/>
        <v>9729.3333333333339</v>
      </c>
      <c r="AK21" s="287">
        <v>1050</v>
      </c>
      <c r="AL21" s="287">
        <v>15200</v>
      </c>
      <c r="AM21" s="287">
        <v>9680</v>
      </c>
      <c r="AN21" s="287">
        <v>1050</v>
      </c>
      <c r="AO21" s="287">
        <v>14700</v>
      </c>
      <c r="AP21" s="287">
        <v>9408</v>
      </c>
      <c r="AQ21" s="287">
        <v>800</v>
      </c>
      <c r="AR21" s="287">
        <v>11200</v>
      </c>
      <c r="AS21" s="287">
        <v>7168</v>
      </c>
      <c r="AT21" s="287">
        <v>720</v>
      </c>
      <c r="AU21" s="287">
        <v>10040</v>
      </c>
      <c r="AV21" s="287">
        <v>6512</v>
      </c>
      <c r="AW21" s="287">
        <v>782</v>
      </c>
      <c r="AX21" s="287">
        <v>10756</v>
      </c>
      <c r="AY21" s="287">
        <v>7309.6</v>
      </c>
      <c r="AZ21" s="287">
        <v>606</v>
      </c>
      <c r="BA21" s="287">
        <v>8532</v>
      </c>
      <c r="BB21" s="287">
        <v>5426.4000000000005</v>
      </c>
      <c r="BC21" s="287">
        <v>1375</v>
      </c>
      <c r="BD21" s="287">
        <v>19250</v>
      </c>
      <c r="BE21" s="287">
        <v>12320</v>
      </c>
      <c r="BF21" s="287">
        <v>880</v>
      </c>
      <c r="BG21" s="287">
        <v>12320</v>
      </c>
      <c r="BH21" s="287">
        <v>7884.8</v>
      </c>
      <c r="BI21" s="287">
        <v>1300</v>
      </c>
      <c r="BJ21" s="293">
        <v>18200</v>
      </c>
      <c r="BK21" s="287">
        <v>11648</v>
      </c>
      <c r="BL21" s="287">
        <v>1025</v>
      </c>
      <c r="BM21" s="287">
        <v>14250</v>
      </c>
      <c r="BN21" s="287">
        <v>9336</v>
      </c>
      <c r="BO21" s="287">
        <v>1400</v>
      </c>
      <c r="BP21" s="287">
        <v>19600</v>
      </c>
      <c r="BQ21" s="287">
        <v>12544</v>
      </c>
      <c r="BR21" s="287">
        <v>800</v>
      </c>
      <c r="BS21" s="287">
        <v>11200</v>
      </c>
      <c r="BT21" s="287">
        <v>7168</v>
      </c>
      <c r="BU21" s="395">
        <f t="shared" si="6"/>
        <v>11788</v>
      </c>
      <c r="BV21" s="395">
        <f t="shared" si="7"/>
        <v>165248</v>
      </c>
      <c r="BW21" s="395">
        <f t="shared" si="8"/>
        <v>106404.8</v>
      </c>
      <c r="BX21" s="490">
        <f t="shared" si="9"/>
        <v>982.33333333333337</v>
      </c>
      <c r="BY21" s="490">
        <f t="shared" si="10"/>
        <v>13770.666666666666</v>
      </c>
      <c r="BZ21" s="490">
        <f t="shared" si="11"/>
        <v>8867.0666666666675</v>
      </c>
      <c r="CA21" s="434">
        <f t="shared" si="12"/>
        <v>41.648642153328524</v>
      </c>
    </row>
    <row r="22" spans="1:80">
      <c r="A22" s="391">
        <v>19</v>
      </c>
      <c r="B22" s="391" t="s">
        <v>259</v>
      </c>
      <c r="C22" s="391" t="s">
        <v>260</v>
      </c>
      <c r="D22" s="391" t="s">
        <v>261</v>
      </c>
      <c r="E22" s="391" t="s">
        <v>262</v>
      </c>
      <c r="F22" s="391" t="s">
        <v>218</v>
      </c>
      <c r="G22" s="393">
        <v>700</v>
      </c>
      <c r="H22" s="393">
        <v>9800</v>
      </c>
      <c r="I22" s="393">
        <v>900</v>
      </c>
      <c r="J22" s="393">
        <v>12600</v>
      </c>
      <c r="K22" s="393">
        <v>600</v>
      </c>
      <c r="L22" s="393">
        <v>8400</v>
      </c>
      <c r="M22" s="393">
        <v>800</v>
      </c>
      <c r="N22" s="393">
        <v>11200</v>
      </c>
      <c r="O22" s="393">
        <v>850</v>
      </c>
      <c r="P22" s="393">
        <v>11900</v>
      </c>
      <c r="Q22" s="393">
        <v>750</v>
      </c>
      <c r="R22" s="393">
        <v>11000</v>
      </c>
      <c r="S22" s="393">
        <v>850</v>
      </c>
      <c r="T22" s="393">
        <v>12650</v>
      </c>
      <c r="U22" s="393">
        <v>800</v>
      </c>
      <c r="V22" s="393">
        <v>11450</v>
      </c>
      <c r="W22" s="393">
        <v>945</v>
      </c>
      <c r="X22" s="393">
        <v>13190</v>
      </c>
      <c r="Y22" s="393">
        <v>1248</v>
      </c>
      <c r="Z22" s="402">
        <v>18392</v>
      </c>
      <c r="AA22" s="407">
        <v>900</v>
      </c>
      <c r="AB22" s="393">
        <v>13100</v>
      </c>
      <c r="AC22" s="419">
        <f t="shared" si="2"/>
        <v>849.36363636363637</v>
      </c>
      <c r="AD22" s="420">
        <f t="shared" si="3"/>
        <v>12152.90909090909</v>
      </c>
      <c r="AE22" s="393">
        <v>1400</v>
      </c>
      <c r="AF22" s="393">
        <v>20000</v>
      </c>
      <c r="AG22" s="394">
        <v>10743</v>
      </c>
      <c r="AH22" s="394">
        <v>153682</v>
      </c>
      <c r="AI22" s="394">
        <f t="shared" si="4"/>
        <v>895.25</v>
      </c>
      <c r="AJ22" s="394">
        <f t="shared" si="5"/>
        <v>12806.833333333334</v>
      </c>
      <c r="AK22" s="287">
        <v>1460</v>
      </c>
      <c r="AL22" s="287">
        <v>20980</v>
      </c>
      <c r="AM22" s="287">
        <v>13960</v>
      </c>
      <c r="AN22" s="287">
        <v>1320</v>
      </c>
      <c r="AO22" s="287">
        <v>18740</v>
      </c>
      <c r="AP22" s="287">
        <v>12512</v>
      </c>
      <c r="AQ22" s="287">
        <v>950</v>
      </c>
      <c r="AR22" s="287">
        <v>13300</v>
      </c>
      <c r="AS22" s="287">
        <v>8512</v>
      </c>
      <c r="AT22" s="287">
        <v>900</v>
      </c>
      <c r="AU22" s="287">
        <v>12900</v>
      </c>
      <c r="AV22" s="287">
        <v>8256</v>
      </c>
      <c r="AW22" s="287">
        <v>980</v>
      </c>
      <c r="AX22" s="287">
        <v>14170</v>
      </c>
      <c r="AY22" s="287">
        <v>9157.6</v>
      </c>
      <c r="AZ22" s="287">
        <v>1110</v>
      </c>
      <c r="BA22" s="287">
        <v>16140</v>
      </c>
      <c r="BB22" s="287">
        <v>10329.6</v>
      </c>
      <c r="BC22" s="287">
        <v>450</v>
      </c>
      <c r="BD22" s="287">
        <v>6300</v>
      </c>
      <c r="BE22" s="287">
        <v>4032</v>
      </c>
      <c r="BF22" s="287">
        <v>1170</v>
      </c>
      <c r="BG22" s="287">
        <v>16340</v>
      </c>
      <c r="BH22" s="287">
        <v>10544</v>
      </c>
      <c r="BI22" s="287">
        <v>290</v>
      </c>
      <c r="BJ22" s="293">
        <v>4240</v>
      </c>
      <c r="BK22" s="287">
        <v>2972.8</v>
      </c>
      <c r="BL22" s="287">
        <v>1277</v>
      </c>
      <c r="BM22" s="287">
        <v>17338</v>
      </c>
      <c r="BN22" s="287">
        <v>12910.720000000001</v>
      </c>
      <c r="BO22" s="287">
        <v>980</v>
      </c>
      <c r="BP22" s="287">
        <v>13960</v>
      </c>
      <c r="BQ22" s="287">
        <v>9064</v>
      </c>
      <c r="BR22" s="287">
        <v>2480</v>
      </c>
      <c r="BS22" s="287">
        <v>34960</v>
      </c>
      <c r="BT22" s="287">
        <v>22916.799999999999</v>
      </c>
      <c r="BU22" s="395">
        <f t="shared" si="6"/>
        <v>13367</v>
      </c>
      <c r="BV22" s="395">
        <f t="shared" si="7"/>
        <v>189368</v>
      </c>
      <c r="BW22" s="395">
        <f t="shared" si="8"/>
        <v>125167.52000000002</v>
      </c>
      <c r="BX22" s="490">
        <f t="shared" si="9"/>
        <v>1113.9166666666667</v>
      </c>
      <c r="BY22" s="490">
        <f t="shared" si="10"/>
        <v>15780.666666666666</v>
      </c>
      <c r="BZ22" s="490">
        <f t="shared" si="11"/>
        <v>10430.626666666669</v>
      </c>
      <c r="CA22" s="434">
        <f t="shared" si="12"/>
        <v>24.425207111607563</v>
      </c>
    </row>
    <row r="23" spans="1:80">
      <c r="A23" s="391">
        <v>20</v>
      </c>
      <c r="B23" s="391" t="s">
        <v>263</v>
      </c>
      <c r="C23" s="391" t="s">
        <v>264</v>
      </c>
      <c r="D23" s="391" t="s">
        <v>265</v>
      </c>
      <c r="E23" s="391" t="s">
        <v>108</v>
      </c>
      <c r="F23" s="391" t="s">
        <v>218</v>
      </c>
      <c r="G23" s="393">
        <v>1100</v>
      </c>
      <c r="H23" s="393">
        <v>15400</v>
      </c>
      <c r="I23" s="393">
        <v>1000</v>
      </c>
      <c r="J23" s="393">
        <v>14000</v>
      </c>
      <c r="K23" s="393">
        <v>450</v>
      </c>
      <c r="L23" s="393">
        <v>6300</v>
      </c>
      <c r="M23" s="393">
        <v>400</v>
      </c>
      <c r="N23" s="393">
        <v>5600</v>
      </c>
      <c r="O23" s="393">
        <v>300</v>
      </c>
      <c r="P23" s="393">
        <v>4200</v>
      </c>
      <c r="Q23" s="393">
        <v>600</v>
      </c>
      <c r="R23" s="393">
        <v>8400</v>
      </c>
      <c r="S23" s="393">
        <v>300</v>
      </c>
      <c r="T23" s="393">
        <v>4200</v>
      </c>
      <c r="U23" s="393">
        <v>399</v>
      </c>
      <c r="V23" s="393">
        <v>5586</v>
      </c>
      <c r="W23" s="393">
        <v>650</v>
      </c>
      <c r="X23" s="393">
        <v>9100</v>
      </c>
      <c r="Y23" s="393">
        <v>212</v>
      </c>
      <c r="Z23" s="402">
        <v>2968</v>
      </c>
      <c r="AA23" s="407">
        <v>500</v>
      </c>
      <c r="AB23" s="393">
        <v>7000</v>
      </c>
      <c r="AC23" s="419">
        <f t="shared" si="2"/>
        <v>537.36363636363637</v>
      </c>
      <c r="AD23" s="420">
        <f t="shared" si="3"/>
        <v>7523.090909090909</v>
      </c>
      <c r="AE23" s="393">
        <v>850</v>
      </c>
      <c r="AF23" s="393">
        <v>11900</v>
      </c>
      <c r="AG23" s="394">
        <v>6761</v>
      </c>
      <c r="AH23" s="394">
        <v>94654</v>
      </c>
      <c r="AI23" s="394">
        <f t="shared" si="4"/>
        <v>563.41666666666663</v>
      </c>
      <c r="AJ23" s="394">
        <f t="shared" si="5"/>
        <v>7887.833333333333</v>
      </c>
      <c r="AK23" s="287">
        <v>750</v>
      </c>
      <c r="AL23" s="287">
        <v>10400</v>
      </c>
      <c r="AM23" s="287">
        <v>6872</v>
      </c>
      <c r="AN23" s="287">
        <v>765</v>
      </c>
      <c r="AO23" s="287">
        <v>11910</v>
      </c>
      <c r="AP23" s="287">
        <v>7838.4</v>
      </c>
      <c r="AQ23" s="287">
        <v>500</v>
      </c>
      <c r="AR23" s="287">
        <v>7400</v>
      </c>
      <c r="AS23" s="287">
        <v>4952</v>
      </c>
      <c r="AT23" s="287">
        <v>780</v>
      </c>
      <c r="AU23" s="287">
        <v>10920</v>
      </c>
      <c r="AV23" s="287">
        <v>6988.8</v>
      </c>
      <c r="AW23" s="287">
        <v>800</v>
      </c>
      <c r="AX23" s="287">
        <v>12000</v>
      </c>
      <c r="AY23" s="287">
        <v>8112</v>
      </c>
      <c r="AZ23" s="287">
        <v>905</v>
      </c>
      <c r="BA23" s="287">
        <v>12670</v>
      </c>
      <c r="BB23" s="287">
        <v>8108.8000000000011</v>
      </c>
      <c r="BC23" s="287">
        <v>300</v>
      </c>
      <c r="BD23" s="287">
        <v>4200</v>
      </c>
      <c r="BE23" s="287">
        <v>2688</v>
      </c>
      <c r="BF23" s="287">
        <v>380</v>
      </c>
      <c r="BG23" s="287">
        <v>5320</v>
      </c>
      <c r="BH23" s="287">
        <v>3404.8</v>
      </c>
      <c r="BI23" s="287">
        <v>300</v>
      </c>
      <c r="BJ23" s="293">
        <v>4200</v>
      </c>
      <c r="BK23" s="287">
        <v>2688</v>
      </c>
      <c r="BL23" s="287">
        <v>720</v>
      </c>
      <c r="BM23" s="287">
        <v>10080</v>
      </c>
      <c r="BN23" s="287">
        <v>6451.2</v>
      </c>
      <c r="BO23" s="287">
        <v>380</v>
      </c>
      <c r="BP23" s="287">
        <v>5320</v>
      </c>
      <c r="BQ23" s="287">
        <v>3404.8</v>
      </c>
      <c r="BR23" s="287">
        <v>375</v>
      </c>
      <c r="BS23" s="287">
        <v>4850</v>
      </c>
      <c r="BT23" s="287">
        <v>3968</v>
      </c>
      <c r="BU23" s="395">
        <f t="shared" si="6"/>
        <v>6955</v>
      </c>
      <c r="BV23" s="395">
        <f t="shared" si="7"/>
        <v>99270</v>
      </c>
      <c r="BW23" s="395">
        <f t="shared" si="8"/>
        <v>65476.800000000003</v>
      </c>
      <c r="BX23" s="490">
        <f t="shared" si="9"/>
        <v>579.58333333333337</v>
      </c>
      <c r="BY23" s="490">
        <f t="shared" si="10"/>
        <v>8272.5</v>
      </c>
      <c r="BZ23" s="490">
        <f t="shared" si="11"/>
        <v>5456.4000000000005</v>
      </c>
      <c r="CA23" s="434">
        <f t="shared" si="12"/>
        <v>2.8693980180446914</v>
      </c>
    </row>
    <row r="24" spans="1:80">
      <c r="A24" s="391">
        <v>21</v>
      </c>
      <c r="B24" s="391" t="s">
        <v>266</v>
      </c>
      <c r="C24" s="391" t="s">
        <v>267</v>
      </c>
      <c r="D24" s="391" t="s">
        <v>268</v>
      </c>
      <c r="E24" s="391" t="s">
        <v>107</v>
      </c>
      <c r="F24" s="391" t="s">
        <v>220</v>
      </c>
      <c r="G24" s="393">
        <v>100</v>
      </c>
      <c r="H24" s="393">
        <v>1400</v>
      </c>
      <c r="I24" s="393">
        <v>250</v>
      </c>
      <c r="J24" s="393">
        <v>3300</v>
      </c>
      <c r="K24" s="393">
        <v>300</v>
      </c>
      <c r="L24" s="393">
        <v>4100</v>
      </c>
      <c r="M24" s="393">
        <v>1000</v>
      </c>
      <c r="N24" s="393">
        <v>13000</v>
      </c>
      <c r="O24" s="393">
        <v>525</v>
      </c>
      <c r="P24" s="393">
        <v>7600</v>
      </c>
      <c r="Q24" s="393">
        <v>300</v>
      </c>
      <c r="R24" s="393">
        <v>5200</v>
      </c>
      <c r="S24" s="393">
        <v>600</v>
      </c>
      <c r="T24" s="393">
        <v>8000</v>
      </c>
      <c r="U24" s="393">
        <v>650</v>
      </c>
      <c r="V24" s="393">
        <v>9200</v>
      </c>
      <c r="W24" s="393">
        <v>600</v>
      </c>
      <c r="X24" s="393">
        <v>8400</v>
      </c>
      <c r="Y24" s="393">
        <v>600</v>
      </c>
      <c r="Z24" s="402">
        <v>8040</v>
      </c>
      <c r="AA24" s="407">
        <v>300</v>
      </c>
      <c r="AB24" s="393">
        <v>4800</v>
      </c>
      <c r="AC24" s="419">
        <f t="shared" si="2"/>
        <v>475</v>
      </c>
      <c r="AD24" s="420">
        <f t="shared" si="3"/>
        <v>6640</v>
      </c>
      <c r="AE24" s="393">
        <v>250</v>
      </c>
      <c r="AF24" s="393">
        <v>3760</v>
      </c>
      <c r="AG24" s="394">
        <v>5475</v>
      </c>
      <c r="AH24" s="394">
        <v>76800</v>
      </c>
      <c r="AI24" s="394">
        <f t="shared" si="4"/>
        <v>456.25</v>
      </c>
      <c r="AJ24" s="394">
        <f t="shared" si="5"/>
        <v>6400</v>
      </c>
      <c r="AK24" s="287">
        <v>0</v>
      </c>
      <c r="AL24" s="287">
        <v>0</v>
      </c>
      <c r="AM24" s="287">
        <v>0</v>
      </c>
      <c r="AN24" s="287">
        <v>90</v>
      </c>
      <c r="AO24" s="287">
        <v>1080</v>
      </c>
      <c r="AP24" s="287">
        <v>1080</v>
      </c>
      <c r="AQ24" s="287">
        <v>2100</v>
      </c>
      <c r="AR24" s="287">
        <v>28930</v>
      </c>
      <c r="AS24" s="287">
        <v>21690.400000000001</v>
      </c>
      <c r="AT24" s="287">
        <v>0</v>
      </c>
      <c r="AU24" s="287">
        <v>0</v>
      </c>
      <c r="AV24" s="287">
        <v>0</v>
      </c>
      <c r="AW24" s="287">
        <v>100</v>
      </c>
      <c r="AX24" s="287">
        <v>2400</v>
      </c>
      <c r="AY24" s="287">
        <v>1536</v>
      </c>
      <c r="AZ24" s="287">
        <v>114</v>
      </c>
      <c r="BA24" s="287">
        <v>1576</v>
      </c>
      <c r="BB24" s="287">
        <v>1003.8399999999999</v>
      </c>
      <c r="BC24" s="287">
        <v>597</v>
      </c>
      <c r="BD24" s="287">
        <v>8328</v>
      </c>
      <c r="BE24" s="287">
        <v>7489.92</v>
      </c>
      <c r="BF24" s="287">
        <v>450</v>
      </c>
      <c r="BG24" s="287">
        <v>6300</v>
      </c>
      <c r="BH24" s="287">
        <v>4032</v>
      </c>
      <c r="BI24" s="287">
        <v>550</v>
      </c>
      <c r="BJ24" s="293">
        <v>7100</v>
      </c>
      <c r="BK24" s="287">
        <v>5840</v>
      </c>
      <c r="BL24" s="287">
        <v>1550</v>
      </c>
      <c r="BM24" s="287">
        <v>20700</v>
      </c>
      <c r="BN24" s="287">
        <v>17568</v>
      </c>
      <c r="BO24" s="287">
        <v>50</v>
      </c>
      <c r="BP24" s="287">
        <v>1200</v>
      </c>
      <c r="BQ24" s="287">
        <v>768</v>
      </c>
      <c r="BR24" s="287">
        <v>200</v>
      </c>
      <c r="BS24" s="287">
        <v>2800</v>
      </c>
      <c r="BT24" s="287">
        <v>1792</v>
      </c>
      <c r="BU24" s="395">
        <f t="shared" si="6"/>
        <v>5801</v>
      </c>
      <c r="BV24" s="395">
        <f t="shared" si="7"/>
        <v>80414</v>
      </c>
      <c r="BW24" s="395">
        <f t="shared" si="8"/>
        <v>62800.159999999996</v>
      </c>
      <c r="BX24" s="490">
        <f t="shared" si="9"/>
        <v>483.41666666666669</v>
      </c>
      <c r="BY24" s="490">
        <f t="shared" si="10"/>
        <v>6701.166666666667</v>
      </c>
      <c r="BZ24" s="490">
        <f t="shared" si="11"/>
        <v>5233.3466666666664</v>
      </c>
      <c r="CA24" s="434">
        <f t="shared" si="12"/>
        <v>5.9543378995433898</v>
      </c>
    </row>
    <row r="25" spans="1:80">
      <c r="A25" s="391">
        <v>22</v>
      </c>
      <c r="B25" s="391" t="s">
        <v>269</v>
      </c>
      <c r="C25" s="391" t="s">
        <v>270</v>
      </c>
      <c r="D25" s="391" t="s">
        <v>216</v>
      </c>
      <c r="E25" s="391" t="s">
        <v>217</v>
      </c>
      <c r="F25" s="391" t="s">
        <v>218</v>
      </c>
      <c r="G25" s="393">
        <v>2950</v>
      </c>
      <c r="H25" s="393">
        <v>49660</v>
      </c>
      <c r="I25" s="393">
        <v>2150</v>
      </c>
      <c r="J25" s="393">
        <v>36830</v>
      </c>
      <c r="K25" s="393">
        <v>1885</v>
      </c>
      <c r="L25" s="393">
        <v>31170</v>
      </c>
      <c r="M25" s="393">
        <v>1878</v>
      </c>
      <c r="N25" s="393">
        <v>31422</v>
      </c>
      <c r="O25" s="393">
        <v>2150</v>
      </c>
      <c r="P25" s="393">
        <v>36130</v>
      </c>
      <c r="Q25" s="393">
        <v>2250</v>
      </c>
      <c r="R25" s="393">
        <v>37630</v>
      </c>
      <c r="S25" s="393">
        <v>2175</v>
      </c>
      <c r="T25" s="393">
        <v>36160</v>
      </c>
      <c r="U25" s="393">
        <v>2480</v>
      </c>
      <c r="V25" s="393">
        <v>41320</v>
      </c>
      <c r="W25" s="393">
        <v>2885</v>
      </c>
      <c r="X25" s="393">
        <v>48950</v>
      </c>
      <c r="Y25" s="393">
        <v>2900</v>
      </c>
      <c r="Z25" s="402">
        <v>49280</v>
      </c>
      <c r="AA25" s="407">
        <v>3068</v>
      </c>
      <c r="AB25" s="393">
        <v>52092</v>
      </c>
      <c r="AC25" s="419">
        <f t="shared" si="2"/>
        <v>2433.7272727272725</v>
      </c>
      <c r="AD25" s="420">
        <f t="shared" si="3"/>
        <v>40967.63636363636</v>
      </c>
      <c r="AE25" s="393">
        <v>3248</v>
      </c>
      <c r="AF25" s="393">
        <v>55362</v>
      </c>
      <c r="AG25" s="394">
        <v>30019</v>
      </c>
      <c r="AH25" s="394">
        <v>506006</v>
      </c>
      <c r="AI25" s="394">
        <f t="shared" si="4"/>
        <v>2501.5833333333335</v>
      </c>
      <c r="AJ25" s="394">
        <f t="shared" si="5"/>
        <v>42167.166666666664</v>
      </c>
      <c r="AK25" s="287">
        <v>3225</v>
      </c>
      <c r="AL25" s="287">
        <v>54850</v>
      </c>
      <c r="AM25" s="287">
        <v>35948.800000000003</v>
      </c>
      <c r="AN25" s="287">
        <v>2372</v>
      </c>
      <c r="AO25" s="287">
        <v>39478</v>
      </c>
      <c r="AP25" s="287">
        <v>25892.800000000003</v>
      </c>
      <c r="AQ25" s="287">
        <v>2215</v>
      </c>
      <c r="AR25" s="287">
        <v>37270</v>
      </c>
      <c r="AS25" s="287">
        <v>24332.799999999999</v>
      </c>
      <c r="AT25" s="287">
        <v>2550</v>
      </c>
      <c r="AU25" s="287">
        <v>42490</v>
      </c>
      <c r="AV25" s="287">
        <v>27844</v>
      </c>
      <c r="AW25" s="287">
        <v>2679</v>
      </c>
      <c r="AX25" s="287">
        <v>44398</v>
      </c>
      <c r="AY25" s="287">
        <v>29276.799999999999</v>
      </c>
      <c r="AZ25" s="287">
        <v>3040</v>
      </c>
      <c r="BA25" s="287">
        <v>48810</v>
      </c>
      <c r="BB25" s="287">
        <v>32527.200000000001</v>
      </c>
      <c r="BC25" s="287">
        <v>3060</v>
      </c>
      <c r="BD25" s="287">
        <v>49500</v>
      </c>
      <c r="BE25" s="287">
        <v>32798.400000000001</v>
      </c>
      <c r="BF25" s="287">
        <v>3280</v>
      </c>
      <c r="BG25" s="287">
        <v>52670</v>
      </c>
      <c r="BH25" s="287">
        <v>35290.400000000009</v>
      </c>
      <c r="BI25" s="287">
        <v>3185</v>
      </c>
      <c r="BJ25" s="293">
        <v>51190</v>
      </c>
      <c r="BK25" s="287">
        <v>34604.800000000003</v>
      </c>
      <c r="BL25" s="287">
        <v>3398</v>
      </c>
      <c r="BM25" s="287">
        <v>56462</v>
      </c>
      <c r="BN25" s="287">
        <v>37911.68</v>
      </c>
      <c r="BO25" s="287">
        <v>2955</v>
      </c>
      <c r="BP25" s="287">
        <v>49160</v>
      </c>
      <c r="BQ25" s="287">
        <v>31961.599999999995</v>
      </c>
      <c r="BR25" s="287">
        <v>2963</v>
      </c>
      <c r="BS25" s="287">
        <v>49122</v>
      </c>
      <c r="BT25" s="287">
        <v>32577.599999999995</v>
      </c>
      <c r="BU25" s="395">
        <f t="shared" si="6"/>
        <v>34922</v>
      </c>
      <c r="BV25" s="395">
        <f t="shared" si="7"/>
        <v>575400</v>
      </c>
      <c r="BW25" s="395">
        <f t="shared" si="8"/>
        <v>380966.88</v>
      </c>
      <c r="BX25" s="490">
        <f t="shared" si="9"/>
        <v>2910.1666666666665</v>
      </c>
      <c r="BY25" s="490">
        <f t="shared" si="10"/>
        <v>47950</v>
      </c>
      <c r="BZ25" s="490">
        <f t="shared" si="11"/>
        <v>31747.24</v>
      </c>
      <c r="CA25" s="434">
        <f t="shared" si="12"/>
        <v>16.33298910689895</v>
      </c>
    </row>
    <row r="26" spans="1:80" ht="21" thickBot="1">
      <c r="A26" s="391">
        <v>23</v>
      </c>
      <c r="B26" s="391" t="s">
        <v>271</v>
      </c>
      <c r="C26" s="391" t="s">
        <v>272</v>
      </c>
      <c r="D26" s="391" t="s">
        <v>216</v>
      </c>
      <c r="E26" s="391" t="s">
        <v>217</v>
      </c>
      <c r="F26" s="391" t="s">
        <v>218</v>
      </c>
      <c r="G26" s="393">
        <v>3754</v>
      </c>
      <c r="H26" s="393">
        <v>63800</v>
      </c>
      <c r="I26" s="393">
        <v>3426</v>
      </c>
      <c r="J26" s="393">
        <v>58904</v>
      </c>
      <c r="K26" s="393">
        <v>3325</v>
      </c>
      <c r="L26" s="393">
        <v>57704</v>
      </c>
      <c r="M26" s="393">
        <v>3180</v>
      </c>
      <c r="N26" s="393">
        <v>54500</v>
      </c>
      <c r="O26" s="393">
        <v>3377</v>
      </c>
      <c r="P26" s="393">
        <v>58318</v>
      </c>
      <c r="Q26" s="393">
        <v>3520</v>
      </c>
      <c r="R26" s="393">
        <v>60710</v>
      </c>
      <c r="S26" s="393">
        <v>3769</v>
      </c>
      <c r="T26" s="393">
        <v>66456</v>
      </c>
      <c r="U26" s="393">
        <v>3916</v>
      </c>
      <c r="V26" s="393">
        <v>68544</v>
      </c>
      <c r="W26" s="393">
        <v>4658</v>
      </c>
      <c r="X26" s="393">
        <v>81094</v>
      </c>
      <c r="Y26" s="393">
        <v>5139</v>
      </c>
      <c r="Z26" s="402">
        <v>88700</v>
      </c>
      <c r="AA26" s="407">
        <v>5418</v>
      </c>
      <c r="AB26" s="393">
        <v>93086</v>
      </c>
      <c r="AC26" s="419">
        <f t="shared" si="2"/>
        <v>3952.909090909091</v>
      </c>
      <c r="AD26" s="420">
        <f t="shared" si="3"/>
        <v>68346.909090909088</v>
      </c>
      <c r="AE26" s="393">
        <v>5214</v>
      </c>
      <c r="AF26" s="393">
        <v>88286</v>
      </c>
      <c r="AG26" s="394">
        <v>48696</v>
      </c>
      <c r="AH26" s="394">
        <v>840102</v>
      </c>
      <c r="AI26" s="394">
        <f t="shared" si="4"/>
        <v>4058</v>
      </c>
      <c r="AJ26" s="394">
        <f t="shared" si="5"/>
        <v>70008.5</v>
      </c>
      <c r="AK26" s="287">
        <v>5069</v>
      </c>
      <c r="AL26" s="287">
        <v>85934</v>
      </c>
      <c r="AM26" s="287">
        <v>55016.480000000003</v>
      </c>
      <c r="AN26" s="287">
        <v>3821</v>
      </c>
      <c r="AO26" s="287">
        <v>63502</v>
      </c>
      <c r="AP26" s="287">
        <v>40723.12000000001</v>
      </c>
      <c r="AQ26" s="287">
        <v>3664</v>
      </c>
      <c r="AR26" s="287">
        <v>62062</v>
      </c>
      <c r="AS26" s="287">
        <v>39750.339999999997</v>
      </c>
      <c r="AT26" s="287">
        <v>3919</v>
      </c>
      <c r="AU26" s="287">
        <v>67896</v>
      </c>
      <c r="AV26" s="287">
        <v>43478.64</v>
      </c>
      <c r="AW26" s="287">
        <v>3704</v>
      </c>
      <c r="AX26" s="287">
        <v>64032</v>
      </c>
      <c r="AY26" s="287">
        <v>41090.639999999985</v>
      </c>
      <c r="AZ26" s="287">
        <v>4014</v>
      </c>
      <c r="BA26" s="287">
        <v>69856</v>
      </c>
      <c r="BB26" s="287">
        <v>44728.24</v>
      </c>
      <c r="BC26" s="287">
        <v>4348</v>
      </c>
      <c r="BD26" s="287">
        <v>75022</v>
      </c>
      <c r="BE26" s="287">
        <v>48017.68</v>
      </c>
      <c r="BF26" s="287">
        <v>4276</v>
      </c>
      <c r="BG26" s="287">
        <v>72644</v>
      </c>
      <c r="BH26" s="287">
        <v>46499.360000000008</v>
      </c>
      <c r="BI26" s="287">
        <v>4856</v>
      </c>
      <c r="BJ26" s="293">
        <v>79724</v>
      </c>
      <c r="BK26" s="287">
        <v>51030.559999999998</v>
      </c>
      <c r="BL26" s="287">
        <v>4452</v>
      </c>
      <c r="BM26" s="287">
        <v>73562</v>
      </c>
      <c r="BN26" s="287">
        <v>47081.840000000004</v>
      </c>
      <c r="BO26" s="287">
        <v>4147</v>
      </c>
      <c r="BP26" s="287">
        <v>68168</v>
      </c>
      <c r="BQ26" s="287">
        <v>43627.520000000011</v>
      </c>
      <c r="BR26" s="287">
        <v>4457</v>
      </c>
      <c r="BS26" s="287">
        <v>72950</v>
      </c>
      <c r="BT26" s="287">
        <v>46698.080000000002</v>
      </c>
      <c r="BU26" s="395">
        <f t="shared" si="6"/>
        <v>50727</v>
      </c>
      <c r="BV26" s="395">
        <f t="shared" si="7"/>
        <v>855352</v>
      </c>
      <c r="BW26" s="395">
        <f t="shared" si="8"/>
        <v>547742.5</v>
      </c>
      <c r="BX26" s="490">
        <f t="shared" si="9"/>
        <v>4227.25</v>
      </c>
      <c r="BY26" s="490">
        <f t="shared" si="10"/>
        <v>71279.333333333328</v>
      </c>
      <c r="BZ26" s="490">
        <f t="shared" si="11"/>
        <v>45645.208333333336</v>
      </c>
      <c r="CA26" s="434">
        <f t="shared" si="12"/>
        <v>4.1707737801872895</v>
      </c>
    </row>
    <row r="27" spans="1:80" ht="21" thickBot="1">
      <c r="A27" s="391">
        <v>24</v>
      </c>
      <c r="B27" s="391" t="s">
        <v>273</v>
      </c>
      <c r="C27" s="391" t="s">
        <v>274</v>
      </c>
      <c r="D27" s="391" t="s">
        <v>268</v>
      </c>
      <c r="E27" s="391" t="s">
        <v>107</v>
      </c>
      <c r="F27" s="391" t="s">
        <v>220</v>
      </c>
      <c r="G27" s="393">
        <v>305</v>
      </c>
      <c r="H27" s="393">
        <v>4160</v>
      </c>
      <c r="I27" s="393">
        <v>625</v>
      </c>
      <c r="J27" s="393">
        <v>8480</v>
      </c>
      <c r="K27" s="393">
        <v>300</v>
      </c>
      <c r="L27" s="393">
        <v>4140</v>
      </c>
      <c r="M27" s="393">
        <v>100</v>
      </c>
      <c r="N27" s="393">
        <v>2400</v>
      </c>
      <c r="O27" s="393">
        <v>300</v>
      </c>
      <c r="P27" s="393">
        <v>4200</v>
      </c>
      <c r="Q27" s="393">
        <v>300</v>
      </c>
      <c r="R27" s="393">
        <v>4100</v>
      </c>
      <c r="S27" s="393">
        <v>605</v>
      </c>
      <c r="T27" s="393">
        <v>8340</v>
      </c>
      <c r="U27" s="393">
        <v>305</v>
      </c>
      <c r="V27" s="393">
        <v>4100</v>
      </c>
      <c r="W27" s="393">
        <v>300</v>
      </c>
      <c r="X27" s="393">
        <v>4140</v>
      </c>
      <c r="Y27" s="393">
        <v>600</v>
      </c>
      <c r="Z27" s="402">
        <v>8180</v>
      </c>
      <c r="AA27" s="407">
        <v>300</v>
      </c>
      <c r="AB27" s="393">
        <v>4020</v>
      </c>
      <c r="AC27" s="419">
        <f t="shared" si="2"/>
        <v>367.27272727272725</v>
      </c>
      <c r="AD27" s="420">
        <f t="shared" si="3"/>
        <v>5114.545454545455</v>
      </c>
      <c r="AE27" s="393">
        <v>250</v>
      </c>
      <c r="AF27" s="393">
        <v>3760</v>
      </c>
      <c r="AG27" s="394">
        <v>4290</v>
      </c>
      <c r="AH27" s="394">
        <v>60020</v>
      </c>
      <c r="AI27" s="394">
        <f t="shared" si="4"/>
        <v>357.5</v>
      </c>
      <c r="AJ27" s="394">
        <f t="shared" si="5"/>
        <v>5001.666666666667</v>
      </c>
      <c r="AK27" s="287">
        <v>575</v>
      </c>
      <c r="AL27" s="287">
        <v>8920</v>
      </c>
      <c r="AM27" s="287">
        <v>5971.6</v>
      </c>
      <c r="AN27" s="287">
        <v>305</v>
      </c>
      <c r="AO27" s="287">
        <v>4140</v>
      </c>
      <c r="AP27" s="287">
        <v>2912.4</v>
      </c>
      <c r="AQ27" s="287">
        <v>565</v>
      </c>
      <c r="AR27" s="287">
        <v>8580</v>
      </c>
      <c r="AS27" s="287">
        <v>6150</v>
      </c>
      <c r="AT27" s="287">
        <v>200</v>
      </c>
      <c r="AU27" s="287">
        <v>3300</v>
      </c>
      <c r="AV27" s="287">
        <v>2112</v>
      </c>
      <c r="AW27" s="287">
        <v>240</v>
      </c>
      <c r="AX27" s="287">
        <v>4140</v>
      </c>
      <c r="AY27" s="287">
        <v>3088.8</v>
      </c>
      <c r="AZ27" s="287">
        <v>0</v>
      </c>
      <c r="BA27" s="287">
        <v>0</v>
      </c>
      <c r="BB27" s="287">
        <v>0</v>
      </c>
      <c r="BC27" s="287">
        <v>370</v>
      </c>
      <c r="BD27" s="287">
        <v>5290</v>
      </c>
      <c r="BE27" s="287">
        <v>4132</v>
      </c>
      <c r="BF27" s="287">
        <v>300</v>
      </c>
      <c r="BG27" s="287">
        <v>4000</v>
      </c>
      <c r="BH27" s="287">
        <v>2992</v>
      </c>
      <c r="BI27" s="287">
        <v>85</v>
      </c>
      <c r="BJ27" s="293">
        <v>1680</v>
      </c>
      <c r="BK27" s="287">
        <v>1078.8</v>
      </c>
      <c r="BL27" s="287">
        <v>0</v>
      </c>
      <c r="BM27" s="287">
        <v>0</v>
      </c>
      <c r="BN27" s="287">
        <v>0</v>
      </c>
      <c r="BO27" s="287">
        <v>135</v>
      </c>
      <c r="BP27" s="287">
        <v>2180</v>
      </c>
      <c r="BQ27" s="287">
        <v>1416.8</v>
      </c>
      <c r="BR27" s="287">
        <v>250</v>
      </c>
      <c r="BS27" s="287">
        <v>3200</v>
      </c>
      <c r="BT27" s="287">
        <v>2696</v>
      </c>
      <c r="BU27" s="395">
        <f t="shared" si="6"/>
        <v>3025</v>
      </c>
      <c r="BV27" s="395">
        <f t="shared" si="7"/>
        <v>45430</v>
      </c>
      <c r="BW27" s="395">
        <f t="shared" si="8"/>
        <v>32550.400000000001</v>
      </c>
      <c r="BX27" s="490">
        <f t="shared" si="9"/>
        <v>252.08333333333334</v>
      </c>
      <c r="BY27" s="490">
        <f t="shared" si="10"/>
        <v>3785.8333333333335</v>
      </c>
      <c r="BZ27" s="490">
        <f t="shared" si="11"/>
        <v>2712.5333333333333</v>
      </c>
      <c r="CA27" s="434">
        <f t="shared" si="12"/>
        <v>-29.487179487179489</v>
      </c>
      <c r="CB27" s="413" t="s">
        <v>324</v>
      </c>
    </row>
    <row r="28" spans="1:80">
      <c r="A28" s="391">
        <v>25</v>
      </c>
      <c r="B28" s="391" t="s">
        <v>275</v>
      </c>
      <c r="C28" s="391" t="s">
        <v>276</v>
      </c>
      <c r="D28" s="391" t="s">
        <v>265</v>
      </c>
      <c r="E28" s="391" t="s">
        <v>108</v>
      </c>
      <c r="F28" s="391" t="s">
        <v>218</v>
      </c>
      <c r="G28" s="393">
        <v>500</v>
      </c>
      <c r="H28" s="393">
        <v>7000</v>
      </c>
      <c r="I28" s="393"/>
      <c r="J28" s="393"/>
      <c r="K28" s="393">
        <v>300</v>
      </c>
      <c r="L28" s="393">
        <v>4200</v>
      </c>
      <c r="M28" s="393">
        <v>400</v>
      </c>
      <c r="N28" s="393">
        <v>5600</v>
      </c>
      <c r="O28" s="393"/>
      <c r="P28" s="393"/>
      <c r="Q28" s="393">
        <v>400</v>
      </c>
      <c r="R28" s="393">
        <v>5600</v>
      </c>
      <c r="S28" s="393">
        <v>400</v>
      </c>
      <c r="T28" s="393">
        <v>5600</v>
      </c>
      <c r="U28" s="393">
        <v>300</v>
      </c>
      <c r="V28" s="393">
        <v>4200</v>
      </c>
      <c r="W28" s="393">
        <v>100</v>
      </c>
      <c r="X28" s="393">
        <v>1400</v>
      </c>
      <c r="Y28" s="393">
        <v>317</v>
      </c>
      <c r="Z28" s="402">
        <v>4438</v>
      </c>
      <c r="AA28" s="407">
        <v>650</v>
      </c>
      <c r="AB28" s="393">
        <v>9100</v>
      </c>
      <c r="AC28" s="419">
        <f t="shared" si="2"/>
        <v>306.09090909090907</v>
      </c>
      <c r="AD28" s="420">
        <f t="shared" si="3"/>
        <v>4285.272727272727</v>
      </c>
      <c r="AE28" s="393">
        <v>200</v>
      </c>
      <c r="AF28" s="393">
        <v>2800</v>
      </c>
      <c r="AG28" s="394">
        <v>3567</v>
      </c>
      <c r="AH28" s="394">
        <v>49938</v>
      </c>
      <c r="AI28" s="394">
        <f t="shared" si="4"/>
        <v>297.25</v>
      </c>
      <c r="AJ28" s="394">
        <f t="shared" si="5"/>
        <v>4161.5</v>
      </c>
      <c r="AK28" s="287"/>
      <c r="AL28" s="287"/>
      <c r="AM28" s="287"/>
      <c r="AN28" s="287"/>
      <c r="AO28" s="287"/>
      <c r="AP28" s="287"/>
      <c r="AQ28" s="287"/>
      <c r="AR28" s="287"/>
      <c r="AS28" s="287"/>
      <c r="AT28" s="287"/>
      <c r="AU28" s="287"/>
      <c r="AV28" s="287"/>
      <c r="AW28" s="287"/>
      <c r="AX28" s="287"/>
      <c r="AY28" s="287"/>
      <c r="AZ28" s="287"/>
      <c r="BA28" s="287"/>
      <c r="BB28" s="287"/>
      <c r="BC28" s="287">
        <v>750</v>
      </c>
      <c r="BD28" s="287">
        <v>9900</v>
      </c>
      <c r="BE28" s="287">
        <v>7632</v>
      </c>
      <c r="BF28" s="287">
        <v>550</v>
      </c>
      <c r="BG28" s="287">
        <v>7760</v>
      </c>
      <c r="BH28" s="287">
        <v>5388.8</v>
      </c>
      <c r="BI28" s="287">
        <v>1300</v>
      </c>
      <c r="BJ28" s="293">
        <v>15800</v>
      </c>
      <c r="BK28" s="287">
        <v>15296</v>
      </c>
      <c r="BL28" s="287">
        <v>300</v>
      </c>
      <c r="BM28" s="287">
        <v>3800</v>
      </c>
      <c r="BN28" s="287">
        <v>3296</v>
      </c>
      <c r="BO28" s="287">
        <v>1430</v>
      </c>
      <c r="BP28" s="287">
        <v>17960</v>
      </c>
      <c r="BQ28" s="287">
        <v>15944</v>
      </c>
      <c r="BR28" s="287">
        <v>600</v>
      </c>
      <c r="BS28" s="287">
        <v>8000</v>
      </c>
      <c r="BT28" s="287">
        <v>5984</v>
      </c>
      <c r="BU28" s="395">
        <f t="shared" si="6"/>
        <v>4930</v>
      </c>
      <c r="BV28" s="395">
        <f t="shared" si="7"/>
        <v>63220</v>
      </c>
      <c r="BW28" s="395">
        <f t="shared" si="8"/>
        <v>53540.800000000003</v>
      </c>
      <c r="BX28" s="490">
        <f t="shared" si="9"/>
        <v>410.83333333333331</v>
      </c>
      <c r="BY28" s="490">
        <f t="shared" si="10"/>
        <v>5268.333333333333</v>
      </c>
      <c r="BZ28" s="490">
        <f t="shared" si="11"/>
        <v>4461.7333333333336</v>
      </c>
      <c r="CA28" s="434">
        <f t="shared" si="12"/>
        <v>38.211382113821145</v>
      </c>
    </row>
    <row r="29" spans="1:80" ht="27.75" customHeight="1">
      <c r="A29" s="855" t="s">
        <v>277</v>
      </c>
      <c r="B29" s="856"/>
      <c r="C29" s="856"/>
      <c r="D29" s="856"/>
      <c r="E29" s="856"/>
      <c r="F29" s="857"/>
      <c r="G29" s="396">
        <v>56060</v>
      </c>
      <c r="H29" s="396">
        <v>867731</v>
      </c>
      <c r="I29" s="396">
        <v>43368</v>
      </c>
      <c r="J29" s="396">
        <v>683544</v>
      </c>
      <c r="K29" s="396">
        <v>44170</v>
      </c>
      <c r="L29" s="396">
        <v>693618</v>
      </c>
      <c r="M29" s="396">
        <v>41593</v>
      </c>
      <c r="N29" s="396">
        <v>644518</v>
      </c>
      <c r="O29" s="396">
        <v>46338</v>
      </c>
      <c r="P29" s="396">
        <v>734660</v>
      </c>
      <c r="Q29" s="396">
        <v>45743</v>
      </c>
      <c r="R29" s="396">
        <v>715304</v>
      </c>
      <c r="S29" s="396">
        <v>47787</v>
      </c>
      <c r="T29" s="396">
        <v>754136</v>
      </c>
      <c r="U29" s="396">
        <v>46604</v>
      </c>
      <c r="V29" s="396">
        <v>737062</v>
      </c>
      <c r="W29" s="396">
        <v>50416</v>
      </c>
      <c r="X29" s="396">
        <v>799388</v>
      </c>
      <c r="Y29" s="396">
        <v>52801</v>
      </c>
      <c r="Z29" s="403">
        <v>834646</v>
      </c>
      <c r="AA29" s="408">
        <v>51355</v>
      </c>
      <c r="AB29" s="396">
        <v>830988</v>
      </c>
      <c r="AC29" s="419">
        <f t="shared" si="2"/>
        <v>47839.545454545456</v>
      </c>
      <c r="AD29" s="420">
        <f t="shared" si="3"/>
        <v>754145</v>
      </c>
      <c r="AE29" s="396">
        <v>56866</v>
      </c>
      <c r="AF29" s="396">
        <v>898928</v>
      </c>
      <c r="AG29" s="397">
        <v>583101</v>
      </c>
      <c r="AH29" s="397">
        <v>9194523</v>
      </c>
      <c r="AI29" s="394">
        <f t="shared" si="4"/>
        <v>48591.75</v>
      </c>
      <c r="AJ29" s="394">
        <f t="shared" si="5"/>
        <v>766210.25</v>
      </c>
      <c r="AK29" s="398">
        <v>52449</v>
      </c>
      <c r="AL29" s="398">
        <v>833902</v>
      </c>
      <c r="AM29" s="398">
        <v>541971.99999999988</v>
      </c>
      <c r="AN29" s="398">
        <v>44693</v>
      </c>
      <c r="AO29" s="398">
        <v>711314</v>
      </c>
      <c r="AP29" s="398">
        <v>459680.24000000005</v>
      </c>
      <c r="AQ29" s="398">
        <v>55295.642857142855</v>
      </c>
      <c r="AR29" s="398">
        <v>879447</v>
      </c>
      <c r="AS29" s="398">
        <v>579364.26</v>
      </c>
      <c r="AT29" s="398">
        <v>44118</v>
      </c>
      <c r="AU29" s="398">
        <v>709115</v>
      </c>
      <c r="AV29" s="398">
        <v>460231.1</v>
      </c>
      <c r="AW29" s="398">
        <v>48070.208333333336</v>
      </c>
      <c r="AX29" s="398">
        <v>762963</v>
      </c>
      <c r="AY29" s="398">
        <v>497495.74999999994</v>
      </c>
      <c r="AZ29" s="398">
        <v>48827.5</v>
      </c>
      <c r="BA29" s="398">
        <v>773598</v>
      </c>
      <c r="BB29" s="398">
        <v>503185.55999999994</v>
      </c>
      <c r="BC29" s="398">
        <v>47373</v>
      </c>
      <c r="BD29" s="398">
        <v>754474</v>
      </c>
      <c r="BE29" s="398">
        <v>494842.96</v>
      </c>
      <c r="BF29" s="398">
        <v>46751</v>
      </c>
      <c r="BG29" s="398">
        <v>741072</v>
      </c>
      <c r="BH29" s="398">
        <v>483141.59999999992</v>
      </c>
      <c r="BI29" s="398">
        <v>48864</v>
      </c>
      <c r="BJ29" s="398">
        <v>768070</v>
      </c>
      <c r="BK29" s="398">
        <v>511647.76000000007</v>
      </c>
      <c r="BL29" s="398">
        <v>51709</v>
      </c>
      <c r="BM29" s="398">
        <v>817874</v>
      </c>
      <c r="BN29" s="398">
        <v>540786.55999999994</v>
      </c>
      <c r="BO29" s="398">
        <f>SUM(BO4:BO28)</f>
        <v>53079</v>
      </c>
      <c r="BP29" s="398">
        <f t="shared" ref="BP29:BW29" si="13">SUM(BP4:BP28)</f>
        <v>836758</v>
      </c>
      <c r="BQ29" s="398">
        <f t="shared" si="13"/>
        <v>548361.28</v>
      </c>
      <c r="BR29" s="398">
        <v>52970</v>
      </c>
      <c r="BS29" s="398">
        <v>844104</v>
      </c>
      <c r="BT29" s="398">
        <v>552647.99999999988</v>
      </c>
      <c r="BU29" s="398">
        <f t="shared" si="13"/>
        <v>594199.35119047621</v>
      </c>
      <c r="BV29" s="398">
        <f t="shared" si="13"/>
        <v>9432691</v>
      </c>
      <c r="BW29" s="398">
        <f t="shared" si="13"/>
        <v>6173357.0699999994</v>
      </c>
      <c r="BX29" s="501">
        <f t="shared" si="9"/>
        <v>49516.612599206353</v>
      </c>
      <c r="BY29" s="501">
        <f t="shared" si="10"/>
        <v>786057.58333333337</v>
      </c>
      <c r="BZ29" s="501">
        <f t="shared" si="11"/>
        <v>514446.42249999993</v>
      </c>
      <c r="CA29" s="434">
        <f t="shared" si="12"/>
        <v>1.9033325599640847</v>
      </c>
    </row>
    <row r="30" spans="1:80" ht="21" thickBot="1">
      <c r="A30" s="391">
        <v>1</v>
      </c>
      <c r="B30" s="391" t="s">
        <v>278</v>
      </c>
      <c r="C30" s="391" t="s">
        <v>279</v>
      </c>
      <c r="D30" s="391" t="s">
        <v>216</v>
      </c>
      <c r="E30" s="391" t="s">
        <v>217</v>
      </c>
      <c r="F30" s="391" t="s">
        <v>280</v>
      </c>
      <c r="G30" s="393">
        <v>325</v>
      </c>
      <c r="H30" s="393">
        <v>5500</v>
      </c>
      <c r="I30" s="393">
        <v>45</v>
      </c>
      <c r="J30" s="393">
        <v>1080</v>
      </c>
      <c r="K30" s="393">
        <v>165</v>
      </c>
      <c r="L30" s="393">
        <v>360</v>
      </c>
      <c r="M30" s="393">
        <v>125</v>
      </c>
      <c r="N30" s="393">
        <v>2300</v>
      </c>
      <c r="O30" s="393">
        <v>65</v>
      </c>
      <c r="P30" s="393">
        <v>1160</v>
      </c>
      <c r="Q30" s="393">
        <v>130</v>
      </c>
      <c r="R30" s="393">
        <v>2320</v>
      </c>
      <c r="S30" s="393">
        <v>55</v>
      </c>
      <c r="T30" s="393">
        <v>1120</v>
      </c>
      <c r="U30" s="393">
        <v>60</v>
      </c>
      <c r="V30" s="393">
        <v>1140</v>
      </c>
      <c r="W30" s="393">
        <v>130</v>
      </c>
      <c r="X30" s="393">
        <v>2320</v>
      </c>
      <c r="Y30" s="393">
        <v>135</v>
      </c>
      <c r="Z30" s="402">
        <v>2340</v>
      </c>
      <c r="AA30" s="407">
        <v>135</v>
      </c>
      <c r="AB30" s="393">
        <v>2340</v>
      </c>
      <c r="AC30" s="419">
        <f t="shared" si="2"/>
        <v>124.54545454545455</v>
      </c>
      <c r="AD30" s="420">
        <f t="shared" si="3"/>
        <v>1998.1818181818182</v>
      </c>
      <c r="AE30" s="393">
        <v>165</v>
      </c>
      <c r="AF30" s="393">
        <v>3160</v>
      </c>
      <c r="AG30" s="394">
        <v>1535</v>
      </c>
      <c r="AH30" s="394">
        <v>25140</v>
      </c>
      <c r="AI30" s="394">
        <f t="shared" si="4"/>
        <v>127.91666666666667</v>
      </c>
      <c r="AJ30" s="394">
        <f t="shared" si="5"/>
        <v>2095</v>
      </c>
      <c r="AK30" s="287"/>
      <c r="AL30" s="287"/>
      <c r="AM30" s="287"/>
      <c r="AN30" s="287"/>
      <c r="AO30" s="287"/>
      <c r="AP30" s="287"/>
      <c r="AQ30" s="287">
        <v>270</v>
      </c>
      <c r="AR30" s="287">
        <v>5280</v>
      </c>
      <c r="AS30" s="287">
        <v>3379.2</v>
      </c>
      <c r="AT30" s="287">
        <v>190</v>
      </c>
      <c r="AU30" s="287">
        <v>3210</v>
      </c>
      <c r="AV30" s="287">
        <v>2054.3999999999996</v>
      </c>
      <c r="AW30" s="287">
        <v>259</v>
      </c>
      <c r="AX30" s="287">
        <v>5126</v>
      </c>
      <c r="AY30" s="287">
        <v>3280.6400000000008</v>
      </c>
      <c r="AZ30" s="287">
        <v>115</v>
      </c>
      <c r="BA30" s="287">
        <v>2060</v>
      </c>
      <c r="BB30" s="287">
        <v>1318.4</v>
      </c>
      <c r="BC30" s="287">
        <v>150</v>
      </c>
      <c r="BD30" s="287">
        <v>2700</v>
      </c>
      <c r="BE30" s="287">
        <v>1728.0000000000002</v>
      </c>
      <c r="BF30" s="287">
        <v>141</v>
      </c>
      <c r="BG30" s="287">
        <v>2684</v>
      </c>
      <c r="BH30" s="287">
        <v>1717.7600000000002</v>
      </c>
      <c r="BI30" s="287">
        <v>95</v>
      </c>
      <c r="BJ30" s="287">
        <v>2130</v>
      </c>
      <c r="BK30" s="287">
        <v>1363.2</v>
      </c>
      <c r="BL30" s="287">
        <v>85</v>
      </c>
      <c r="BM30" s="287">
        <v>1640</v>
      </c>
      <c r="BN30" s="287">
        <v>1049.6000000000001</v>
      </c>
      <c r="BO30" s="287">
        <v>150</v>
      </c>
      <c r="BP30" s="287">
        <v>3000</v>
      </c>
      <c r="BQ30" s="287">
        <v>1920.0000000000002</v>
      </c>
      <c r="BR30" s="287">
        <v>130</v>
      </c>
      <c r="BS30" s="287">
        <v>2320</v>
      </c>
      <c r="BT30" s="287">
        <v>1484.8000000000002</v>
      </c>
      <c r="BU30" s="395">
        <f t="shared" ref="BU30" si="14">BR30+BO30+BL30+BI30+BF30+BC30+AZ30+AW30+AT30+AQ30+AN30+AK30</f>
        <v>1585</v>
      </c>
      <c r="BV30" s="395">
        <f t="shared" ref="BV30" si="15">BS30+BP30+BM30+BJ30+BG30+BD30+BA30+AX30+AU30+AR30+AO30+AL30</f>
        <v>30150</v>
      </c>
      <c r="BW30" s="395">
        <f t="shared" ref="BW30" si="16">BT30+BQ30+BN30+BK30+BH30+BE30+BB30+AY30+AV30+AS30+AP30+AM30</f>
        <v>19296</v>
      </c>
      <c r="BX30" s="490">
        <f t="shared" si="9"/>
        <v>132.08333333333334</v>
      </c>
      <c r="BY30" s="490">
        <f t="shared" si="10"/>
        <v>2512.5</v>
      </c>
      <c r="BZ30" s="490">
        <f t="shared" si="11"/>
        <v>1608</v>
      </c>
      <c r="CA30" s="434">
        <f t="shared" si="12"/>
        <v>3.257328990228018</v>
      </c>
    </row>
    <row r="31" spans="1:80">
      <c r="A31" s="391">
        <v>2</v>
      </c>
      <c r="B31" s="391" t="s">
        <v>281</v>
      </c>
      <c r="C31" s="391" t="s">
        <v>282</v>
      </c>
      <c r="D31" s="391" t="s">
        <v>226</v>
      </c>
      <c r="E31" s="391" t="s">
        <v>99</v>
      </c>
      <c r="F31" s="391" t="s">
        <v>280</v>
      </c>
      <c r="G31" s="393">
        <v>84</v>
      </c>
      <c r="H31" s="393">
        <v>1276</v>
      </c>
      <c r="I31" s="393">
        <v>55</v>
      </c>
      <c r="J31" s="393">
        <v>820</v>
      </c>
      <c r="K31" s="393">
        <v>60</v>
      </c>
      <c r="L31" s="393">
        <v>940</v>
      </c>
      <c r="M31" s="393">
        <v>35</v>
      </c>
      <c r="N31" s="393">
        <v>590</v>
      </c>
      <c r="O31" s="393">
        <v>75</v>
      </c>
      <c r="P31" s="393">
        <v>1300</v>
      </c>
      <c r="Q31" s="393">
        <v>35</v>
      </c>
      <c r="R31" s="393">
        <v>490</v>
      </c>
      <c r="S31" s="393">
        <v>95</v>
      </c>
      <c r="T31" s="393">
        <v>1580</v>
      </c>
      <c r="U31" s="393">
        <v>50</v>
      </c>
      <c r="V31" s="393">
        <v>950</v>
      </c>
      <c r="W31" s="393">
        <v>50</v>
      </c>
      <c r="X31" s="393">
        <v>700</v>
      </c>
      <c r="Y31" s="393">
        <v>30</v>
      </c>
      <c r="Z31" s="402">
        <v>720</v>
      </c>
      <c r="AA31" s="407">
        <v>30</v>
      </c>
      <c r="AB31" s="393">
        <v>420</v>
      </c>
      <c r="AC31" s="419">
        <f t="shared" si="2"/>
        <v>54.454545454545453</v>
      </c>
      <c r="AD31" s="420">
        <f t="shared" si="3"/>
        <v>889.63636363636363</v>
      </c>
      <c r="AE31" s="393">
        <v>80</v>
      </c>
      <c r="AF31" s="393">
        <v>1420</v>
      </c>
      <c r="AG31" s="394">
        <v>679</v>
      </c>
      <c r="AH31" s="394">
        <v>11206</v>
      </c>
      <c r="AI31" s="394">
        <f t="shared" si="4"/>
        <v>56.583333333333336</v>
      </c>
      <c r="AJ31" s="394">
        <f t="shared" si="5"/>
        <v>933.83333333333337</v>
      </c>
      <c r="AK31" s="287"/>
      <c r="AL31" s="287"/>
      <c r="AM31" s="287"/>
      <c r="AN31" s="287"/>
      <c r="AO31" s="287"/>
      <c r="AP31" s="287"/>
      <c r="AQ31" s="287">
        <v>70</v>
      </c>
      <c r="AR31" s="287">
        <v>1280</v>
      </c>
      <c r="AS31" s="287">
        <v>819.2</v>
      </c>
      <c r="AT31" s="287">
        <v>0</v>
      </c>
      <c r="AU31" s="287">
        <v>0</v>
      </c>
      <c r="AV31" s="287">
        <v>0</v>
      </c>
      <c r="AW31" s="287"/>
      <c r="AX31" s="287"/>
      <c r="AY31" s="287"/>
      <c r="AZ31" s="287"/>
      <c r="BA31" s="287"/>
      <c r="BB31" s="287"/>
      <c r="BC31" s="287"/>
      <c r="BD31" s="287"/>
      <c r="BE31" s="287"/>
      <c r="BF31" s="287"/>
      <c r="BG31" s="287"/>
      <c r="BH31" s="287"/>
      <c r="BI31" s="287"/>
      <c r="BJ31" s="287"/>
      <c r="BK31" s="287"/>
      <c r="BL31" s="287"/>
      <c r="BM31" s="287"/>
      <c r="BN31" s="287"/>
      <c r="BO31" s="287"/>
      <c r="BP31" s="287"/>
      <c r="BQ31" s="287"/>
      <c r="BR31" s="287"/>
      <c r="BS31" s="287"/>
      <c r="BT31" s="287"/>
      <c r="BU31" s="395">
        <f t="shared" ref="BU31:BU44" si="17">BR31+BO31+BL31+BI31+BF31+BC31+AZ31+AW31+AT31+AQ31+AN31+AK31</f>
        <v>70</v>
      </c>
      <c r="BV31" s="395">
        <f t="shared" ref="BV31:BV45" si="18">BS31+BP31+BM31+BJ31+BG31+BD31+BA31+AX31+AU31+AR31+AO31+AL31</f>
        <v>1280</v>
      </c>
      <c r="BW31" s="395">
        <f t="shared" ref="BW31:BW45" si="19">BT31+BQ31+BN31+BK31+BH31+BE31+BB31+AY31+AV31+AS31+AP31+AM31</f>
        <v>819.2</v>
      </c>
      <c r="BX31" s="490">
        <f t="shared" si="9"/>
        <v>5.833333333333333</v>
      </c>
      <c r="BY31" s="490">
        <f t="shared" si="10"/>
        <v>106.66666666666667</v>
      </c>
      <c r="BZ31" s="490">
        <f t="shared" si="11"/>
        <v>68.266666666666666</v>
      </c>
      <c r="CA31" s="434">
        <f t="shared" si="12"/>
        <v>-89.690721649484544</v>
      </c>
      <c r="CB31" s="414" t="s">
        <v>324</v>
      </c>
    </row>
    <row r="32" spans="1:80">
      <c r="A32" s="391">
        <v>3</v>
      </c>
      <c r="B32" s="391" t="s">
        <v>283</v>
      </c>
      <c r="C32" s="391" t="s">
        <v>284</v>
      </c>
      <c r="D32" s="391" t="s">
        <v>229</v>
      </c>
      <c r="E32" s="391" t="s">
        <v>147</v>
      </c>
      <c r="F32" s="391" t="s">
        <v>280</v>
      </c>
      <c r="G32" s="393">
        <v>245</v>
      </c>
      <c r="H32" s="393">
        <v>3830</v>
      </c>
      <c r="I32" s="393">
        <v>195</v>
      </c>
      <c r="J32" s="393">
        <v>3330</v>
      </c>
      <c r="K32" s="393">
        <v>140</v>
      </c>
      <c r="L32" s="393">
        <v>2210</v>
      </c>
      <c r="M32" s="393">
        <v>160</v>
      </c>
      <c r="N32" s="393">
        <v>2840</v>
      </c>
      <c r="O32" s="393">
        <v>204</v>
      </c>
      <c r="P32" s="393">
        <v>3156</v>
      </c>
      <c r="Q32" s="393">
        <v>140</v>
      </c>
      <c r="R32" s="393">
        <v>2260</v>
      </c>
      <c r="S32" s="393">
        <v>155</v>
      </c>
      <c r="T32" s="393">
        <v>2470</v>
      </c>
      <c r="U32" s="393">
        <v>125</v>
      </c>
      <c r="V32" s="393">
        <v>1750</v>
      </c>
      <c r="W32" s="393">
        <v>110</v>
      </c>
      <c r="X32" s="393">
        <v>2140</v>
      </c>
      <c r="Y32" s="393">
        <v>100</v>
      </c>
      <c r="Z32" s="402">
        <v>1700</v>
      </c>
      <c r="AA32" s="407">
        <v>130</v>
      </c>
      <c r="AB32" s="393">
        <v>2120</v>
      </c>
      <c r="AC32" s="419">
        <f t="shared" si="2"/>
        <v>154.90909090909091</v>
      </c>
      <c r="AD32" s="420">
        <f t="shared" si="3"/>
        <v>2527.818181818182</v>
      </c>
      <c r="AE32" s="393">
        <v>125</v>
      </c>
      <c r="AF32" s="393">
        <v>2050</v>
      </c>
      <c r="AG32" s="394">
        <v>1829</v>
      </c>
      <c r="AH32" s="394">
        <v>29856</v>
      </c>
      <c r="AI32" s="394">
        <f t="shared" si="4"/>
        <v>152.41666666666666</v>
      </c>
      <c r="AJ32" s="394">
        <f t="shared" si="5"/>
        <v>2488</v>
      </c>
      <c r="AK32" s="287"/>
      <c r="AL32" s="287"/>
      <c r="AM32" s="287"/>
      <c r="AN32" s="287"/>
      <c r="AO32" s="287"/>
      <c r="AP32" s="287"/>
      <c r="AQ32" s="287">
        <v>85</v>
      </c>
      <c r="AR32" s="287">
        <v>1490</v>
      </c>
      <c r="AS32" s="287">
        <v>953.60000000000014</v>
      </c>
      <c r="AT32" s="287">
        <v>155</v>
      </c>
      <c r="AU32" s="287">
        <v>2620</v>
      </c>
      <c r="AV32" s="287">
        <v>1676.8</v>
      </c>
      <c r="AW32" s="287">
        <v>100</v>
      </c>
      <c r="AX32" s="287">
        <v>1400</v>
      </c>
      <c r="AY32" s="287">
        <v>896.00000000000011</v>
      </c>
      <c r="AZ32" s="287">
        <v>50</v>
      </c>
      <c r="BA32" s="287">
        <v>700</v>
      </c>
      <c r="BB32" s="287">
        <v>448.00000000000006</v>
      </c>
      <c r="BC32" s="287">
        <v>40</v>
      </c>
      <c r="BD32" s="287">
        <v>560</v>
      </c>
      <c r="BE32" s="287">
        <v>358.40000000000003</v>
      </c>
      <c r="BF32" s="287">
        <v>100</v>
      </c>
      <c r="BG32" s="287">
        <v>1400</v>
      </c>
      <c r="BH32" s="287">
        <v>896</v>
      </c>
      <c r="BI32" s="287">
        <v>65</v>
      </c>
      <c r="BJ32" s="287">
        <v>1060</v>
      </c>
      <c r="BK32" s="287">
        <v>678.40000000000009</v>
      </c>
      <c r="BL32" s="287">
        <v>65</v>
      </c>
      <c r="BM32" s="287">
        <v>1060</v>
      </c>
      <c r="BN32" s="287">
        <v>678.4</v>
      </c>
      <c r="BO32" s="287">
        <v>45</v>
      </c>
      <c r="BP32" s="287">
        <v>780</v>
      </c>
      <c r="BQ32" s="287">
        <v>499.20000000000005</v>
      </c>
      <c r="BR32" s="287">
        <v>45</v>
      </c>
      <c r="BS32" s="287">
        <v>780</v>
      </c>
      <c r="BT32" s="287">
        <v>499.20000000000005</v>
      </c>
      <c r="BU32" s="395">
        <f t="shared" si="17"/>
        <v>750</v>
      </c>
      <c r="BV32" s="395">
        <f t="shared" si="18"/>
        <v>11850</v>
      </c>
      <c r="BW32" s="395">
        <f t="shared" si="19"/>
        <v>7584.0000000000009</v>
      </c>
      <c r="BX32" s="490">
        <f t="shared" si="9"/>
        <v>62.5</v>
      </c>
      <c r="BY32" s="490">
        <f t="shared" si="10"/>
        <v>987.5</v>
      </c>
      <c r="BZ32" s="490">
        <f t="shared" si="11"/>
        <v>632.00000000000011</v>
      </c>
      <c r="CA32" s="434">
        <f t="shared" si="12"/>
        <v>-58.993985784581739</v>
      </c>
      <c r="CB32" s="415" t="s">
        <v>324</v>
      </c>
    </row>
    <row r="33" spans="1:80">
      <c r="A33" s="391">
        <v>4</v>
      </c>
      <c r="B33" s="391" t="s">
        <v>285</v>
      </c>
      <c r="C33" s="391" t="s">
        <v>286</v>
      </c>
      <c r="D33" s="391" t="s">
        <v>241</v>
      </c>
      <c r="E33" s="391" t="s">
        <v>151</v>
      </c>
      <c r="F33" s="391" t="s">
        <v>280</v>
      </c>
      <c r="G33" s="393">
        <v>200</v>
      </c>
      <c r="H33" s="393">
        <v>2800</v>
      </c>
      <c r="I33" s="393">
        <v>200</v>
      </c>
      <c r="J33" s="393">
        <v>2800</v>
      </c>
      <c r="K33" s="393">
        <v>200</v>
      </c>
      <c r="L33" s="393">
        <v>2800</v>
      </c>
      <c r="M33" s="393">
        <v>200</v>
      </c>
      <c r="N33" s="393">
        <v>2800</v>
      </c>
      <c r="O33" s="393"/>
      <c r="P33" s="393"/>
      <c r="Q33" s="393">
        <v>440</v>
      </c>
      <c r="R33" s="393">
        <v>6160</v>
      </c>
      <c r="S33" s="393">
        <v>200</v>
      </c>
      <c r="T33" s="393">
        <v>2800</v>
      </c>
      <c r="U33" s="393">
        <v>218</v>
      </c>
      <c r="V33" s="393">
        <v>3232</v>
      </c>
      <c r="W33" s="393">
        <v>200</v>
      </c>
      <c r="X33" s="393">
        <v>2800</v>
      </c>
      <c r="Y33" s="393">
        <v>200</v>
      </c>
      <c r="Z33" s="402">
        <v>2800</v>
      </c>
      <c r="AA33" s="407">
        <v>300</v>
      </c>
      <c r="AB33" s="393">
        <v>4200</v>
      </c>
      <c r="AC33" s="419">
        <f t="shared" si="2"/>
        <v>214.36363636363637</v>
      </c>
      <c r="AD33" s="420">
        <f t="shared" si="3"/>
        <v>3017.4545454545455</v>
      </c>
      <c r="AE33" s="393">
        <v>200</v>
      </c>
      <c r="AF33" s="393">
        <v>2800</v>
      </c>
      <c r="AG33" s="394">
        <v>2558</v>
      </c>
      <c r="AH33" s="394">
        <v>35992</v>
      </c>
      <c r="AI33" s="394">
        <f t="shared" si="4"/>
        <v>213.16666666666666</v>
      </c>
      <c r="AJ33" s="394">
        <f t="shared" si="5"/>
        <v>2999.3333333333335</v>
      </c>
      <c r="AK33" s="287"/>
      <c r="AL33" s="287"/>
      <c r="AM33" s="287"/>
      <c r="AN33" s="287"/>
      <c r="AO33" s="287"/>
      <c r="AP33" s="287"/>
      <c r="AQ33" s="287">
        <v>200</v>
      </c>
      <c r="AR33" s="287">
        <v>2800</v>
      </c>
      <c r="AS33" s="287">
        <v>1792</v>
      </c>
      <c r="AT33" s="287">
        <v>300</v>
      </c>
      <c r="AU33" s="287">
        <v>4200</v>
      </c>
      <c r="AV33" s="287">
        <v>2688</v>
      </c>
      <c r="AW33" s="287">
        <v>160</v>
      </c>
      <c r="AX33" s="287">
        <v>2340</v>
      </c>
      <c r="AY33" s="287">
        <v>1488</v>
      </c>
      <c r="AZ33" s="287">
        <v>100</v>
      </c>
      <c r="BA33" s="287">
        <v>1400</v>
      </c>
      <c r="BB33" s="287">
        <v>896</v>
      </c>
      <c r="BC33" s="287">
        <v>100</v>
      </c>
      <c r="BD33" s="287">
        <v>1400</v>
      </c>
      <c r="BE33" s="287">
        <v>896</v>
      </c>
      <c r="BF33" s="287">
        <v>200</v>
      </c>
      <c r="BG33" s="287">
        <v>2800</v>
      </c>
      <c r="BH33" s="287">
        <v>1792</v>
      </c>
      <c r="BI33" s="287">
        <v>100</v>
      </c>
      <c r="BJ33" s="287">
        <v>1400</v>
      </c>
      <c r="BK33" s="287">
        <v>896</v>
      </c>
      <c r="BL33" s="287">
        <v>0</v>
      </c>
      <c r="BM33" s="287">
        <v>0</v>
      </c>
      <c r="BN33" s="287">
        <v>0</v>
      </c>
      <c r="BO33" s="287">
        <v>0</v>
      </c>
      <c r="BP33" s="287">
        <v>0</v>
      </c>
      <c r="BQ33" s="287">
        <v>0</v>
      </c>
      <c r="BR33" s="287"/>
      <c r="BS33" s="287"/>
      <c r="BT33" s="287"/>
      <c r="BU33" s="395">
        <f t="shared" si="17"/>
        <v>1160</v>
      </c>
      <c r="BV33" s="395">
        <f t="shared" si="18"/>
        <v>16340</v>
      </c>
      <c r="BW33" s="395">
        <f t="shared" si="19"/>
        <v>10448</v>
      </c>
      <c r="BX33" s="490">
        <f t="shared" si="9"/>
        <v>96.666666666666671</v>
      </c>
      <c r="BY33" s="490">
        <f t="shared" si="10"/>
        <v>1361.6666666666667</v>
      </c>
      <c r="BZ33" s="490">
        <f t="shared" si="11"/>
        <v>870.66666666666663</v>
      </c>
      <c r="CA33" s="434">
        <f t="shared" si="12"/>
        <v>-54.652071931196247</v>
      </c>
      <c r="CB33" s="415" t="s">
        <v>324</v>
      </c>
    </row>
    <row r="34" spans="1:80">
      <c r="A34" s="391">
        <v>5</v>
      </c>
      <c r="B34" s="391" t="s">
        <v>287</v>
      </c>
      <c r="C34" s="391" t="s">
        <v>288</v>
      </c>
      <c r="D34" s="391" t="s">
        <v>261</v>
      </c>
      <c r="E34" s="391" t="s">
        <v>262</v>
      </c>
      <c r="F34" s="391" t="s">
        <v>280</v>
      </c>
      <c r="G34" s="393">
        <v>230</v>
      </c>
      <c r="H34" s="393">
        <v>3220</v>
      </c>
      <c r="I34" s="393">
        <v>200</v>
      </c>
      <c r="J34" s="393">
        <v>2800</v>
      </c>
      <c r="K34" s="393">
        <v>200</v>
      </c>
      <c r="L34" s="393">
        <v>2800</v>
      </c>
      <c r="M34" s="393">
        <v>250</v>
      </c>
      <c r="N34" s="393">
        <v>3500</v>
      </c>
      <c r="O34" s="393">
        <v>50</v>
      </c>
      <c r="P34" s="393">
        <v>700</v>
      </c>
      <c r="Q34" s="393">
        <v>110</v>
      </c>
      <c r="R34" s="393">
        <v>1640</v>
      </c>
      <c r="S34" s="393"/>
      <c r="T34" s="393"/>
      <c r="U34" s="393">
        <v>26</v>
      </c>
      <c r="V34" s="393">
        <v>364</v>
      </c>
      <c r="W34" s="393">
        <v>250</v>
      </c>
      <c r="X34" s="393">
        <v>3500</v>
      </c>
      <c r="Y34" s="393">
        <v>45</v>
      </c>
      <c r="Z34" s="402">
        <v>830</v>
      </c>
      <c r="AA34" s="407"/>
      <c r="AB34" s="393"/>
      <c r="AC34" s="419">
        <f t="shared" si="2"/>
        <v>123.72727272727273</v>
      </c>
      <c r="AD34" s="420">
        <f t="shared" si="3"/>
        <v>1759.4545454545455</v>
      </c>
      <c r="AE34" s="393">
        <v>300</v>
      </c>
      <c r="AF34" s="393">
        <v>4200</v>
      </c>
      <c r="AG34" s="394">
        <v>1661</v>
      </c>
      <c r="AH34" s="394">
        <v>23554</v>
      </c>
      <c r="AI34" s="394">
        <f t="shared" si="4"/>
        <v>138.41666666666666</v>
      </c>
      <c r="AJ34" s="394">
        <f t="shared" si="5"/>
        <v>1962.8333333333333</v>
      </c>
      <c r="AK34" s="287"/>
      <c r="AL34" s="287"/>
      <c r="AM34" s="287"/>
      <c r="AN34" s="287"/>
      <c r="AO34" s="287"/>
      <c r="AP34" s="287"/>
      <c r="AQ34" s="287">
        <v>100</v>
      </c>
      <c r="AR34" s="287">
        <v>1400</v>
      </c>
      <c r="AS34" s="287">
        <v>896</v>
      </c>
      <c r="AT34" s="287">
        <v>200</v>
      </c>
      <c r="AU34" s="287">
        <v>2800</v>
      </c>
      <c r="AV34" s="287">
        <v>1792</v>
      </c>
      <c r="AW34" s="287">
        <v>80</v>
      </c>
      <c r="AX34" s="287">
        <v>1060</v>
      </c>
      <c r="AY34" s="287">
        <v>808</v>
      </c>
      <c r="AZ34" s="287">
        <v>0</v>
      </c>
      <c r="BA34" s="287">
        <v>0</v>
      </c>
      <c r="BB34" s="287">
        <v>0</v>
      </c>
      <c r="BC34" s="287">
        <v>0</v>
      </c>
      <c r="BD34" s="287">
        <v>0</v>
      </c>
      <c r="BE34" s="287">
        <v>0</v>
      </c>
      <c r="BF34" s="287">
        <v>50</v>
      </c>
      <c r="BG34" s="287">
        <v>700</v>
      </c>
      <c r="BH34" s="287">
        <v>448</v>
      </c>
      <c r="BI34" s="287">
        <v>0</v>
      </c>
      <c r="BJ34" s="287">
        <v>0</v>
      </c>
      <c r="BK34" s="287">
        <v>0</v>
      </c>
      <c r="BL34" s="287">
        <v>0</v>
      </c>
      <c r="BM34" s="287">
        <v>0</v>
      </c>
      <c r="BN34" s="287">
        <v>0</v>
      </c>
      <c r="BO34" s="287">
        <v>0</v>
      </c>
      <c r="BP34" s="287">
        <v>0</v>
      </c>
      <c r="BQ34" s="287">
        <v>0</v>
      </c>
      <c r="BR34" s="287"/>
      <c r="BS34" s="287"/>
      <c r="BT34" s="287"/>
      <c r="BU34" s="395">
        <f t="shared" si="17"/>
        <v>430</v>
      </c>
      <c r="BV34" s="395">
        <f t="shared" si="18"/>
        <v>5960</v>
      </c>
      <c r="BW34" s="395">
        <f t="shared" si="19"/>
        <v>3944</v>
      </c>
      <c r="BX34" s="490">
        <f t="shared" si="9"/>
        <v>35.833333333333336</v>
      </c>
      <c r="BY34" s="490">
        <f t="shared" si="10"/>
        <v>496.66666666666669</v>
      </c>
      <c r="BZ34" s="490">
        <f t="shared" si="11"/>
        <v>328.66666666666669</v>
      </c>
      <c r="CA34" s="434">
        <f t="shared" si="12"/>
        <v>-74.11198073449728</v>
      </c>
      <c r="CB34" s="415" t="s">
        <v>324</v>
      </c>
    </row>
    <row r="35" spans="1:80">
      <c r="A35" s="391">
        <v>6</v>
      </c>
      <c r="B35" s="391" t="s">
        <v>289</v>
      </c>
      <c r="C35" s="391" t="s">
        <v>290</v>
      </c>
      <c r="D35" s="391" t="s">
        <v>291</v>
      </c>
      <c r="E35" s="391" t="s">
        <v>106</v>
      </c>
      <c r="F35" s="391" t="s">
        <v>280</v>
      </c>
      <c r="G35" s="393">
        <v>130</v>
      </c>
      <c r="H35" s="393">
        <v>2120</v>
      </c>
      <c r="I35" s="393">
        <v>149</v>
      </c>
      <c r="J35" s="393">
        <v>2096</v>
      </c>
      <c r="K35" s="393">
        <v>280</v>
      </c>
      <c r="L35" s="393">
        <v>4220</v>
      </c>
      <c r="M35" s="393">
        <v>180</v>
      </c>
      <c r="N35" s="393">
        <v>2820</v>
      </c>
      <c r="O35" s="393">
        <v>170</v>
      </c>
      <c r="P35" s="393">
        <v>2580</v>
      </c>
      <c r="Q35" s="393">
        <v>180</v>
      </c>
      <c r="R35" s="393">
        <v>2820</v>
      </c>
      <c r="S35" s="393">
        <v>440</v>
      </c>
      <c r="T35" s="393">
        <v>7060</v>
      </c>
      <c r="U35" s="393">
        <v>310</v>
      </c>
      <c r="V35" s="393">
        <v>5440</v>
      </c>
      <c r="W35" s="393">
        <v>30</v>
      </c>
      <c r="X35" s="393">
        <v>420</v>
      </c>
      <c r="Y35" s="393">
        <v>290</v>
      </c>
      <c r="Z35" s="402">
        <v>4960</v>
      </c>
      <c r="AA35" s="407">
        <v>180</v>
      </c>
      <c r="AB35" s="393">
        <v>2820</v>
      </c>
      <c r="AC35" s="419">
        <f t="shared" si="2"/>
        <v>212.63636363636363</v>
      </c>
      <c r="AD35" s="420">
        <f t="shared" si="3"/>
        <v>3396</v>
      </c>
      <c r="AE35" s="393">
        <v>210</v>
      </c>
      <c r="AF35" s="393">
        <v>3540</v>
      </c>
      <c r="AG35" s="394">
        <v>2549</v>
      </c>
      <c r="AH35" s="394">
        <v>40896</v>
      </c>
      <c r="AI35" s="394">
        <f t="shared" si="4"/>
        <v>212.41666666666666</v>
      </c>
      <c r="AJ35" s="394">
        <f t="shared" si="5"/>
        <v>3408</v>
      </c>
      <c r="AK35" s="287"/>
      <c r="AL35" s="287"/>
      <c r="AM35" s="287"/>
      <c r="AN35" s="287"/>
      <c r="AO35" s="287"/>
      <c r="AP35" s="287"/>
      <c r="AQ35" s="287">
        <v>470</v>
      </c>
      <c r="AR35" s="287">
        <v>7780</v>
      </c>
      <c r="AS35" s="287">
        <v>4979.2</v>
      </c>
      <c r="AT35" s="287">
        <v>0</v>
      </c>
      <c r="AU35" s="287">
        <v>0</v>
      </c>
      <c r="AV35" s="287">
        <v>0</v>
      </c>
      <c r="AW35" s="287">
        <v>370</v>
      </c>
      <c r="AX35" s="287">
        <v>6280</v>
      </c>
      <c r="AY35" s="287">
        <v>4019.2000000000003</v>
      </c>
      <c r="AZ35" s="287">
        <v>210</v>
      </c>
      <c r="BA35" s="287">
        <v>3540</v>
      </c>
      <c r="BB35" s="287">
        <v>2265.6</v>
      </c>
      <c r="BC35" s="287">
        <v>210</v>
      </c>
      <c r="BD35" s="287">
        <v>3540</v>
      </c>
      <c r="BE35" s="287">
        <v>2265.6000000000004</v>
      </c>
      <c r="BF35" s="287">
        <v>100</v>
      </c>
      <c r="BG35" s="287">
        <v>1400</v>
      </c>
      <c r="BH35" s="287">
        <v>896</v>
      </c>
      <c r="BI35" s="287">
        <v>250</v>
      </c>
      <c r="BJ35" s="287">
        <v>4000</v>
      </c>
      <c r="BK35" s="287">
        <v>2560.0000000000005</v>
      </c>
      <c r="BL35" s="287">
        <v>250</v>
      </c>
      <c r="BM35" s="287">
        <v>3500</v>
      </c>
      <c r="BN35" s="287">
        <v>2240</v>
      </c>
      <c r="BO35" s="287">
        <v>0</v>
      </c>
      <c r="BP35" s="287">
        <v>0</v>
      </c>
      <c r="BQ35" s="287">
        <v>0</v>
      </c>
      <c r="BR35" s="287">
        <v>209</v>
      </c>
      <c r="BS35" s="287">
        <v>3016</v>
      </c>
      <c r="BT35" s="287">
        <v>1930.24</v>
      </c>
      <c r="BU35" s="395">
        <f t="shared" si="17"/>
        <v>2069</v>
      </c>
      <c r="BV35" s="395">
        <f t="shared" si="18"/>
        <v>33056</v>
      </c>
      <c r="BW35" s="395">
        <f t="shared" si="19"/>
        <v>21155.84</v>
      </c>
      <c r="BX35" s="490">
        <f t="shared" si="9"/>
        <v>172.41666666666666</v>
      </c>
      <c r="BY35" s="490">
        <f t="shared" si="10"/>
        <v>2754.6666666666665</v>
      </c>
      <c r="BZ35" s="490">
        <f t="shared" si="11"/>
        <v>1762.9866666666667</v>
      </c>
      <c r="CA35" s="434">
        <f t="shared" si="12"/>
        <v>-18.830914083954497</v>
      </c>
      <c r="CB35" s="415" t="s">
        <v>324</v>
      </c>
    </row>
    <row r="36" spans="1:80">
      <c r="A36" s="391">
        <v>7</v>
      </c>
      <c r="B36" s="391" t="s">
        <v>292</v>
      </c>
      <c r="C36" s="391" t="s">
        <v>293</v>
      </c>
      <c r="D36" s="391" t="s">
        <v>291</v>
      </c>
      <c r="E36" s="391" t="s">
        <v>106</v>
      </c>
      <c r="F36" s="391" t="s">
        <v>280</v>
      </c>
      <c r="G36" s="393">
        <v>150</v>
      </c>
      <c r="H36" s="393">
        <v>2100</v>
      </c>
      <c r="I36" s="393">
        <v>460</v>
      </c>
      <c r="J36" s="393">
        <v>7040</v>
      </c>
      <c r="K36" s="393">
        <v>420</v>
      </c>
      <c r="L36" s="393">
        <v>6880</v>
      </c>
      <c r="M36" s="393">
        <v>299</v>
      </c>
      <c r="N36" s="393">
        <v>4186</v>
      </c>
      <c r="O36" s="393">
        <v>708</v>
      </c>
      <c r="P36" s="393">
        <v>10412</v>
      </c>
      <c r="Q36" s="393">
        <v>260</v>
      </c>
      <c r="R36" s="393">
        <v>4240</v>
      </c>
      <c r="S36" s="393">
        <v>410</v>
      </c>
      <c r="T36" s="393">
        <v>6240</v>
      </c>
      <c r="U36" s="393">
        <v>365</v>
      </c>
      <c r="V36" s="393">
        <v>6310</v>
      </c>
      <c r="W36" s="393">
        <v>730</v>
      </c>
      <c r="X36" s="393">
        <v>10720</v>
      </c>
      <c r="Y36" s="393">
        <v>370</v>
      </c>
      <c r="Z36" s="402">
        <v>5780</v>
      </c>
      <c r="AA36" s="407"/>
      <c r="AB36" s="393"/>
      <c r="AC36" s="419">
        <f t="shared" si="2"/>
        <v>379.27272727272725</v>
      </c>
      <c r="AD36" s="420">
        <f t="shared" si="3"/>
        <v>5809.818181818182</v>
      </c>
      <c r="AE36" s="393">
        <v>460</v>
      </c>
      <c r="AF36" s="393">
        <v>6840</v>
      </c>
      <c r="AG36" s="394">
        <v>4632</v>
      </c>
      <c r="AH36" s="394">
        <v>70748</v>
      </c>
      <c r="AI36" s="394">
        <f t="shared" si="4"/>
        <v>386</v>
      </c>
      <c r="AJ36" s="394">
        <f t="shared" si="5"/>
        <v>5895.666666666667</v>
      </c>
      <c r="AK36" s="287"/>
      <c r="AL36" s="287"/>
      <c r="AM36" s="287"/>
      <c r="AN36" s="287"/>
      <c r="AO36" s="287"/>
      <c r="AP36" s="287"/>
      <c r="AQ36" s="287">
        <v>420</v>
      </c>
      <c r="AR36" s="287">
        <v>7080</v>
      </c>
      <c r="AS36" s="287">
        <v>4531.2</v>
      </c>
      <c r="AT36" s="287">
        <v>0</v>
      </c>
      <c r="AU36" s="287">
        <v>0</v>
      </c>
      <c r="AV36" s="287">
        <v>0</v>
      </c>
      <c r="AW36" s="287">
        <v>740</v>
      </c>
      <c r="AX36" s="287">
        <v>11320</v>
      </c>
      <c r="AY36" s="287">
        <v>7331.2</v>
      </c>
      <c r="AZ36" s="287">
        <v>365</v>
      </c>
      <c r="BA36" s="287">
        <v>6310</v>
      </c>
      <c r="BB36" s="287">
        <v>4038.4000000000005</v>
      </c>
      <c r="BC36" s="287">
        <v>160</v>
      </c>
      <c r="BD36" s="287">
        <v>2840</v>
      </c>
      <c r="BE36" s="287">
        <v>1817.6</v>
      </c>
      <c r="BF36" s="287">
        <v>119</v>
      </c>
      <c r="BG36" s="287">
        <v>1646</v>
      </c>
      <c r="BH36" s="287">
        <v>1060.6399999999999</v>
      </c>
      <c r="BI36" s="287">
        <v>0</v>
      </c>
      <c r="BJ36" s="287">
        <v>0</v>
      </c>
      <c r="BK36" s="287">
        <v>0</v>
      </c>
      <c r="BL36" s="287">
        <v>0</v>
      </c>
      <c r="BM36" s="287">
        <v>0</v>
      </c>
      <c r="BN36" s="287">
        <v>0</v>
      </c>
      <c r="BO36" s="287">
        <v>0</v>
      </c>
      <c r="BP36" s="287">
        <v>0</v>
      </c>
      <c r="BQ36" s="287">
        <v>0</v>
      </c>
      <c r="BR36" s="287">
        <v>245</v>
      </c>
      <c r="BS36" s="287">
        <v>3600</v>
      </c>
      <c r="BT36" s="287">
        <v>2350.8000000000002</v>
      </c>
      <c r="BU36" s="395">
        <f t="shared" si="17"/>
        <v>2049</v>
      </c>
      <c r="BV36" s="395">
        <f t="shared" si="18"/>
        <v>32796</v>
      </c>
      <c r="BW36" s="395">
        <f t="shared" si="19"/>
        <v>21129.84</v>
      </c>
      <c r="BX36" s="490">
        <f t="shared" si="9"/>
        <v>170.75</v>
      </c>
      <c r="BY36" s="490">
        <f t="shared" si="10"/>
        <v>2733</v>
      </c>
      <c r="BZ36" s="490">
        <f t="shared" si="11"/>
        <v>1760.82</v>
      </c>
      <c r="CA36" s="434">
        <f t="shared" si="12"/>
        <v>-55.76424870466321</v>
      </c>
      <c r="CB36" s="415" t="s">
        <v>324</v>
      </c>
    </row>
    <row r="37" spans="1:80">
      <c r="A37" s="391">
        <v>8</v>
      </c>
      <c r="B37" s="391" t="s">
        <v>294</v>
      </c>
      <c r="C37" s="391" t="s">
        <v>295</v>
      </c>
      <c r="D37" s="391" t="s">
        <v>268</v>
      </c>
      <c r="E37" s="391" t="s">
        <v>107</v>
      </c>
      <c r="F37" s="391" t="s">
        <v>280</v>
      </c>
      <c r="G37" s="393">
        <v>200</v>
      </c>
      <c r="H37" s="393">
        <v>2800</v>
      </c>
      <c r="I37" s="393">
        <v>250</v>
      </c>
      <c r="J37" s="393">
        <v>3500</v>
      </c>
      <c r="K37" s="393">
        <v>100</v>
      </c>
      <c r="L37" s="393">
        <v>1400</v>
      </c>
      <c r="M37" s="393"/>
      <c r="N37" s="393"/>
      <c r="O37" s="393"/>
      <c r="P37" s="393"/>
      <c r="Q37" s="393">
        <v>300</v>
      </c>
      <c r="R37" s="393">
        <v>4100</v>
      </c>
      <c r="S37" s="393">
        <v>605</v>
      </c>
      <c r="T37" s="393">
        <v>8340</v>
      </c>
      <c r="U37" s="393">
        <v>500</v>
      </c>
      <c r="V37" s="393">
        <v>7000</v>
      </c>
      <c r="W37" s="393">
        <v>175</v>
      </c>
      <c r="X37" s="393">
        <v>2450</v>
      </c>
      <c r="Y37" s="393">
        <v>300</v>
      </c>
      <c r="Z37" s="402">
        <v>4200</v>
      </c>
      <c r="AA37" s="407"/>
      <c r="AB37" s="393"/>
      <c r="AC37" s="419">
        <f t="shared" si="2"/>
        <v>220.90909090909091</v>
      </c>
      <c r="AD37" s="420">
        <f t="shared" si="3"/>
        <v>3071.818181818182</v>
      </c>
      <c r="AE37" s="393">
        <v>170</v>
      </c>
      <c r="AF37" s="393">
        <v>2380</v>
      </c>
      <c r="AG37" s="394">
        <v>2600</v>
      </c>
      <c r="AH37" s="394">
        <v>36170</v>
      </c>
      <c r="AI37" s="394">
        <f t="shared" si="4"/>
        <v>216.66666666666666</v>
      </c>
      <c r="AJ37" s="394">
        <f t="shared" si="5"/>
        <v>3014.1666666666665</v>
      </c>
      <c r="AK37" s="287"/>
      <c r="AL37" s="287"/>
      <c r="AM37" s="287"/>
      <c r="AN37" s="287"/>
      <c r="AO37" s="287"/>
      <c r="AP37" s="287"/>
      <c r="AQ37" s="287">
        <v>200</v>
      </c>
      <c r="AR37" s="287">
        <v>2800</v>
      </c>
      <c r="AS37" s="287">
        <v>1792</v>
      </c>
      <c r="AT37" s="287">
        <v>50</v>
      </c>
      <c r="AU37" s="287">
        <v>700</v>
      </c>
      <c r="AV37" s="287">
        <v>448</v>
      </c>
      <c r="AW37" s="287">
        <v>50</v>
      </c>
      <c r="AX37" s="287">
        <v>700</v>
      </c>
      <c r="AY37" s="287">
        <v>448</v>
      </c>
      <c r="AZ37" s="287">
        <v>100</v>
      </c>
      <c r="BA37" s="287">
        <v>1400</v>
      </c>
      <c r="BB37" s="287">
        <v>896</v>
      </c>
      <c r="BC37" s="287">
        <v>150</v>
      </c>
      <c r="BD37" s="287">
        <v>2100</v>
      </c>
      <c r="BE37" s="287">
        <v>1344</v>
      </c>
      <c r="BF37" s="287">
        <v>75</v>
      </c>
      <c r="BG37" s="287">
        <v>1050</v>
      </c>
      <c r="BH37" s="287">
        <v>672</v>
      </c>
      <c r="BI37" s="287">
        <v>100</v>
      </c>
      <c r="BJ37" s="287">
        <v>1400</v>
      </c>
      <c r="BK37" s="287">
        <v>896</v>
      </c>
      <c r="BL37" s="287">
        <v>0</v>
      </c>
      <c r="BM37" s="287">
        <v>0</v>
      </c>
      <c r="BN37" s="287">
        <v>0</v>
      </c>
      <c r="BO37" s="287">
        <v>0</v>
      </c>
      <c r="BP37" s="287">
        <v>0</v>
      </c>
      <c r="BQ37" s="287">
        <v>0</v>
      </c>
      <c r="BR37" s="287"/>
      <c r="BS37" s="287"/>
      <c r="BT37" s="287"/>
      <c r="BU37" s="395">
        <f t="shared" si="17"/>
        <v>725</v>
      </c>
      <c r="BV37" s="395">
        <f t="shared" si="18"/>
        <v>10150</v>
      </c>
      <c r="BW37" s="395">
        <f t="shared" si="19"/>
        <v>6496</v>
      </c>
      <c r="BX37" s="490">
        <f t="shared" si="9"/>
        <v>60.416666666666664</v>
      </c>
      <c r="BY37" s="490">
        <f t="shared" si="10"/>
        <v>845.83333333333337</v>
      </c>
      <c r="BZ37" s="490">
        <f t="shared" si="11"/>
        <v>541.33333333333337</v>
      </c>
      <c r="CA37" s="434">
        <f t="shared" si="12"/>
        <v>-72.115384615384613</v>
      </c>
      <c r="CB37" s="415" t="s">
        <v>324</v>
      </c>
    </row>
    <row r="38" spans="1:80" ht="21" thickBot="1">
      <c r="A38" s="391">
        <v>9</v>
      </c>
      <c r="B38" s="391" t="s">
        <v>296</v>
      </c>
      <c r="C38" s="391" t="s">
        <v>297</v>
      </c>
      <c r="D38" s="391" t="s">
        <v>265</v>
      </c>
      <c r="E38" s="391" t="s">
        <v>108</v>
      </c>
      <c r="F38" s="391" t="s">
        <v>280</v>
      </c>
      <c r="G38" s="393">
        <v>200</v>
      </c>
      <c r="H38" s="393">
        <v>2800</v>
      </c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>
        <v>250</v>
      </c>
      <c r="T38" s="393">
        <v>3500</v>
      </c>
      <c r="U38" s="393">
        <v>300</v>
      </c>
      <c r="V38" s="393">
        <v>4200</v>
      </c>
      <c r="W38" s="393">
        <v>300</v>
      </c>
      <c r="X38" s="393">
        <v>4200</v>
      </c>
      <c r="Y38" s="393">
        <v>150</v>
      </c>
      <c r="Z38" s="402">
        <v>2100</v>
      </c>
      <c r="AA38" s="407">
        <v>350</v>
      </c>
      <c r="AB38" s="393">
        <v>4900</v>
      </c>
      <c r="AC38" s="419">
        <f t="shared" si="2"/>
        <v>140.90909090909091</v>
      </c>
      <c r="AD38" s="420">
        <f t="shared" si="3"/>
        <v>1972.7272727272727</v>
      </c>
      <c r="AE38" s="393">
        <v>249</v>
      </c>
      <c r="AF38" s="393">
        <v>3486</v>
      </c>
      <c r="AG38" s="394">
        <v>1799</v>
      </c>
      <c r="AH38" s="394">
        <v>25186</v>
      </c>
      <c r="AI38" s="394">
        <f t="shared" si="4"/>
        <v>149.91666666666666</v>
      </c>
      <c r="AJ38" s="394">
        <f t="shared" si="5"/>
        <v>2098.8333333333335</v>
      </c>
      <c r="AK38" s="287"/>
      <c r="AL38" s="287"/>
      <c r="AM38" s="287"/>
      <c r="AN38" s="287"/>
      <c r="AO38" s="287"/>
      <c r="AP38" s="287"/>
      <c r="AQ38" s="287">
        <v>200</v>
      </c>
      <c r="AR38" s="287">
        <v>2800</v>
      </c>
      <c r="AS38" s="287">
        <v>1792</v>
      </c>
      <c r="AT38" s="287">
        <v>300</v>
      </c>
      <c r="AU38" s="287">
        <v>4200</v>
      </c>
      <c r="AV38" s="287">
        <v>2688</v>
      </c>
      <c r="AW38" s="287">
        <v>0</v>
      </c>
      <c r="AX38" s="287">
        <v>0</v>
      </c>
      <c r="AY38" s="287">
        <v>0</v>
      </c>
      <c r="AZ38" s="287">
        <v>0</v>
      </c>
      <c r="BA38" s="287">
        <v>0</v>
      </c>
      <c r="BB38" s="287">
        <v>0</v>
      </c>
      <c r="BC38" s="287">
        <v>0</v>
      </c>
      <c r="BD38" s="287">
        <v>0</v>
      </c>
      <c r="BE38" s="287">
        <v>0</v>
      </c>
      <c r="BF38" s="287">
        <v>300</v>
      </c>
      <c r="BG38" s="287">
        <v>4200</v>
      </c>
      <c r="BH38" s="287">
        <v>2688</v>
      </c>
      <c r="BI38" s="287">
        <v>100</v>
      </c>
      <c r="BJ38" s="287">
        <v>1400</v>
      </c>
      <c r="BK38" s="287">
        <v>896</v>
      </c>
      <c r="BL38" s="287">
        <v>100</v>
      </c>
      <c r="BM38" s="287">
        <v>1400</v>
      </c>
      <c r="BN38" s="287">
        <v>896</v>
      </c>
      <c r="BO38" s="287">
        <v>200</v>
      </c>
      <c r="BP38" s="287">
        <v>2800</v>
      </c>
      <c r="BQ38" s="287">
        <v>1792</v>
      </c>
      <c r="BR38" s="287">
        <v>500</v>
      </c>
      <c r="BS38" s="287">
        <v>7000</v>
      </c>
      <c r="BT38" s="287">
        <v>4480</v>
      </c>
      <c r="BU38" s="395">
        <f t="shared" si="17"/>
        <v>1700</v>
      </c>
      <c r="BV38" s="395">
        <f t="shared" si="18"/>
        <v>23800</v>
      </c>
      <c r="BW38" s="395">
        <f t="shared" si="19"/>
        <v>15232</v>
      </c>
      <c r="BX38" s="490">
        <f t="shared" si="9"/>
        <v>141.66666666666666</v>
      </c>
      <c r="BY38" s="490">
        <f t="shared" si="10"/>
        <v>1983.3333333333333</v>
      </c>
      <c r="BZ38" s="490">
        <f t="shared" si="11"/>
        <v>1269.3333333333333</v>
      </c>
      <c r="CA38" s="434">
        <f t="shared" si="12"/>
        <v>-5.5030572540300255</v>
      </c>
      <c r="CB38" s="416" t="s">
        <v>324</v>
      </c>
    </row>
    <row r="39" spans="1:80">
      <c r="A39" s="391">
        <v>10</v>
      </c>
      <c r="B39" s="391" t="s">
        <v>298</v>
      </c>
      <c r="C39" s="391" t="s">
        <v>299</v>
      </c>
      <c r="D39" s="391" t="s">
        <v>265</v>
      </c>
      <c r="E39" s="391" t="s">
        <v>108</v>
      </c>
      <c r="F39" s="391" t="s">
        <v>280</v>
      </c>
      <c r="G39" s="393">
        <v>300</v>
      </c>
      <c r="H39" s="393">
        <v>4200</v>
      </c>
      <c r="I39" s="393">
        <v>300</v>
      </c>
      <c r="J39" s="393">
        <v>4200</v>
      </c>
      <c r="K39" s="393">
        <v>200</v>
      </c>
      <c r="L39" s="393">
        <v>2800</v>
      </c>
      <c r="M39" s="393"/>
      <c r="N39" s="393"/>
      <c r="O39" s="393"/>
      <c r="P39" s="393"/>
      <c r="Q39" s="393"/>
      <c r="R39" s="393"/>
      <c r="S39" s="393">
        <v>210</v>
      </c>
      <c r="T39" s="393">
        <v>2940</v>
      </c>
      <c r="U39" s="393">
        <v>130</v>
      </c>
      <c r="V39" s="393">
        <v>1820</v>
      </c>
      <c r="W39" s="393">
        <v>400</v>
      </c>
      <c r="X39" s="393">
        <v>5600</v>
      </c>
      <c r="Y39" s="393">
        <v>162</v>
      </c>
      <c r="Z39" s="402">
        <v>2268</v>
      </c>
      <c r="AA39" s="407">
        <v>400</v>
      </c>
      <c r="AB39" s="393">
        <v>5600</v>
      </c>
      <c r="AC39" s="419">
        <f t="shared" si="2"/>
        <v>191.09090909090909</v>
      </c>
      <c r="AD39" s="420">
        <f t="shared" si="3"/>
        <v>2675.2727272727275</v>
      </c>
      <c r="AE39" s="393">
        <v>200</v>
      </c>
      <c r="AF39" s="393">
        <v>2800</v>
      </c>
      <c r="AG39" s="394">
        <v>2302</v>
      </c>
      <c r="AH39" s="394">
        <v>32228</v>
      </c>
      <c r="AI39" s="394">
        <f t="shared" si="4"/>
        <v>191.83333333333334</v>
      </c>
      <c r="AJ39" s="394">
        <f t="shared" si="5"/>
        <v>2685.6666666666665</v>
      </c>
      <c r="AK39" s="287"/>
      <c r="AL39" s="287"/>
      <c r="AM39" s="287"/>
      <c r="AN39" s="287"/>
      <c r="AO39" s="287"/>
      <c r="AP39" s="287"/>
      <c r="AQ39" s="287">
        <v>300</v>
      </c>
      <c r="AR39" s="287">
        <v>4200</v>
      </c>
      <c r="AS39" s="287">
        <v>2688</v>
      </c>
      <c r="AT39" s="287">
        <v>200</v>
      </c>
      <c r="AU39" s="287">
        <v>2800</v>
      </c>
      <c r="AV39" s="287">
        <v>1792</v>
      </c>
      <c r="AW39" s="287">
        <v>300</v>
      </c>
      <c r="AX39" s="287">
        <v>4200</v>
      </c>
      <c r="AY39" s="287">
        <v>2688</v>
      </c>
      <c r="AZ39" s="287">
        <v>200</v>
      </c>
      <c r="BA39" s="287">
        <v>2800</v>
      </c>
      <c r="BB39" s="287">
        <v>1792</v>
      </c>
      <c r="BC39" s="287">
        <v>150</v>
      </c>
      <c r="BD39" s="287">
        <v>2100</v>
      </c>
      <c r="BE39" s="287">
        <v>1344</v>
      </c>
      <c r="BF39" s="287">
        <v>160</v>
      </c>
      <c r="BG39" s="287">
        <v>2240</v>
      </c>
      <c r="BH39" s="287">
        <v>1433.6000000000001</v>
      </c>
      <c r="BI39" s="287">
        <v>200</v>
      </c>
      <c r="BJ39" s="287">
        <v>2800</v>
      </c>
      <c r="BK39" s="287">
        <v>1792</v>
      </c>
      <c r="BL39" s="287">
        <v>250</v>
      </c>
      <c r="BM39" s="287">
        <v>3500</v>
      </c>
      <c r="BN39" s="287">
        <v>2240</v>
      </c>
      <c r="BO39" s="287">
        <v>200</v>
      </c>
      <c r="BP39" s="287">
        <v>2800</v>
      </c>
      <c r="BQ39" s="287">
        <v>1792</v>
      </c>
      <c r="BR39" s="287">
        <v>199</v>
      </c>
      <c r="BS39" s="287">
        <v>2786</v>
      </c>
      <c r="BT39" s="287">
        <v>1783.04</v>
      </c>
      <c r="BU39" s="395">
        <f t="shared" si="17"/>
        <v>2159</v>
      </c>
      <c r="BV39" s="395">
        <f t="shared" si="18"/>
        <v>30226</v>
      </c>
      <c r="BW39" s="395">
        <f t="shared" si="19"/>
        <v>19344.64</v>
      </c>
      <c r="BX39" s="490">
        <f t="shared" si="9"/>
        <v>179.91666666666666</v>
      </c>
      <c r="BY39" s="490">
        <f t="shared" si="10"/>
        <v>2518.8333333333335</v>
      </c>
      <c r="BZ39" s="490">
        <f t="shared" si="11"/>
        <v>1612.0533333333333</v>
      </c>
      <c r="CA39" s="434">
        <f t="shared" si="12"/>
        <v>-6.2119895742832369</v>
      </c>
    </row>
    <row r="40" spans="1:80">
      <c r="A40" s="391">
        <v>11</v>
      </c>
      <c r="B40" s="391" t="s">
        <v>275</v>
      </c>
      <c r="C40" s="391" t="s">
        <v>276</v>
      </c>
      <c r="D40" s="391" t="s">
        <v>265</v>
      </c>
      <c r="E40" s="391" t="s">
        <v>108</v>
      </c>
      <c r="F40" s="391" t="s">
        <v>280</v>
      </c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402"/>
      <c r="AA40" s="407"/>
      <c r="AB40" s="393"/>
      <c r="AC40" s="419">
        <f t="shared" si="2"/>
        <v>0</v>
      </c>
      <c r="AD40" s="420">
        <f t="shared" si="3"/>
        <v>0</v>
      </c>
      <c r="AE40" s="393"/>
      <c r="AF40" s="393"/>
      <c r="AG40" s="394">
        <v>0</v>
      </c>
      <c r="AH40" s="394">
        <v>0</v>
      </c>
      <c r="AI40" s="394">
        <f t="shared" si="4"/>
        <v>0</v>
      </c>
      <c r="AJ40" s="394">
        <f t="shared" si="5"/>
        <v>0</v>
      </c>
      <c r="AK40" s="287"/>
      <c r="AL40" s="287"/>
      <c r="AM40" s="287"/>
      <c r="AN40" s="287"/>
      <c r="AO40" s="287"/>
      <c r="AP40" s="287"/>
      <c r="AQ40" s="287">
        <v>1060</v>
      </c>
      <c r="AR40" s="287">
        <v>14320</v>
      </c>
      <c r="AS40" s="287">
        <v>10288</v>
      </c>
      <c r="AT40" s="287">
        <v>500</v>
      </c>
      <c r="AU40" s="287">
        <v>6400</v>
      </c>
      <c r="AV40" s="287">
        <v>5392</v>
      </c>
      <c r="AW40" s="287">
        <v>469</v>
      </c>
      <c r="AX40" s="287">
        <v>6368</v>
      </c>
      <c r="AY40" s="287">
        <v>4503.2</v>
      </c>
      <c r="AZ40" s="287">
        <v>450</v>
      </c>
      <c r="BA40" s="287">
        <v>5900</v>
      </c>
      <c r="BB40" s="287">
        <v>3680</v>
      </c>
      <c r="BC40" s="287"/>
      <c r="BD40" s="287"/>
      <c r="BE40" s="287"/>
      <c r="BF40" s="287"/>
      <c r="BG40" s="287"/>
      <c r="BH40" s="287"/>
      <c r="BI40" s="287"/>
      <c r="BJ40" s="287"/>
      <c r="BK40" s="287"/>
      <c r="BL40" s="287"/>
      <c r="BM40" s="287"/>
      <c r="BN40" s="287"/>
      <c r="BO40" s="287"/>
      <c r="BP40" s="287"/>
      <c r="BQ40" s="287"/>
      <c r="BR40" s="287"/>
      <c r="BS40" s="287"/>
      <c r="BT40" s="287"/>
      <c r="BU40" s="395">
        <f t="shared" si="17"/>
        <v>2479</v>
      </c>
      <c r="BV40" s="395">
        <f t="shared" si="18"/>
        <v>32988</v>
      </c>
      <c r="BW40" s="395">
        <f t="shared" si="19"/>
        <v>23863.200000000001</v>
      </c>
      <c r="BX40" s="490">
        <f t="shared" si="9"/>
        <v>206.58333333333334</v>
      </c>
      <c r="BY40" s="490">
        <f t="shared" si="10"/>
        <v>2749</v>
      </c>
      <c r="BZ40" s="490">
        <f t="shared" si="11"/>
        <v>1988.6000000000001</v>
      </c>
      <c r="CA40" s="434" t="e">
        <f t="shared" si="12"/>
        <v>#DIV/0!</v>
      </c>
    </row>
    <row r="41" spans="1:80">
      <c r="A41" s="391">
        <v>12</v>
      </c>
      <c r="B41" s="391" t="s">
        <v>300</v>
      </c>
      <c r="C41" s="391" t="s">
        <v>301</v>
      </c>
      <c r="D41" s="391" t="s">
        <v>265</v>
      </c>
      <c r="E41" s="391" t="s">
        <v>108</v>
      </c>
      <c r="F41" s="391" t="s">
        <v>280</v>
      </c>
      <c r="G41" s="393"/>
      <c r="H41" s="393"/>
      <c r="I41" s="393">
        <v>200</v>
      </c>
      <c r="J41" s="393">
        <v>2800</v>
      </c>
      <c r="K41" s="393"/>
      <c r="L41" s="393"/>
      <c r="M41" s="393"/>
      <c r="N41" s="393"/>
      <c r="O41" s="393">
        <v>150</v>
      </c>
      <c r="P41" s="393">
        <v>2100</v>
      </c>
      <c r="Q41" s="393"/>
      <c r="R41" s="393"/>
      <c r="S41" s="393"/>
      <c r="T41" s="393"/>
      <c r="U41" s="393"/>
      <c r="V41" s="393"/>
      <c r="W41" s="393"/>
      <c r="X41" s="393"/>
      <c r="Y41" s="393">
        <v>50</v>
      </c>
      <c r="Z41" s="402">
        <v>700</v>
      </c>
      <c r="AA41" s="407"/>
      <c r="AB41" s="393"/>
      <c r="AC41" s="419">
        <f t="shared" si="2"/>
        <v>36.363636363636367</v>
      </c>
      <c r="AD41" s="420">
        <f t="shared" si="3"/>
        <v>509.09090909090907</v>
      </c>
      <c r="AE41" s="393"/>
      <c r="AF41" s="393"/>
      <c r="AG41" s="394">
        <v>400</v>
      </c>
      <c r="AH41" s="394">
        <v>5600</v>
      </c>
      <c r="AI41" s="394">
        <f t="shared" si="4"/>
        <v>33.333333333333336</v>
      </c>
      <c r="AJ41" s="394">
        <f t="shared" si="5"/>
        <v>466.66666666666669</v>
      </c>
      <c r="AK41" s="287"/>
      <c r="AL41" s="287"/>
      <c r="AM41" s="287"/>
      <c r="AN41" s="287"/>
      <c r="AO41" s="287"/>
      <c r="AP41" s="287"/>
      <c r="AQ41" s="287">
        <v>0</v>
      </c>
      <c r="AR41" s="287">
        <v>0</v>
      </c>
      <c r="AS41" s="287">
        <v>0</v>
      </c>
      <c r="AT41" s="287">
        <v>30</v>
      </c>
      <c r="AU41" s="287">
        <v>420</v>
      </c>
      <c r="AV41" s="287">
        <v>268.8</v>
      </c>
      <c r="AW41" s="287">
        <v>0</v>
      </c>
      <c r="AX41" s="287">
        <v>0</v>
      </c>
      <c r="AY41" s="287">
        <v>0</v>
      </c>
      <c r="AZ41" s="287">
        <v>170</v>
      </c>
      <c r="BA41" s="287">
        <v>2380</v>
      </c>
      <c r="BB41" s="287">
        <v>1523.2</v>
      </c>
      <c r="BC41" s="287">
        <v>156</v>
      </c>
      <c r="BD41" s="287">
        <v>2482</v>
      </c>
      <c r="BE41" s="287">
        <v>1588</v>
      </c>
      <c r="BF41" s="287">
        <v>270</v>
      </c>
      <c r="BG41" s="287">
        <v>3980</v>
      </c>
      <c r="BH41" s="287">
        <v>2547.1999999999998</v>
      </c>
      <c r="BI41" s="287">
        <v>300</v>
      </c>
      <c r="BJ41" s="287">
        <v>4200</v>
      </c>
      <c r="BK41" s="287">
        <v>2688</v>
      </c>
      <c r="BL41" s="287">
        <v>100</v>
      </c>
      <c r="BM41" s="287">
        <v>1400</v>
      </c>
      <c r="BN41" s="287">
        <v>896</v>
      </c>
      <c r="BO41" s="287">
        <v>230</v>
      </c>
      <c r="BP41" s="287">
        <v>3400</v>
      </c>
      <c r="BQ41" s="287">
        <v>2171.1999999999998</v>
      </c>
      <c r="BR41" s="287">
        <v>250</v>
      </c>
      <c r="BS41" s="287">
        <v>3500</v>
      </c>
      <c r="BT41" s="287">
        <v>2240</v>
      </c>
      <c r="BU41" s="395">
        <f t="shared" si="17"/>
        <v>1506</v>
      </c>
      <c r="BV41" s="395">
        <f t="shared" si="18"/>
        <v>21762</v>
      </c>
      <c r="BW41" s="395">
        <f t="shared" si="19"/>
        <v>13922.4</v>
      </c>
      <c r="BX41" s="490">
        <f t="shared" si="9"/>
        <v>125.5</v>
      </c>
      <c r="BY41" s="490">
        <f t="shared" si="10"/>
        <v>1813.5</v>
      </c>
      <c r="BZ41" s="490">
        <f t="shared" si="11"/>
        <v>1160.2</v>
      </c>
      <c r="CA41" s="434">
        <f t="shared" si="12"/>
        <v>276.49999999999994</v>
      </c>
    </row>
    <row r="42" spans="1:80">
      <c r="A42" s="391">
        <v>13</v>
      </c>
      <c r="B42" s="391" t="s">
        <v>302</v>
      </c>
      <c r="C42" s="391" t="s">
        <v>303</v>
      </c>
      <c r="D42" s="391" t="s">
        <v>268</v>
      </c>
      <c r="E42" s="391" t="s">
        <v>107</v>
      </c>
      <c r="F42" s="391" t="s">
        <v>280</v>
      </c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402"/>
      <c r="AA42" s="407"/>
      <c r="AB42" s="393"/>
      <c r="AC42" s="419">
        <f t="shared" si="2"/>
        <v>0</v>
      </c>
      <c r="AD42" s="420">
        <f t="shared" si="3"/>
        <v>0</v>
      </c>
      <c r="AE42" s="393"/>
      <c r="AF42" s="393"/>
      <c r="AG42" s="394">
        <v>0</v>
      </c>
      <c r="AH42" s="394">
        <v>0</v>
      </c>
      <c r="AI42" s="394">
        <f t="shared" si="4"/>
        <v>0</v>
      </c>
      <c r="AJ42" s="394">
        <f t="shared" si="5"/>
        <v>0</v>
      </c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>
        <v>0</v>
      </c>
      <c r="AX42" s="287">
        <v>0</v>
      </c>
      <c r="AY42" s="287">
        <v>0</v>
      </c>
      <c r="AZ42" s="287">
        <v>0</v>
      </c>
      <c r="BA42" s="287">
        <v>0</v>
      </c>
      <c r="BB42" s="287">
        <v>0</v>
      </c>
      <c r="BC42" s="287"/>
      <c r="BD42" s="287"/>
      <c r="BE42" s="287"/>
      <c r="BF42" s="287"/>
      <c r="BG42" s="287"/>
      <c r="BH42" s="287"/>
      <c r="BI42" s="287"/>
      <c r="BJ42" s="287"/>
      <c r="BK42" s="287"/>
      <c r="BL42" s="287"/>
      <c r="BM42" s="287"/>
      <c r="BN42" s="287"/>
      <c r="BO42" s="287"/>
      <c r="BP42" s="287"/>
      <c r="BQ42" s="287"/>
      <c r="BR42" s="287"/>
      <c r="BS42" s="287"/>
      <c r="BT42" s="287"/>
      <c r="BU42" s="395">
        <f t="shared" si="17"/>
        <v>0</v>
      </c>
      <c r="BV42" s="395">
        <f t="shared" si="18"/>
        <v>0</v>
      </c>
      <c r="BW42" s="395">
        <f t="shared" si="19"/>
        <v>0</v>
      </c>
      <c r="BX42" s="490">
        <f t="shared" si="9"/>
        <v>0</v>
      </c>
      <c r="BY42" s="490">
        <f t="shared" si="10"/>
        <v>0</v>
      </c>
      <c r="BZ42" s="490">
        <f t="shared" si="11"/>
        <v>0</v>
      </c>
      <c r="CA42" s="434" t="e">
        <f t="shared" si="12"/>
        <v>#DIV/0!</v>
      </c>
    </row>
    <row r="43" spans="1:80">
      <c r="A43" s="391">
        <v>14</v>
      </c>
      <c r="B43" s="391" t="s">
        <v>304</v>
      </c>
      <c r="C43" s="391" t="s">
        <v>304</v>
      </c>
      <c r="D43" s="391" t="s">
        <v>268</v>
      </c>
      <c r="E43" s="391" t="s">
        <v>107</v>
      </c>
      <c r="F43" s="391" t="s">
        <v>280</v>
      </c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402"/>
      <c r="AA43" s="407"/>
      <c r="AB43" s="393"/>
      <c r="AC43" s="419">
        <f t="shared" si="2"/>
        <v>0</v>
      </c>
      <c r="AD43" s="420">
        <f t="shared" si="3"/>
        <v>0</v>
      </c>
      <c r="AE43" s="393"/>
      <c r="AF43" s="393"/>
      <c r="AG43" s="394">
        <v>0</v>
      </c>
      <c r="AH43" s="394">
        <v>0</v>
      </c>
      <c r="AI43" s="394">
        <f t="shared" si="4"/>
        <v>0</v>
      </c>
      <c r="AJ43" s="394">
        <f t="shared" si="5"/>
        <v>0</v>
      </c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>
        <v>150</v>
      </c>
      <c r="AX43" s="287">
        <v>2100</v>
      </c>
      <c r="AY43" s="287">
        <v>1344</v>
      </c>
      <c r="AZ43" s="287">
        <v>0</v>
      </c>
      <c r="BA43" s="287">
        <v>0</v>
      </c>
      <c r="BB43" s="287">
        <v>0</v>
      </c>
      <c r="BC43" s="287">
        <v>320</v>
      </c>
      <c r="BD43" s="287">
        <v>4480</v>
      </c>
      <c r="BE43" s="287">
        <v>2867.2</v>
      </c>
      <c r="BF43" s="287">
        <v>200</v>
      </c>
      <c r="BG43" s="287">
        <v>2800</v>
      </c>
      <c r="BH43" s="287">
        <v>1792</v>
      </c>
      <c r="BI43" s="287">
        <v>650</v>
      </c>
      <c r="BJ43" s="287">
        <v>8300</v>
      </c>
      <c r="BK43" s="287">
        <v>7040</v>
      </c>
      <c r="BL43" s="287">
        <v>200</v>
      </c>
      <c r="BM43" s="287">
        <v>2400</v>
      </c>
      <c r="BN43" s="287">
        <v>2400</v>
      </c>
      <c r="BO43" s="287">
        <v>560</v>
      </c>
      <c r="BP43" s="287">
        <v>6940</v>
      </c>
      <c r="BQ43" s="287">
        <v>6385.6</v>
      </c>
      <c r="BR43" s="287">
        <v>720</v>
      </c>
      <c r="BS43" s="287">
        <v>9120</v>
      </c>
      <c r="BT43" s="287">
        <v>7910.4</v>
      </c>
      <c r="BU43" s="395">
        <f t="shared" si="17"/>
        <v>2800</v>
      </c>
      <c r="BV43" s="395">
        <f t="shared" si="18"/>
        <v>36140</v>
      </c>
      <c r="BW43" s="395">
        <f t="shared" si="19"/>
        <v>29739.200000000001</v>
      </c>
      <c r="BX43" s="490">
        <f t="shared" si="9"/>
        <v>233.33333333333334</v>
      </c>
      <c r="BY43" s="490">
        <f t="shared" si="10"/>
        <v>3011.6666666666665</v>
      </c>
      <c r="BZ43" s="490">
        <f t="shared" si="11"/>
        <v>2478.2666666666669</v>
      </c>
      <c r="CA43" s="434" t="e">
        <f t="shared" si="12"/>
        <v>#DIV/0!</v>
      </c>
    </row>
    <row r="44" spans="1:80">
      <c r="A44" s="391">
        <v>15</v>
      </c>
      <c r="B44" s="391" t="s">
        <v>305</v>
      </c>
      <c r="C44" s="391" t="s">
        <v>306</v>
      </c>
      <c r="D44" s="391" t="s">
        <v>236</v>
      </c>
      <c r="E44" s="391" t="s">
        <v>150</v>
      </c>
      <c r="F44" s="391" t="s">
        <v>280</v>
      </c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402"/>
      <c r="AA44" s="407"/>
      <c r="AB44" s="393"/>
      <c r="AC44" s="419">
        <f t="shared" si="2"/>
        <v>0</v>
      </c>
      <c r="AD44" s="420">
        <f t="shared" si="3"/>
        <v>0</v>
      </c>
      <c r="AE44" s="393"/>
      <c r="AF44" s="393"/>
      <c r="AG44" s="394">
        <v>0</v>
      </c>
      <c r="AH44" s="394">
        <v>0</v>
      </c>
      <c r="AI44" s="394">
        <f t="shared" si="4"/>
        <v>0</v>
      </c>
      <c r="AJ44" s="394">
        <f t="shared" si="5"/>
        <v>0</v>
      </c>
      <c r="AK44" s="287"/>
      <c r="AL44" s="287"/>
      <c r="AM44" s="287"/>
      <c r="AN44" s="287"/>
      <c r="AO44" s="287"/>
      <c r="AP44" s="287"/>
      <c r="AQ44" s="287"/>
      <c r="AR44" s="287"/>
      <c r="AS44" s="287"/>
      <c r="AT44" s="287"/>
      <c r="AU44" s="287"/>
      <c r="AV44" s="287"/>
      <c r="AW44" s="287">
        <v>150</v>
      </c>
      <c r="AX44" s="287">
        <v>2040</v>
      </c>
      <c r="AY44" s="287">
        <v>1435.2</v>
      </c>
      <c r="AZ44" s="287">
        <v>447</v>
      </c>
      <c r="BA44" s="287">
        <v>5684</v>
      </c>
      <c r="BB44" s="287">
        <v>4852.3999999999996</v>
      </c>
      <c r="BC44" s="287">
        <v>225</v>
      </c>
      <c r="BD44" s="287">
        <v>2910</v>
      </c>
      <c r="BE44" s="287">
        <v>2380.8000000000002</v>
      </c>
      <c r="BF44" s="287">
        <v>440</v>
      </c>
      <c r="BG44" s="287">
        <v>5660</v>
      </c>
      <c r="BH44" s="287">
        <v>4702.3999999999996</v>
      </c>
      <c r="BI44" s="287">
        <v>379</v>
      </c>
      <c r="BJ44" s="287">
        <v>4658</v>
      </c>
      <c r="BK44" s="287">
        <v>4366.3999999999996</v>
      </c>
      <c r="BL44" s="287">
        <v>384</v>
      </c>
      <c r="BM44" s="287">
        <v>4652</v>
      </c>
      <c r="BN44" s="287">
        <v>4533.92</v>
      </c>
      <c r="BO44" s="287">
        <v>292</v>
      </c>
      <c r="BP44" s="287">
        <v>3684</v>
      </c>
      <c r="BQ44" s="287">
        <v>3223.2000000000003</v>
      </c>
      <c r="BR44" s="287">
        <v>510</v>
      </c>
      <c r="BS44" s="287">
        <v>6220</v>
      </c>
      <c r="BT44" s="287">
        <v>5968</v>
      </c>
      <c r="BU44" s="395">
        <f t="shared" si="17"/>
        <v>2827</v>
      </c>
      <c r="BV44" s="395">
        <f t="shared" si="18"/>
        <v>35508</v>
      </c>
      <c r="BW44" s="395">
        <f t="shared" si="19"/>
        <v>31462.319999999996</v>
      </c>
      <c r="BX44" s="490">
        <f t="shared" si="9"/>
        <v>235.58333333333334</v>
      </c>
      <c r="BY44" s="490">
        <f t="shared" si="10"/>
        <v>2959</v>
      </c>
      <c r="BZ44" s="490">
        <f t="shared" si="11"/>
        <v>2621.8599999999997</v>
      </c>
      <c r="CA44" s="434" t="e">
        <f t="shared" si="12"/>
        <v>#DIV/0!</v>
      </c>
    </row>
    <row r="45" spans="1:80" ht="21" thickBot="1">
      <c r="A45" s="391">
        <v>16</v>
      </c>
      <c r="B45" s="391" t="s">
        <v>307</v>
      </c>
      <c r="C45" s="391" t="s">
        <v>308</v>
      </c>
      <c r="D45" s="391" t="s">
        <v>236</v>
      </c>
      <c r="E45" s="391" t="s">
        <v>150</v>
      </c>
      <c r="F45" s="391" t="s">
        <v>280</v>
      </c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402"/>
      <c r="AA45" s="407"/>
      <c r="AB45" s="393"/>
      <c r="AC45" s="419">
        <f t="shared" si="2"/>
        <v>0</v>
      </c>
      <c r="AD45" s="420">
        <f t="shared" si="3"/>
        <v>0</v>
      </c>
      <c r="AE45" s="393"/>
      <c r="AF45" s="393"/>
      <c r="AG45" s="394">
        <v>0</v>
      </c>
      <c r="AH45" s="394">
        <v>0</v>
      </c>
      <c r="AI45" s="394">
        <f t="shared" si="4"/>
        <v>0</v>
      </c>
      <c r="AJ45" s="394">
        <f t="shared" si="5"/>
        <v>0</v>
      </c>
      <c r="AK45" s="287"/>
      <c r="AL45" s="287"/>
      <c r="AM45" s="287"/>
      <c r="AN45" s="287"/>
      <c r="AO45" s="287"/>
      <c r="AP45" s="287"/>
      <c r="AQ45" s="287"/>
      <c r="AR45" s="287"/>
      <c r="AS45" s="287"/>
      <c r="AT45" s="287"/>
      <c r="AU45" s="287"/>
      <c r="AV45" s="287"/>
      <c r="AW45" s="287">
        <v>110</v>
      </c>
      <c r="AX45" s="287">
        <v>1590</v>
      </c>
      <c r="AY45" s="287">
        <v>1017.5999999999999</v>
      </c>
      <c r="AZ45" s="287">
        <v>105</v>
      </c>
      <c r="BA45" s="287">
        <v>1470</v>
      </c>
      <c r="BB45" s="287">
        <v>940.80000000000018</v>
      </c>
      <c r="BC45" s="287">
        <v>120</v>
      </c>
      <c r="BD45" s="287">
        <v>1680</v>
      </c>
      <c r="BE45" s="287">
        <v>1075.2</v>
      </c>
      <c r="BF45" s="287">
        <v>50</v>
      </c>
      <c r="BG45" s="287">
        <v>700</v>
      </c>
      <c r="BH45" s="287">
        <v>448.00000000000006</v>
      </c>
      <c r="BI45" s="287">
        <v>110</v>
      </c>
      <c r="BJ45" s="287">
        <v>1590</v>
      </c>
      <c r="BK45" s="287">
        <v>1017.6000000000001</v>
      </c>
      <c r="BL45" s="287">
        <v>70</v>
      </c>
      <c r="BM45" s="287">
        <v>980</v>
      </c>
      <c r="BN45" s="287">
        <v>627.19999999999993</v>
      </c>
      <c r="BO45" s="287">
        <v>175</v>
      </c>
      <c r="BP45" s="287">
        <v>2500</v>
      </c>
      <c r="BQ45" s="287">
        <v>1600</v>
      </c>
      <c r="BR45" s="287">
        <v>60</v>
      </c>
      <c r="BS45" s="287">
        <v>840</v>
      </c>
      <c r="BT45" s="287">
        <v>537.6</v>
      </c>
      <c r="BU45" s="395">
        <f>BR45+BO45+BL45+BI45+BF45+BC45+AZ45+AW45+AT45+AQ45+AN45+AK45</f>
        <v>800</v>
      </c>
      <c r="BV45" s="395">
        <f t="shared" si="18"/>
        <v>11350</v>
      </c>
      <c r="BW45" s="395">
        <f t="shared" si="19"/>
        <v>7264</v>
      </c>
      <c r="BX45" s="490">
        <f t="shared" si="9"/>
        <v>66.666666666666671</v>
      </c>
      <c r="BY45" s="490">
        <f t="shared" si="10"/>
        <v>945.83333333333337</v>
      </c>
      <c r="BZ45" s="490">
        <f t="shared" si="11"/>
        <v>605.33333333333337</v>
      </c>
      <c r="CA45" s="434" t="e">
        <f t="shared" si="12"/>
        <v>#DIV/0!</v>
      </c>
    </row>
    <row r="46" spans="1:80" ht="27" customHeight="1" thickBot="1">
      <c r="A46" s="853" t="s">
        <v>309</v>
      </c>
      <c r="B46" s="853"/>
      <c r="C46" s="853"/>
      <c r="D46" s="853"/>
      <c r="E46" s="853"/>
      <c r="F46" s="853"/>
      <c r="G46" s="399">
        <v>2064</v>
      </c>
      <c r="H46" s="399">
        <v>30646</v>
      </c>
      <c r="I46" s="399">
        <v>2054</v>
      </c>
      <c r="J46" s="399">
        <v>30466</v>
      </c>
      <c r="K46" s="399">
        <v>1765</v>
      </c>
      <c r="L46" s="399">
        <v>24410</v>
      </c>
      <c r="M46" s="399">
        <v>1249</v>
      </c>
      <c r="N46" s="399">
        <v>19036</v>
      </c>
      <c r="O46" s="399">
        <v>1422</v>
      </c>
      <c r="P46" s="399">
        <v>21408</v>
      </c>
      <c r="Q46" s="399">
        <v>1595</v>
      </c>
      <c r="R46" s="399">
        <v>24030</v>
      </c>
      <c r="S46" s="399">
        <v>2420</v>
      </c>
      <c r="T46" s="399">
        <v>36050</v>
      </c>
      <c r="U46" s="399">
        <v>2084</v>
      </c>
      <c r="V46" s="399">
        <v>32206</v>
      </c>
      <c r="W46" s="399">
        <v>2375</v>
      </c>
      <c r="X46" s="399">
        <v>34850</v>
      </c>
      <c r="Y46" s="399">
        <v>1832</v>
      </c>
      <c r="Z46" s="404">
        <v>28398</v>
      </c>
      <c r="AA46" s="409">
        <v>1525</v>
      </c>
      <c r="AB46" s="399">
        <v>22400</v>
      </c>
      <c r="AC46" s="419">
        <f t="shared" si="2"/>
        <v>1853.1818181818182</v>
      </c>
      <c r="AD46" s="420">
        <f t="shared" si="3"/>
        <v>27627.272727272728</v>
      </c>
      <c r="AE46" s="399">
        <v>2159</v>
      </c>
      <c r="AF46" s="399">
        <v>32676</v>
      </c>
      <c r="AG46" s="397">
        <v>22544</v>
      </c>
      <c r="AH46" s="397">
        <v>336576</v>
      </c>
      <c r="AI46" s="394">
        <f t="shared" si="4"/>
        <v>1878.6666666666667</v>
      </c>
      <c r="AJ46" s="394">
        <f t="shared" si="5"/>
        <v>28048</v>
      </c>
      <c r="AK46" s="399">
        <v>0</v>
      </c>
      <c r="AL46" s="399">
        <v>0</v>
      </c>
      <c r="AM46" s="399">
        <v>0</v>
      </c>
      <c r="AN46" s="399">
        <v>0</v>
      </c>
      <c r="AO46" s="399">
        <v>0</v>
      </c>
      <c r="AP46" s="399">
        <v>0</v>
      </c>
      <c r="AQ46" s="399">
        <v>3375</v>
      </c>
      <c r="AR46" s="399">
        <v>51230</v>
      </c>
      <c r="AS46" s="399">
        <v>33910.400000000001</v>
      </c>
      <c r="AT46" s="399">
        <v>1925</v>
      </c>
      <c r="AU46" s="399">
        <v>27350</v>
      </c>
      <c r="AV46" s="399">
        <v>18800</v>
      </c>
      <c r="AW46" s="399">
        <v>2938</v>
      </c>
      <c r="AX46" s="399">
        <v>44524</v>
      </c>
      <c r="AY46" s="399">
        <v>29259.040000000001</v>
      </c>
      <c r="AZ46" s="399">
        <v>2312</v>
      </c>
      <c r="BA46" s="399">
        <v>33644</v>
      </c>
      <c r="BB46" s="399">
        <v>22650.799999999999</v>
      </c>
      <c r="BC46" s="399">
        <v>1781</v>
      </c>
      <c r="BD46" s="399">
        <v>26792</v>
      </c>
      <c r="BE46" s="399">
        <v>17664.8</v>
      </c>
      <c r="BF46" s="399">
        <v>2205</v>
      </c>
      <c r="BG46" s="399">
        <v>31260</v>
      </c>
      <c r="BH46" s="399">
        <v>21093.599999999999</v>
      </c>
      <c r="BI46" s="399">
        <v>2349</v>
      </c>
      <c r="BJ46" s="399">
        <v>32938</v>
      </c>
      <c r="BK46" s="399">
        <v>24193.599999999999</v>
      </c>
      <c r="BL46" s="399">
        <v>1504</v>
      </c>
      <c r="BM46" s="399">
        <v>20532</v>
      </c>
      <c r="BN46" s="399">
        <v>15561.12</v>
      </c>
      <c r="BO46" s="399">
        <f>SUM(BO30:BO45)</f>
        <v>1852</v>
      </c>
      <c r="BP46" s="399">
        <f t="shared" ref="BP46:BV46" si="20">SUM(BP30:BP45)</f>
        <v>25904</v>
      </c>
      <c r="BQ46" s="399">
        <f>SUM(BQ30:BQ45)</f>
        <v>19383.2</v>
      </c>
      <c r="BR46" s="399">
        <v>2868</v>
      </c>
      <c r="BS46" s="399">
        <v>39182</v>
      </c>
      <c r="BT46" s="399">
        <v>29184.080000000002</v>
      </c>
      <c r="BU46" s="399">
        <f>SUM(BU30:BU45)</f>
        <v>23109</v>
      </c>
      <c r="BV46" s="399">
        <f t="shared" si="20"/>
        <v>333356</v>
      </c>
      <c r="BW46" s="399">
        <f>SUM(BW30:BW45)</f>
        <v>231700.64</v>
      </c>
      <c r="BX46" s="501">
        <f t="shared" si="9"/>
        <v>1925.75</v>
      </c>
      <c r="BY46" s="501">
        <f t="shared" si="10"/>
        <v>27779.666666666668</v>
      </c>
      <c r="BZ46" s="501">
        <f t="shared" si="11"/>
        <v>19308.386666666669</v>
      </c>
      <c r="CA46" s="434">
        <f t="shared" si="12"/>
        <v>2.5062100780695431</v>
      </c>
      <c r="CB46" s="413"/>
    </row>
    <row r="47" spans="1:80">
      <c r="A47" s="391"/>
      <c r="B47" s="854" t="s">
        <v>310</v>
      </c>
      <c r="C47" s="854"/>
      <c r="D47" s="854"/>
      <c r="E47" s="854"/>
      <c r="F47" s="854"/>
      <c r="G47" s="400"/>
      <c r="H47" s="400"/>
      <c r="I47" s="400"/>
      <c r="J47" s="400"/>
      <c r="K47" s="400"/>
      <c r="L47" s="400"/>
      <c r="M47" s="400"/>
      <c r="N47" s="400"/>
      <c r="O47" s="400"/>
      <c r="P47" s="400"/>
      <c r="Q47" s="400"/>
      <c r="R47" s="400"/>
      <c r="S47" s="400"/>
      <c r="T47" s="400"/>
      <c r="U47" s="400"/>
      <c r="V47" s="400"/>
      <c r="W47" s="400"/>
      <c r="X47" s="400"/>
      <c r="Y47" s="400"/>
      <c r="Z47" s="405"/>
      <c r="AA47" s="410"/>
      <c r="AB47" s="400"/>
      <c r="AC47" s="419">
        <f t="shared" si="2"/>
        <v>0</v>
      </c>
      <c r="AD47" s="420">
        <f t="shared" si="3"/>
        <v>0</v>
      </c>
      <c r="AE47" s="400"/>
      <c r="AF47" s="400"/>
      <c r="AG47" s="394"/>
      <c r="AH47" s="394"/>
      <c r="AI47" s="394">
        <f t="shared" si="4"/>
        <v>0</v>
      </c>
      <c r="AJ47" s="394">
        <f t="shared" si="5"/>
        <v>0</v>
      </c>
      <c r="AK47" s="287"/>
      <c r="AL47" s="287"/>
      <c r="AM47" s="287"/>
      <c r="AN47" s="287"/>
      <c r="AO47" s="287"/>
      <c r="AP47" s="287"/>
      <c r="AQ47" s="287"/>
      <c r="AR47" s="287"/>
      <c r="AS47" s="287"/>
      <c r="AT47" s="287"/>
      <c r="AU47" s="287"/>
      <c r="AV47" s="287"/>
      <c r="AW47" s="287"/>
      <c r="AX47" s="287"/>
      <c r="AY47" s="287"/>
      <c r="AZ47" s="287"/>
      <c r="BA47" s="287"/>
      <c r="BB47" s="287"/>
      <c r="BC47" s="287"/>
      <c r="BD47" s="287"/>
      <c r="BE47" s="287"/>
      <c r="BF47" s="287"/>
      <c r="BG47" s="287"/>
      <c r="BH47" s="287"/>
      <c r="BI47" s="287"/>
      <c r="BJ47" s="287"/>
      <c r="BK47" s="287"/>
      <c r="BL47" s="287"/>
      <c r="BM47" s="287"/>
      <c r="BN47" s="287"/>
      <c r="BO47" s="287"/>
      <c r="BP47" s="287"/>
      <c r="BQ47" s="287"/>
      <c r="BR47" s="287"/>
      <c r="BS47" s="287"/>
      <c r="BT47" s="287"/>
      <c r="BU47" s="395"/>
      <c r="BV47" s="395"/>
      <c r="BW47" s="412"/>
      <c r="BX47" s="490">
        <f t="shared" si="9"/>
        <v>0</v>
      </c>
      <c r="BY47" s="490">
        <f t="shared" si="10"/>
        <v>0</v>
      </c>
      <c r="BZ47" s="490">
        <f t="shared" si="11"/>
        <v>0</v>
      </c>
      <c r="CA47" s="434" t="e">
        <f t="shared" si="12"/>
        <v>#DIV/0!</v>
      </c>
    </row>
    <row r="48" spans="1:80">
      <c r="A48" s="391" t="s">
        <v>311</v>
      </c>
      <c r="B48" s="391" t="s">
        <v>312</v>
      </c>
      <c r="C48" s="391" t="s">
        <v>313</v>
      </c>
      <c r="D48" s="391" t="s">
        <v>210</v>
      </c>
      <c r="E48" s="391" t="s">
        <v>314</v>
      </c>
      <c r="F48" s="391" t="s">
        <v>315</v>
      </c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402"/>
      <c r="AA48" s="407"/>
      <c r="AB48" s="393"/>
      <c r="AC48" s="419">
        <f t="shared" si="2"/>
        <v>0</v>
      </c>
      <c r="AD48" s="420">
        <f t="shared" si="3"/>
        <v>0</v>
      </c>
      <c r="AE48" s="393"/>
      <c r="AF48" s="393"/>
      <c r="AG48" s="394"/>
      <c r="AH48" s="394"/>
      <c r="AI48" s="394">
        <f t="shared" si="4"/>
        <v>0</v>
      </c>
      <c r="AJ48" s="394">
        <f t="shared" si="5"/>
        <v>0</v>
      </c>
      <c r="AK48" s="287"/>
      <c r="AL48" s="287"/>
      <c r="AM48" s="287"/>
      <c r="AN48" s="287"/>
      <c r="AO48" s="287"/>
      <c r="AP48" s="287"/>
      <c r="AQ48" s="287"/>
      <c r="AR48" s="287"/>
      <c r="AS48" s="287"/>
      <c r="AT48" s="287"/>
      <c r="AU48" s="287"/>
      <c r="AV48" s="287"/>
      <c r="AW48" s="287"/>
      <c r="AX48" s="287"/>
      <c r="AY48" s="287"/>
      <c r="AZ48" s="287"/>
      <c r="BA48" s="287"/>
      <c r="BB48" s="287"/>
      <c r="BC48" s="287"/>
      <c r="BD48" s="287"/>
      <c r="BE48" s="287"/>
      <c r="BF48" s="287"/>
      <c r="BG48" s="287"/>
      <c r="BH48" s="287"/>
      <c r="BI48" s="287"/>
      <c r="BJ48" s="287"/>
      <c r="BK48" s="287"/>
      <c r="BL48" s="287"/>
      <c r="BM48" s="287"/>
      <c r="BN48" s="287"/>
      <c r="BO48" s="287"/>
      <c r="BP48" s="287"/>
      <c r="BQ48" s="287"/>
      <c r="BR48" s="287"/>
      <c r="BS48" s="287"/>
      <c r="BT48" s="287"/>
      <c r="BU48" s="395"/>
      <c r="BV48" s="395"/>
      <c r="BW48" s="412"/>
      <c r="BX48" s="490">
        <f t="shared" si="9"/>
        <v>0</v>
      </c>
      <c r="BY48" s="490">
        <f t="shared" si="10"/>
        <v>0</v>
      </c>
      <c r="BZ48" s="490">
        <f t="shared" si="11"/>
        <v>0</v>
      </c>
      <c r="CA48" s="434" t="e">
        <f t="shared" si="12"/>
        <v>#DIV/0!</v>
      </c>
    </row>
    <row r="49" spans="1:79">
      <c r="A49" s="391">
        <v>1</v>
      </c>
      <c r="B49" s="391" t="s">
        <v>316</v>
      </c>
      <c r="C49" s="391" t="s">
        <v>317</v>
      </c>
      <c r="D49" s="391" t="s">
        <v>318</v>
      </c>
      <c r="E49" s="391">
        <v>304</v>
      </c>
      <c r="F49" s="391" t="s">
        <v>319</v>
      </c>
      <c r="G49" s="393">
        <v>2066</v>
      </c>
      <c r="H49" s="393">
        <v>27201</v>
      </c>
      <c r="I49" s="393">
        <v>2509</v>
      </c>
      <c r="J49" s="393">
        <v>34409</v>
      </c>
      <c r="K49" s="393">
        <v>2849</v>
      </c>
      <c r="L49" s="393">
        <v>42280</v>
      </c>
      <c r="M49" s="393">
        <v>2900</v>
      </c>
      <c r="N49" s="393">
        <v>53252</v>
      </c>
      <c r="O49" s="393">
        <v>3500</v>
      </c>
      <c r="P49" s="393">
        <v>53804</v>
      </c>
      <c r="Q49" s="393">
        <v>3082</v>
      </c>
      <c r="R49" s="393">
        <v>47968</v>
      </c>
      <c r="S49" s="393">
        <v>3008</v>
      </c>
      <c r="T49" s="393">
        <v>53175</v>
      </c>
      <c r="U49" s="393">
        <v>4067</v>
      </c>
      <c r="V49" s="393">
        <v>62780</v>
      </c>
      <c r="W49" s="393">
        <v>2901</v>
      </c>
      <c r="X49" s="393">
        <v>50290</v>
      </c>
      <c r="Y49" s="393">
        <v>3873</v>
      </c>
      <c r="Z49" s="402">
        <v>63620</v>
      </c>
      <c r="AA49" s="407">
        <v>3032</v>
      </c>
      <c r="AB49" s="393">
        <v>42415</v>
      </c>
      <c r="AC49" s="419">
        <f t="shared" si="2"/>
        <v>3071.5454545454545</v>
      </c>
      <c r="AD49" s="420">
        <f t="shared" si="3"/>
        <v>48290.36363636364</v>
      </c>
      <c r="AE49" s="393">
        <v>3738</v>
      </c>
      <c r="AF49" s="393">
        <v>53251</v>
      </c>
      <c r="AG49" s="394">
        <v>37525</v>
      </c>
      <c r="AH49" s="394">
        <v>584445</v>
      </c>
      <c r="AI49" s="394">
        <f t="shared" si="4"/>
        <v>3127.0833333333335</v>
      </c>
      <c r="AJ49" s="394">
        <f t="shared" si="5"/>
        <v>48703.75</v>
      </c>
      <c r="AK49" s="287">
        <v>5969.75</v>
      </c>
      <c r="AL49" s="287">
        <v>89005</v>
      </c>
      <c r="AM49" s="287">
        <v>60083.68</v>
      </c>
      <c r="AN49" s="287">
        <v>4551.3452380952385</v>
      </c>
      <c r="AO49" s="287">
        <v>71002</v>
      </c>
      <c r="AP49" s="287">
        <v>47743.720000000008</v>
      </c>
      <c r="AQ49" s="287">
        <v>3096.416666666667</v>
      </c>
      <c r="AR49" s="287">
        <v>49364</v>
      </c>
      <c r="AS49" s="287">
        <v>35167.039999999994</v>
      </c>
      <c r="AT49" s="287">
        <v>2210.708333333333</v>
      </c>
      <c r="AU49" s="287">
        <v>36496</v>
      </c>
      <c r="AV49" s="287">
        <v>25269.760000000002</v>
      </c>
      <c r="AW49" s="287">
        <v>2997.395833333333</v>
      </c>
      <c r="AX49" s="287">
        <v>47306</v>
      </c>
      <c r="AY49" s="287">
        <v>33577.43</v>
      </c>
      <c r="AZ49" s="287">
        <v>2632.4166666666665</v>
      </c>
      <c r="BA49" s="287">
        <v>42746</v>
      </c>
      <c r="BB49" s="287">
        <v>29883.779999999995</v>
      </c>
      <c r="BC49" s="287">
        <v>3261.8333333333335</v>
      </c>
      <c r="BD49" s="287">
        <v>48692</v>
      </c>
      <c r="BE49" s="287">
        <v>35518.159999999996</v>
      </c>
      <c r="BF49" s="287">
        <v>3080.5416666666665</v>
      </c>
      <c r="BG49" s="287">
        <v>47776</v>
      </c>
      <c r="BH49" s="287">
        <v>35118.719999999994</v>
      </c>
      <c r="BI49" s="287">
        <v>2582</v>
      </c>
      <c r="BJ49" s="287">
        <v>37922</v>
      </c>
      <c r="BK49" s="287">
        <v>28595.360000000008</v>
      </c>
      <c r="BL49" s="287">
        <v>3077.3452380952381</v>
      </c>
      <c r="BM49" s="287">
        <v>42806</v>
      </c>
      <c r="BN49" s="287">
        <v>35427.079999999994</v>
      </c>
      <c r="BO49" s="287">
        <v>2961</v>
      </c>
      <c r="BP49" s="287">
        <v>44494</v>
      </c>
      <c r="BQ49" s="287">
        <v>33803.199999999997</v>
      </c>
      <c r="BR49" s="287">
        <v>3577</v>
      </c>
      <c r="BS49" s="287">
        <v>51728</v>
      </c>
      <c r="BT49" s="287">
        <v>39786.55999999999</v>
      </c>
      <c r="BU49" s="395">
        <f t="shared" ref="BU49:BU50" si="21">BR49+BO49+BL49+BI49+BF49+BC49+AZ49+AW49+AT49+AQ49+AN49+AK49</f>
        <v>39997.752976190473</v>
      </c>
      <c r="BV49" s="395">
        <f t="shared" ref="BV49:BV50" si="22">BS49+BP49+BM49+BJ49+BG49+BD49+BA49+AX49+AU49+AR49+AO49+AL49</f>
        <v>609337</v>
      </c>
      <c r="BW49" s="395">
        <f t="shared" ref="BW49:BW50" si="23">BT49+BQ49+BN49+BK49+BH49+BE49+BB49+AY49+AV49+AS49+AP49+AM49</f>
        <v>439974.49</v>
      </c>
      <c r="BX49" s="490">
        <f t="shared" si="9"/>
        <v>3333.1460813492063</v>
      </c>
      <c r="BY49" s="490">
        <f t="shared" si="10"/>
        <v>50778.083333333336</v>
      </c>
      <c r="BZ49" s="490">
        <f t="shared" si="11"/>
        <v>36664.540833333333</v>
      </c>
      <c r="CA49" s="434">
        <f t="shared" si="12"/>
        <v>6.5896148599346276</v>
      </c>
    </row>
    <row r="50" spans="1:79">
      <c r="A50" s="391">
        <v>2</v>
      </c>
      <c r="B50" s="391" t="s">
        <v>320</v>
      </c>
      <c r="C50" s="391" t="s">
        <v>317</v>
      </c>
      <c r="D50" s="391" t="s">
        <v>321</v>
      </c>
      <c r="E50" s="391">
        <v>316</v>
      </c>
      <c r="F50" s="391" t="s">
        <v>319</v>
      </c>
      <c r="G50" s="393">
        <v>1400</v>
      </c>
      <c r="H50" s="393">
        <v>23600</v>
      </c>
      <c r="I50" s="393">
        <v>1640</v>
      </c>
      <c r="J50" s="393">
        <v>25360</v>
      </c>
      <c r="K50" s="393">
        <v>2200</v>
      </c>
      <c r="L50" s="393">
        <v>33800</v>
      </c>
      <c r="M50" s="393">
        <v>2053</v>
      </c>
      <c r="N50" s="393">
        <v>32272</v>
      </c>
      <c r="O50" s="393">
        <v>2030</v>
      </c>
      <c r="P50" s="393">
        <v>30720</v>
      </c>
      <c r="Q50" s="393">
        <v>2000</v>
      </c>
      <c r="R50" s="393">
        <v>33094</v>
      </c>
      <c r="S50" s="393">
        <v>1684</v>
      </c>
      <c r="T50" s="393">
        <v>24776</v>
      </c>
      <c r="U50" s="393">
        <v>2150</v>
      </c>
      <c r="V50" s="393">
        <v>32609</v>
      </c>
      <c r="W50" s="393">
        <v>1088</v>
      </c>
      <c r="X50" s="393">
        <v>17113</v>
      </c>
      <c r="Y50" s="393">
        <v>1198</v>
      </c>
      <c r="Z50" s="402">
        <v>19752</v>
      </c>
      <c r="AA50" s="407">
        <v>1585</v>
      </c>
      <c r="AB50" s="393">
        <v>21227</v>
      </c>
      <c r="AC50" s="419">
        <f t="shared" si="2"/>
        <v>1729.8181818181818</v>
      </c>
      <c r="AD50" s="420">
        <f t="shared" si="3"/>
        <v>26756.636363636364</v>
      </c>
      <c r="AE50" s="393">
        <v>1899</v>
      </c>
      <c r="AF50" s="393">
        <v>28576</v>
      </c>
      <c r="AG50" s="394">
        <v>20927</v>
      </c>
      <c r="AH50" s="394">
        <v>322899</v>
      </c>
      <c r="AI50" s="394">
        <f t="shared" si="4"/>
        <v>1743.9166666666667</v>
      </c>
      <c r="AJ50" s="394">
        <f t="shared" si="5"/>
        <v>26908.25</v>
      </c>
      <c r="AK50" s="287">
        <v>2592.7857142857142</v>
      </c>
      <c r="AL50" s="287">
        <v>42845</v>
      </c>
      <c r="AM50" s="287">
        <v>29777.200000000004</v>
      </c>
      <c r="AN50" s="287">
        <v>2250.583333333333</v>
      </c>
      <c r="AO50" s="287">
        <v>36535</v>
      </c>
      <c r="AP50" s="287">
        <v>25404.52</v>
      </c>
      <c r="AQ50" s="287">
        <v>2530.3809523809523</v>
      </c>
      <c r="AR50" s="287">
        <v>40513</v>
      </c>
      <c r="AS50" s="287">
        <v>28907.02</v>
      </c>
      <c r="AT50" s="287">
        <v>1800.3392857142858</v>
      </c>
      <c r="AU50" s="287">
        <v>30138</v>
      </c>
      <c r="AV50" s="287">
        <v>20311.389999999996</v>
      </c>
      <c r="AW50" s="287">
        <v>2041.9940476190475</v>
      </c>
      <c r="AX50" s="287">
        <v>33947</v>
      </c>
      <c r="AY50" s="287">
        <v>22849.27</v>
      </c>
      <c r="AZ50" s="287">
        <v>2272.5863095238096</v>
      </c>
      <c r="BA50" s="287">
        <v>34259</v>
      </c>
      <c r="BB50" s="287">
        <v>22892.26</v>
      </c>
      <c r="BC50" s="287">
        <v>2327.0654761904761</v>
      </c>
      <c r="BD50" s="287">
        <v>33745</v>
      </c>
      <c r="BE50" s="287">
        <v>23232.270000000008</v>
      </c>
      <c r="BF50" s="287">
        <v>1840.7916666666667</v>
      </c>
      <c r="BG50" s="287">
        <v>28585</v>
      </c>
      <c r="BH50" s="287">
        <v>19379.919999999998</v>
      </c>
      <c r="BI50" s="287">
        <v>1822.3809523809525</v>
      </c>
      <c r="BJ50" s="287">
        <v>27271</v>
      </c>
      <c r="BK50" s="287">
        <v>19403.320000000003</v>
      </c>
      <c r="BL50" s="287">
        <v>1144.5595238095239</v>
      </c>
      <c r="BM50" s="287">
        <v>17824</v>
      </c>
      <c r="BN50" s="287">
        <v>11979.220000000001</v>
      </c>
      <c r="BO50" s="287">
        <v>1424.5833333333335</v>
      </c>
      <c r="BP50" s="287">
        <v>21525</v>
      </c>
      <c r="BQ50" s="287">
        <v>15236.280000000002</v>
      </c>
      <c r="BR50" s="287">
        <v>1454.6190476190477</v>
      </c>
      <c r="BS50" s="287">
        <v>21782</v>
      </c>
      <c r="BT50" s="287">
        <v>15362.480000000001</v>
      </c>
      <c r="BU50" s="395">
        <f t="shared" si="21"/>
        <v>23502.669642857141</v>
      </c>
      <c r="BV50" s="395">
        <f t="shared" si="22"/>
        <v>368969</v>
      </c>
      <c r="BW50" s="395">
        <f t="shared" si="23"/>
        <v>254735.14999999997</v>
      </c>
      <c r="BX50" s="490">
        <f t="shared" si="9"/>
        <v>1958.5558035714284</v>
      </c>
      <c r="BY50" s="490">
        <f t="shared" si="10"/>
        <v>30747.416666666668</v>
      </c>
      <c r="BZ50" s="490">
        <f t="shared" si="11"/>
        <v>21227.929166666665</v>
      </c>
      <c r="CA50" s="434">
        <f t="shared" si="12"/>
        <v>12.307878065929856</v>
      </c>
    </row>
    <row r="51" spans="1:79">
      <c r="A51" s="855" t="s">
        <v>322</v>
      </c>
      <c r="B51" s="856"/>
      <c r="C51" s="856"/>
      <c r="D51" s="856"/>
      <c r="E51" s="856"/>
      <c r="F51" s="857"/>
      <c r="G51" s="399">
        <v>3466</v>
      </c>
      <c r="H51" s="399">
        <v>50801</v>
      </c>
      <c r="I51" s="399">
        <v>4149</v>
      </c>
      <c r="J51" s="399">
        <v>59769</v>
      </c>
      <c r="K51" s="399">
        <v>5049</v>
      </c>
      <c r="L51" s="399">
        <v>76080</v>
      </c>
      <c r="M51" s="399">
        <v>4953</v>
      </c>
      <c r="N51" s="399">
        <v>85524</v>
      </c>
      <c r="O51" s="399">
        <v>5530</v>
      </c>
      <c r="P51" s="399">
        <v>84524</v>
      </c>
      <c r="Q51" s="399">
        <v>5082</v>
      </c>
      <c r="R51" s="399">
        <v>81062</v>
      </c>
      <c r="S51" s="399">
        <v>4692</v>
      </c>
      <c r="T51" s="399">
        <v>77951</v>
      </c>
      <c r="U51" s="399">
        <v>6217</v>
      </c>
      <c r="V51" s="399">
        <v>95389</v>
      </c>
      <c r="W51" s="399">
        <v>3989</v>
      </c>
      <c r="X51" s="399">
        <v>67403</v>
      </c>
      <c r="Y51" s="399">
        <v>5071</v>
      </c>
      <c r="Z51" s="404">
        <v>83372</v>
      </c>
      <c r="AA51" s="409">
        <v>4617</v>
      </c>
      <c r="AB51" s="399">
        <v>63642</v>
      </c>
      <c r="AC51" s="419">
        <f t="shared" si="2"/>
        <v>4801.363636363636</v>
      </c>
      <c r="AD51" s="420">
        <f t="shared" si="3"/>
        <v>75047</v>
      </c>
      <c r="AE51" s="399">
        <v>5637</v>
      </c>
      <c r="AF51" s="399">
        <v>81827</v>
      </c>
      <c r="AG51" s="397">
        <v>58452</v>
      </c>
      <c r="AH51" s="397">
        <v>907344</v>
      </c>
      <c r="AI51" s="394">
        <f t="shared" si="4"/>
        <v>4871</v>
      </c>
      <c r="AJ51" s="394">
        <f t="shared" si="5"/>
        <v>75612</v>
      </c>
      <c r="AK51" s="399">
        <v>8562.5357142857138</v>
      </c>
      <c r="AL51" s="399">
        <v>131850</v>
      </c>
      <c r="AM51" s="399">
        <v>89860.88</v>
      </c>
      <c r="AN51" s="399">
        <v>6801.9285714285716</v>
      </c>
      <c r="AO51" s="399">
        <v>107537</v>
      </c>
      <c r="AP51" s="399">
        <v>73148.240000000005</v>
      </c>
      <c r="AQ51" s="399">
        <v>5626.7976190476193</v>
      </c>
      <c r="AR51" s="399">
        <v>89877</v>
      </c>
      <c r="AS51" s="399">
        <v>64074.06</v>
      </c>
      <c r="AT51" s="399">
        <v>4011.0476190476188</v>
      </c>
      <c r="AU51" s="399">
        <v>66634</v>
      </c>
      <c r="AV51" s="399">
        <v>45581.149999999994</v>
      </c>
      <c r="AW51" s="399">
        <v>5039.3898809523807</v>
      </c>
      <c r="AX51" s="399">
        <v>81253</v>
      </c>
      <c r="AY51" s="399">
        <v>56426.7</v>
      </c>
      <c r="AZ51" s="399">
        <v>4905.0029761904761</v>
      </c>
      <c r="BA51" s="399">
        <v>77005</v>
      </c>
      <c r="BB51" s="399">
        <v>52776.039999999994</v>
      </c>
      <c r="BC51" s="399">
        <v>5588.8988095238092</v>
      </c>
      <c r="BD51" s="399">
        <v>82437</v>
      </c>
      <c r="BE51" s="399">
        <v>58750.430000000008</v>
      </c>
      <c r="BF51" s="399">
        <v>4921.333333333333</v>
      </c>
      <c r="BG51" s="399">
        <v>76361</v>
      </c>
      <c r="BH51" s="399">
        <v>54498.639999999992</v>
      </c>
      <c r="BI51" s="399">
        <v>4404.3809523809523</v>
      </c>
      <c r="BJ51" s="399">
        <v>65193</v>
      </c>
      <c r="BK51" s="399">
        <v>47998.680000000008</v>
      </c>
      <c r="BL51" s="399">
        <v>4221.9047619047615</v>
      </c>
      <c r="BM51" s="399">
        <v>60630</v>
      </c>
      <c r="BN51" s="399">
        <v>47406.299999999996</v>
      </c>
      <c r="BO51" s="399">
        <f>SUM(BO49:BO50)</f>
        <v>4385.5833333333339</v>
      </c>
      <c r="BP51" s="399">
        <f t="shared" ref="BP51:BW51" si="24">SUM(BP49:BP50)</f>
        <v>66019</v>
      </c>
      <c r="BQ51" s="399">
        <f t="shared" si="24"/>
        <v>49039.479999999996</v>
      </c>
      <c r="BR51" s="399">
        <v>5031.6190476190477</v>
      </c>
      <c r="BS51" s="399">
        <v>73510</v>
      </c>
      <c r="BT51" s="399">
        <v>55149.039999999994</v>
      </c>
      <c r="BU51" s="399">
        <f>SUM(BU49:BU50)</f>
        <v>63500.422619047618</v>
      </c>
      <c r="BV51" s="399">
        <f t="shared" si="24"/>
        <v>978306</v>
      </c>
      <c r="BW51" s="399">
        <f t="shared" si="24"/>
        <v>694709.6399999999</v>
      </c>
      <c r="BX51" s="501">
        <f t="shared" si="9"/>
        <v>5291.7018849206352</v>
      </c>
      <c r="BY51" s="501">
        <f t="shared" si="10"/>
        <v>81525.5</v>
      </c>
      <c r="BZ51" s="501">
        <f t="shared" si="11"/>
        <v>57892.469999999994</v>
      </c>
      <c r="CA51" s="434">
        <f t="shared" si="12"/>
        <v>8.6368689164573027</v>
      </c>
    </row>
    <row r="52" spans="1:79" s="401" customFormat="1" ht="38.25" customHeight="1">
      <c r="A52" s="858"/>
      <c r="B52" s="858"/>
      <c r="C52" s="858"/>
      <c r="D52" s="858"/>
      <c r="E52" s="858"/>
      <c r="F52" s="858"/>
      <c r="G52" s="394">
        <v>61590</v>
      </c>
      <c r="H52" s="394">
        <v>949178</v>
      </c>
      <c r="I52" s="394">
        <v>49571</v>
      </c>
      <c r="J52" s="394">
        <v>773779</v>
      </c>
      <c r="K52" s="394">
        <v>50984</v>
      </c>
      <c r="L52" s="394">
        <v>794108</v>
      </c>
      <c r="M52" s="394">
        <v>47795</v>
      </c>
      <c r="N52" s="394">
        <v>749078</v>
      </c>
      <c r="O52" s="394">
        <v>53290</v>
      </c>
      <c r="P52" s="394">
        <v>840592</v>
      </c>
      <c r="Q52" s="394">
        <v>52420</v>
      </c>
      <c r="R52" s="394">
        <v>820396</v>
      </c>
      <c r="S52" s="394">
        <v>54899</v>
      </c>
      <c r="T52" s="394">
        <v>868137</v>
      </c>
      <c r="U52" s="394">
        <v>54905</v>
      </c>
      <c r="V52" s="394">
        <v>864657</v>
      </c>
      <c r="W52" s="394">
        <v>56780</v>
      </c>
      <c r="X52" s="394">
        <v>901641</v>
      </c>
      <c r="Y52" s="394">
        <v>59704</v>
      </c>
      <c r="Z52" s="406">
        <v>946416</v>
      </c>
      <c r="AA52" s="411">
        <v>57497</v>
      </c>
      <c r="AB52" s="394">
        <v>917030</v>
      </c>
      <c r="AC52" s="419">
        <f t="shared" si="2"/>
        <v>54494.090909090912</v>
      </c>
      <c r="AD52" s="420">
        <f t="shared" si="3"/>
        <v>856819.27272727271</v>
      </c>
      <c r="AE52" s="394">
        <v>64662</v>
      </c>
      <c r="AF52" s="394">
        <v>1013431</v>
      </c>
      <c r="AG52" s="394">
        <v>664097</v>
      </c>
      <c r="AH52" s="394">
        <v>10438443</v>
      </c>
      <c r="AI52" s="394">
        <f t="shared" si="4"/>
        <v>55341.416666666664</v>
      </c>
      <c r="AJ52" s="394">
        <f t="shared" si="5"/>
        <v>869870.25</v>
      </c>
      <c r="AK52" s="394">
        <v>61011.53571428571</v>
      </c>
      <c r="AL52" s="394">
        <v>965752</v>
      </c>
      <c r="AM52" s="394">
        <v>631832.87999999989</v>
      </c>
      <c r="AN52" s="394">
        <v>51494.928571428572</v>
      </c>
      <c r="AO52" s="394">
        <v>818851</v>
      </c>
      <c r="AP52" s="394">
        <v>532828.4800000001</v>
      </c>
      <c r="AQ52" s="394">
        <v>64297.440476190473</v>
      </c>
      <c r="AR52" s="394">
        <v>1020554</v>
      </c>
      <c r="AS52" s="394">
        <v>677348.72</v>
      </c>
      <c r="AT52" s="394">
        <v>50054.047619047618</v>
      </c>
      <c r="AU52" s="394">
        <v>803099</v>
      </c>
      <c r="AV52" s="394">
        <v>524612.25</v>
      </c>
      <c r="AW52" s="394">
        <v>56047.598214285717</v>
      </c>
      <c r="AX52" s="394">
        <v>888740</v>
      </c>
      <c r="AY52" s="394">
        <v>583181.48999999987</v>
      </c>
      <c r="AZ52" s="394">
        <v>56044.502976190473</v>
      </c>
      <c r="BA52" s="394">
        <v>884247</v>
      </c>
      <c r="BB52" s="394">
        <v>578612.4</v>
      </c>
      <c r="BC52" s="394">
        <v>54742.898809523809</v>
      </c>
      <c r="BD52" s="394">
        <v>863703</v>
      </c>
      <c r="BE52" s="394">
        <v>571258.19000000006</v>
      </c>
      <c r="BF52" s="394">
        <v>53877.333333333336</v>
      </c>
      <c r="BG52" s="394">
        <v>848693</v>
      </c>
      <c r="BH52" s="394">
        <v>558733.83999999985</v>
      </c>
      <c r="BI52" s="394">
        <v>55617.380952380954</v>
      </c>
      <c r="BJ52" s="394">
        <v>866201</v>
      </c>
      <c r="BK52" s="394">
        <v>583840.04000000015</v>
      </c>
      <c r="BL52" s="394">
        <v>57434.904761904763</v>
      </c>
      <c r="BM52" s="394">
        <v>899036</v>
      </c>
      <c r="BN52" s="394">
        <v>603753.98</v>
      </c>
      <c r="BO52" s="394">
        <f>BO51+BO46+BO29</f>
        <v>59316.583333333336</v>
      </c>
      <c r="BP52" s="394">
        <f t="shared" ref="BP52:BW52" si="25">BP51+BP46+BP29</f>
        <v>928681</v>
      </c>
      <c r="BQ52" s="394">
        <f t="shared" si="25"/>
        <v>616783.96</v>
      </c>
      <c r="BR52" s="394">
        <v>60869.619047619046</v>
      </c>
      <c r="BS52" s="394">
        <v>956796</v>
      </c>
      <c r="BT52" s="394">
        <v>636981.11999999988</v>
      </c>
      <c r="BU52" s="394">
        <f>BU51+BU46+BU29</f>
        <v>680808.77380952379</v>
      </c>
      <c r="BV52" s="394">
        <f t="shared" si="25"/>
        <v>10744353</v>
      </c>
      <c r="BW52" s="394">
        <f t="shared" si="25"/>
        <v>7099767.3499999996</v>
      </c>
      <c r="BX52" s="490">
        <f t="shared" si="9"/>
        <v>56734.064484126982</v>
      </c>
      <c r="BY52" s="490">
        <f t="shared" si="10"/>
        <v>895362.75</v>
      </c>
      <c r="BZ52" s="490">
        <f t="shared" si="11"/>
        <v>591647.27916666667</v>
      </c>
      <c r="CA52" s="434">
        <f t="shared" si="12"/>
        <v>2.5164657888115443</v>
      </c>
    </row>
  </sheetData>
  <autoFilter ref="A3:CB52" xr:uid="{FA7BF106-0891-4A72-B153-802F4CE8B618}">
    <filterColumn colId="1" showButton="0"/>
    <filterColumn colId="3" showButton="0"/>
  </autoFilter>
  <mergeCells count="37">
    <mergeCell ref="A46:F46"/>
    <mergeCell ref="B47:F47"/>
    <mergeCell ref="A51:F51"/>
    <mergeCell ref="A52:F52"/>
    <mergeCell ref="AC2:AD2"/>
    <mergeCell ref="A29:F29"/>
    <mergeCell ref="A2:F2"/>
    <mergeCell ref="G2:H2"/>
    <mergeCell ref="I2:J2"/>
    <mergeCell ref="K2:L2"/>
    <mergeCell ref="M2:N2"/>
    <mergeCell ref="O2:P2"/>
    <mergeCell ref="BX2:BZ2"/>
    <mergeCell ref="BO2:BQ2"/>
    <mergeCell ref="BR2:BT2"/>
    <mergeCell ref="BU2:BW2"/>
    <mergeCell ref="B3:C3"/>
    <mergeCell ref="D3:E3"/>
    <mergeCell ref="AW2:AY2"/>
    <mergeCell ref="AZ2:BB2"/>
    <mergeCell ref="BC2:BE2"/>
    <mergeCell ref="BF2:BH2"/>
    <mergeCell ref="BI2:BK2"/>
    <mergeCell ref="BL2:BN2"/>
    <mergeCell ref="AE2:AF2"/>
    <mergeCell ref="AG2:AH2"/>
    <mergeCell ref="AK2:AM2"/>
    <mergeCell ref="AN2:AP2"/>
    <mergeCell ref="AQ2:AS2"/>
    <mergeCell ref="AT2:AV2"/>
    <mergeCell ref="Q2:R2"/>
    <mergeCell ref="S2:T2"/>
    <mergeCell ref="U2:V2"/>
    <mergeCell ref="W2:X2"/>
    <mergeCell ref="Y2:Z2"/>
    <mergeCell ref="AA2:AB2"/>
    <mergeCell ref="AI2:A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F0BC-8099-4050-B251-96A62969EF69}">
  <sheetPr>
    <tabColor rgb="FFFF0000"/>
  </sheetPr>
  <dimension ref="A1:DX107"/>
  <sheetViews>
    <sheetView zoomScale="90" zoomScaleNormal="90" workbookViewId="0">
      <pane xSplit="31" ySplit="3" topLeftCell="CK33" activePane="bottomRight" state="frozen"/>
      <selection pane="topRight" activeCell="AF1" sqref="AF1"/>
      <selection pane="bottomLeft" activeCell="A4" sqref="A4"/>
      <selection pane="bottomRight" activeCell="DK30" sqref="DK30"/>
    </sheetView>
  </sheetViews>
  <sheetFormatPr defaultColWidth="10.5546875" defaultRowHeight="19.8"/>
  <cols>
    <col min="1" max="1" width="3.44140625" style="40" bestFit="1" customWidth="1"/>
    <col min="2" max="2" width="23.44140625" style="40" bestFit="1" customWidth="1"/>
    <col min="3" max="4" width="7.33203125" style="40" bestFit="1" customWidth="1"/>
    <col min="5" max="5" width="5.33203125" style="40" bestFit="1" customWidth="1"/>
    <col min="6" max="6" width="7.6640625" style="40" bestFit="1" customWidth="1"/>
    <col min="7" max="7" width="9.44140625" style="40" bestFit="1" customWidth="1"/>
    <col min="8" max="31" width="9" style="40" hidden="1" customWidth="1"/>
    <col min="32" max="33" width="9" style="40" bestFit="1" customWidth="1"/>
    <col min="34" max="57" width="9" style="40" hidden="1" customWidth="1"/>
    <col min="58" max="59" width="9" style="40" bestFit="1" customWidth="1"/>
    <col min="60" max="69" width="9" style="40" hidden="1" customWidth="1"/>
    <col min="70" max="71" width="9" style="40" bestFit="1" customWidth="1"/>
    <col min="72" max="83" width="9" style="40" hidden="1" customWidth="1"/>
    <col min="84" max="84" width="10.44140625" style="40" hidden="1" customWidth="1"/>
    <col min="85" max="85" width="9" style="40" hidden="1" customWidth="1"/>
    <col min="86" max="89" width="9" style="40" bestFit="1" customWidth="1"/>
    <col min="90" max="90" width="9" style="1" hidden="1" customWidth="1"/>
    <col min="91" max="91" width="9" style="41" hidden="1" customWidth="1"/>
    <col min="92" max="92" width="9" style="1" hidden="1" customWidth="1"/>
    <col min="93" max="93" width="10.109375" style="42" hidden="1" customWidth="1"/>
    <col min="94" max="94" width="10.44140625" style="1" hidden="1" customWidth="1"/>
    <col min="95" max="95" width="10.109375" style="42" hidden="1" customWidth="1"/>
    <col min="96" max="96" width="9" style="1" hidden="1" customWidth="1"/>
    <col min="97" max="97" width="10.109375" style="42" hidden="1" customWidth="1"/>
    <col min="98" max="98" width="9" style="1" hidden="1" customWidth="1"/>
    <col min="99" max="99" width="10.109375" style="42" hidden="1" customWidth="1"/>
    <col min="100" max="100" width="5.33203125" style="1" hidden="1" customWidth="1"/>
    <col min="101" max="101" width="5.33203125" style="42" hidden="1" customWidth="1"/>
    <col min="102" max="102" width="5.33203125" style="1" hidden="1" customWidth="1"/>
    <col min="103" max="103" width="5.33203125" style="42" hidden="1" customWidth="1"/>
    <col min="104" max="104" width="5.33203125" style="1" hidden="1" customWidth="1"/>
    <col min="105" max="105" width="5.33203125" style="42" hidden="1" customWidth="1"/>
    <col min="106" max="106" width="5.33203125" style="1" hidden="1" customWidth="1"/>
    <col min="107" max="107" width="5.33203125" style="42" hidden="1" customWidth="1"/>
    <col min="108" max="108" width="5.33203125" style="1" hidden="1" customWidth="1"/>
    <col min="109" max="109" width="5.33203125" style="42" hidden="1" customWidth="1"/>
    <col min="110" max="110" width="5.33203125" style="1" hidden="1" customWidth="1"/>
    <col min="111" max="111" width="5.33203125" style="42" hidden="1" customWidth="1"/>
    <col min="112" max="112" width="5.33203125" style="1" hidden="1" customWidth="1"/>
    <col min="113" max="113" width="5.33203125" style="42" hidden="1" customWidth="1"/>
    <col min="114" max="114" width="10.6640625" style="42" bestFit="1" customWidth="1"/>
    <col min="115" max="115" width="14.109375" style="42" bestFit="1" customWidth="1"/>
    <col min="116" max="116" width="10.44140625" style="1" bestFit="1" customWidth="1"/>
    <col min="117" max="117" width="10.44140625" style="42" bestFit="1" customWidth="1"/>
    <col min="118" max="119" width="8.6640625" style="1" bestFit="1" customWidth="1"/>
    <col min="120" max="120" width="10.6640625" style="1" bestFit="1" customWidth="1"/>
    <col min="121" max="121" width="8.6640625" style="1" bestFit="1" customWidth="1"/>
    <col min="122" max="122" width="19.33203125" style="1" bestFit="1" customWidth="1"/>
    <col min="123" max="123" width="19" style="1" bestFit="1" customWidth="1"/>
    <col min="124" max="124" width="9.88671875" style="1" bestFit="1" customWidth="1"/>
    <col min="125" max="125" width="12.33203125" style="1" bestFit="1" customWidth="1"/>
    <col min="126" max="126" width="25.5546875" style="1" bestFit="1" customWidth="1"/>
    <col min="127" max="127" width="6.109375" style="1" bestFit="1" customWidth="1"/>
    <col min="128" max="128" width="15.44140625" style="1" customWidth="1"/>
    <col min="129" max="16384" width="10.5546875" style="1"/>
  </cols>
  <sheetData>
    <row r="1" spans="1:128">
      <c r="A1" s="830" t="s">
        <v>0</v>
      </c>
      <c r="B1" s="830"/>
      <c r="C1" s="830"/>
      <c r="D1" s="830"/>
      <c r="E1" s="830"/>
      <c r="F1" s="830"/>
      <c r="G1" s="830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>
        <v>0</v>
      </c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834"/>
      <c r="CM1" s="834"/>
      <c r="CN1" s="834"/>
      <c r="CO1" s="834"/>
      <c r="CP1" s="834"/>
      <c r="CQ1" s="834"/>
      <c r="CR1" s="834"/>
      <c r="CS1" s="834"/>
      <c r="CT1" s="834"/>
      <c r="CU1" s="834"/>
      <c r="CV1" s="834"/>
      <c r="CW1" s="834"/>
      <c r="CX1" s="834"/>
      <c r="CY1" s="834"/>
      <c r="CZ1" s="834"/>
      <c r="DA1" s="834"/>
      <c r="DB1" s="834"/>
      <c r="DC1" s="834"/>
      <c r="DD1" s="834"/>
      <c r="DE1" s="834"/>
      <c r="DF1" s="834"/>
      <c r="DG1" s="834"/>
      <c r="DH1" s="834"/>
      <c r="DI1" s="834"/>
      <c r="DJ1" s="834"/>
      <c r="DK1" s="834"/>
      <c r="DL1" s="834"/>
      <c r="DM1" s="834"/>
      <c r="DN1" s="47"/>
      <c r="DO1" s="47"/>
      <c r="DP1" s="47"/>
      <c r="DQ1" s="47"/>
      <c r="DR1" s="47"/>
      <c r="DS1" s="47"/>
      <c r="DT1" s="832" t="s">
        <v>70</v>
      </c>
      <c r="DU1" s="832"/>
      <c r="DV1" s="832"/>
      <c r="DW1" s="832"/>
      <c r="DX1" s="832" t="s">
        <v>71</v>
      </c>
    </row>
    <row r="2" spans="1:128" ht="18.75" customHeight="1">
      <c r="A2" s="831" t="s">
        <v>1</v>
      </c>
      <c r="B2" s="831" t="s">
        <v>2</v>
      </c>
      <c r="C2" s="831"/>
      <c r="D2" s="829" t="s">
        <v>3</v>
      </c>
      <c r="E2" s="829" t="s">
        <v>4</v>
      </c>
      <c r="F2" s="829" t="s">
        <v>5</v>
      </c>
      <c r="G2" s="829" t="s">
        <v>6</v>
      </c>
      <c r="H2" s="827">
        <v>44562</v>
      </c>
      <c r="I2" s="827"/>
      <c r="J2" s="827">
        <v>44593</v>
      </c>
      <c r="K2" s="827"/>
      <c r="L2" s="827">
        <v>44621</v>
      </c>
      <c r="M2" s="827"/>
      <c r="N2" s="827">
        <v>44652</v>
      </c>
      <c r="O2" s="827"/>
      <c r="P2" s="827">
        <v>44682</v>
      </c>
      <c r="Q2" s="827"/>
      <c r="R2" s="827">
        <v>44713</v>
      </c>
      <c r="S2" s="827"/>
      <c r="T2" s="827">
        <v>44743</v>
      </c>
      <c r="U2" s="827"/>
      <c r="V2" s="827">
        <v>44774</v>
      </c>
      <c r="W2" s="827"/>
      <c r="X2" s="827">
        <v>44805</v>
      </c>
      <c r="Y2" s="827"/>
      <c r="Z2" s="827">
        <v>44835</v>
      </c>
      <c r="AA2" s="827"/>
      <c r="AB2" s="827">
        <v>44866</v>
      </c>
      <c r="AC2" s="827"/>
      <c r="AD2" s="827">
        <v>44896</v>
      </c>
      <c r="AE2" s="827"/>
      <c r="AF2" s="828" t="s">
        <v>7</v>
      </c>
      <c r="AG2" s="828"/>
      <c r="AH2" s="827">
        <v>44927</v>
      </c>
      <c r="AI2" s="827"/>
      <c r="AJ2" s="827">
        <v>44958</v>
      </c>
      <c r="AK2" s="827"/>
      <c r="AL2" s="827">
        <v>44986</v>
      </c>
      <c r="AM2" s="827"/>
      <c r="AN2" s="827">
        <v>45017</v>
      </c>
      <c r="AO2" s="827"/>
      <c r="AP2" s="827">
        <v>45047</v>
      </c>
      <c r="AQ2" s="827"/>
      <c r="AR2" s="827">
        <v>45078</v>
      </c>
      <c r="AS2" s="827"/>
      <c r="AT2" s="827">
        <v>45108</v>
      </c>
      <c r="AU2" s="827"/>
      <c r="AV2" s="827">
        <v>45139</v>
      </c>
      <c r="AW2" s="827"/>
      <c r="AX2" s="827">
        <v>45170</v>
      </c>
      <c r="AY2" s="827"/>
      <c r="AZ2" s="827">
        <v>45200</v>
      </c>
      <c r="BA2" s="827"/>
      <c r="BB2" s="827">
        <v>45231</v>
      </c>
      <c r="BC2" s="827"/>
      <c r="BD2" s="827">
        <v>45261</v>
      </c>
      <c r="BE2" s="827"/>
      <c r="BF2" s="828" t="s">
        <v>8</v>
      </c>
      <c r="BG2" s="828"/>
      <c r="BH2" s="827">
        <v>45292</v>
      </c>
      <c r="BI2" s="827"/>
      <c r="BJ2" s="827">
        <v>45323</v>
      </c>
      <c r="BK2" s="827"/>
      <c r="BL2" s="827">
        <v>45352</v>
      </c>
      <c r="BM2" s="827"/>
      <c r="BN2" s="827">
        <v>45383</v>
      </c>
      <c r="BO2" s="827"/>
      <c r="BP2" s="827">
        <v>45413</v>
      </c>
      <c r="BQ2" s="827"/>
      <c r="BR2" s="827" t="s">
        <v>65</v>
      </c>
      <c r="BS2" s="827"/>
      <c r="BT2" s="827">
        <v>45444</v>
      </c>
      <c r="BU2" s="827"/>
      <c r="BV2" s="827">
        <v>45474</v>
      </c>
      <c r="BW2" s="827"/>
      <c r="BX2" s="827">
        <v>45505</v>
      </c>
      <c r="BY2" s="827"/>
      <c r="BZ2" s="827">
        <v>45536</v>
      </c>
      <c r="CA2" s="827"/>
      <c r="CB2" s="827">
        <v>45566</v>
      </c>
      <c r="CC2" s="827"/>
      <c r="CD2" s="827">
        <v>45597</v>
      </c>
      <c r="CE2" s="827"/>
      <c r="CF2" s="827">
        <v>45627</v>
      </c>
      <c r="CG2" s="827"/>
      <c r="CH2" s="828" t="s">
        <v>9</v>
      </c>
      <c r="CI2" s="828"/>
      <c r="CJ2" s="829" t="s">
        <v>9</v>
      </c>
      <c r="CK2" s="829"/>
      <c r="CL2" s="827">
        <v>45658</v>
      </c>
      <c r="CM2" s="827"/>
      <c r="CN2" s="827">
        <v>45689</v>
      </c>
      <c r="CO2" s="827"/>
      <c r="CP2" s="827">
        <v>45717</v>
      </c>
      <c r="CQ2" s="827"/>
      <c r="CR2" s="827">
        <v>45748</v>
      </c>
      <c r="CS2" s="827"/>
      <c r="CT2" s="827">
        <v>45778</v>
      </c>
      <c r="CU2" s="827"/>
      <c r="CV2" s="827">
        <v>45809</v>
      </c>
      <c r="CW2" s="827"/>
      <c r="CX2" s="827">
        <v>45839</v>
      </c>
      <c r="CY2" s="827"/>
      <c r="CZ2" s="827">
        <v>45870</v>
      </c>
      <c r="DA2" s="827"/>
      <c r="DB2" s="827">
        <v>45901</v>
      </c>
      <c r="DC2" s="827"/>
      <c r="DD2" s="827">
        <v>45931</v>
      </c>
      <c r="DE2" s="827"/>
      <c r="DF2" s="827">
        <v>45962</v>
      </c>
      <c r="DG2" s="827"/>
      <c r="DH2" s="827">
        <v>45992</v>
      </c>
      <c r="DI2" s="827"/>
      <c r="DJ2" s="65" t="s">
        <v>67</v>
      </c>
      <c r="DK2" s="65" t="s">
        <v>68</v>
      </c>
      <c r="DL2" s="834" t="s">
        <v>10</v>
      </c>
      <c r="DM2" s="834"/>
      <c r="DN2" s="834" t="s">
        <v>66</v>
      </c>
      <c r="DO2" s="834"/>
      <c r="DP2" s="47"/>
      <c r="DQ2" s="833" t="s">
        <v>72</v>
      </c>
      <c r="DR2" s="48" t="s">
        <v>73</v>
      </c>
      <c r="DS2" s="48" t="s">
        <v>74</v>
      </c>
      <c r="DT2" s="832" t="s">
        <v>75</v>
      </c>
      <c r="DU2" s="832"/>
      <c r="DV2" s="49" t="s">
        <v>76</v>
      </c>
      <c r="DW2" s="49"/>
      <c r="DX2" s="832"/>
    </row>
    <row r="3" spans="1:128" ht="18.75" customHeight="1">
      <c r="A3" s="831"/>
      <c r="B3" s="831"/>
      <c r="C3" s="831"/>
      <c r="D3" s="829"/>
      <c r="E3" s="829"/>
      <c r="F3" s="829"/>
      <c r="G3" s="829"/>
      <c r="H3" s="2" t="s">
        <v>11</v>
      </c>
      <c r="I3" s="3" t="s">
        <v>12</v>
      </c>
      <c r="J3" s="2" t="s">
        <v>11</v>
      </c>
      <c r="K3" s="3" t="s">
        <v>12</v>
      </c>
      <c r="L3" s="2" t="s">
        <v>11</v>
      </c>
      <c r="M3" s="3" t="s">
        <v>12</v>
      </c>
      <c r="N3" s="2" t="s">
        <v>11</v>
      </c>
      <c r="O3" s="3" t="s">
        <v>12</v>
      </c>
      <c r="P3" s="2" t="s">
        <v>11</v>
      </c>
      <c r="Q3" s="3" t="s">
        <v>12</v>
      </c>
      <c r="R3" s="2" t="s">
        <v>11</v>
      </c>
      <c r="S3" s="3" t="s">
        <v>12</v>
      </c>
      <c r="T3" s="2" t="s">
        <v>11</v>
      </c>
      <c r="U3" s="3" t="s">
        <v>12</v>
      </c>
      <c r="V3" s="2" t="s">
        <v>11</v>
      </c>
      <c r="W3" s="3" t="s">
        <v>12</v>
      </c>
      <c r="X3" s="2" t="s">
        <v>11</v>
      </c>
      <c r="Y3" s="3" t="s">
        <v>12</v>
      </c>
      <c r="Z3" s="2" t="s">
        <v>11</v>
      </c>
      <c r="AA3" s="3" t="s">
        <v>12</v>
      </c>
      <c r="AB3" s="2" t="s">
        <v>11</v>
      </c>
      <c r="AC3" s="3" t="s">
        <v>12</v>
      </c>
      <c r="AD3" s="2" t="s">
        <v>11</v>
      </c>
      <c r="AE3" s="3" t="s">
        <v>12</v>
      </c>
      <c r="AF3" s="4" t="s">
        <v>11</v>
      </c>
      <c r="AG3" s="5" t="s">
        <v>12</v>
      </c>
      <c r="AH3" s="2" t="s">
        <v>11</v>
      </c>
      <c r="AI3" s="3" t="s">
        <v>12</v>
      </c>
      <c r="AJ3" s="2" t="s">
        <v>11</v>
      </c>
      <c r="AK3" s="3" t="s">
        <v>12</v>
      </c>
      <c r="AL3" s="2" t="s">
        <v>11</v>
      </c>
      <c r="AM3" s="3" t="s">
        <v>12</v>
      </c>
      <c r="AN3" s="2" t="s">
        <v>11</v>
      </c>
      <c r="AO3" s="3" t="s">
        <v>12</v>
      </c>
      <c r="AP3" s="2" t="s">
        <v>11</v>
      </c>
      <c r="AQ3" s="3" t="s">
        <v>12</v>
      </c>
      <c r="AR3" s="2" t="s">
        <v>11</v>
      </c>
      <c r="AS3" s="3" t="s">
        <v>12</v>
      </c>
      <c r="AT3" s="2" t="s">
        <v>11</v>
      </c>
      <c r="AU3" s="3" t="s">
        <v>12</v>
      </c>
      <c r="AV3" s="2" t="s">
        <v>11</v>
      </c>
      <c r="AW3" s="3" t="s">
        <v>12</v>
      </c>
      <c r="AX3" s="2" t="s">
        <v>11</v>
      </c>
      <c r="AY3" s="3" t="s">
        <v>12</v>
      </c>
      <c r="AZ3" s="2" t="s">
        <v>11</v>
      </c>
      <c r="BA3" s="3" t="s">
        <v>12</v>
      </c>
      <c r="BB3" s="2" t="s">
        <v>11</v>
      </c>
      <c r="BC3" s="3" t="s">
        <v>12</v>
      </c>
      <c r="BD3" s="2" t="s">
        <v>11</v>
      </c>
      <c r="BE3" s="3" t="s">
        <v>12</v>
      </c>
      <c r="BF3" s="4" t="s">
        <v>11</v>
      </c>
      <c r="BG3" s="5" t="s">
        <v>12</v>
      </c>
      <c r="BH3" s="2" t="s">
        <v>11</v>
      </c>
      <c r="BI3" s="3" t="s">
        <v>12</v>
      </c>
      <c r="BJ3" s="2" t="s">
        <v>11</v>
      </c>
      <c r="BK3" s="3" t="s">
        <v>12</v>
      </c>
      <c r="BL3" s="2" t="s">
        <v>11</v>
      </c>
      <c r="BM3" s="3" t="s">
        <v>12</v>
      </c>
      <c r="BN3" s="2" t="s">
        <v>11</v>
      </c>
      <c r="BO3" s="3" t="s">
        <v>12</v>
      </c>
      <c r="BP3" s="2" t="s">
        <v>11</v>
      </c>
      <c r="BQ3" s="3" t="s">
        <v>12</v>
      </c>
      <c r="BR3" s="2" t="s">
        <v>11</v>
      </c>
      <c r="BS3" s="3" t="s">
        <v>12</v>
      </c>
      <c r="BT3" s="2" t="s">
        <v>11</v>
      </c>
      <c r="BU3" s="3" t="s">
        <v>12</v>
      </c>
      <c r="BV3" s="2" t="s">
        <v>11</v>
      </c>
      <c r="BW3" s="3" t="s">
        <v>12</v>
      </c>
      <c r="BX3" s="2" t="s">
        <v>11</v>
      </c>
      <c r="BY3" s="3" t="s">
        <v>12</v>
      </c>
      <c r="BZ3" s="2" t="s">
        <v>11</v>
      </c>
      <c r="CA3" s="3" t="s">
        <v>12</v>
      </c>
      <c r="CB3" s="2" t="s">
        <v>11</v>
      </c>
      <c r="CC3" s="3" t="s">
        <v>12</v>
      </c>
      <c r="CD3" s="2" t="s">
        <v>11</v>
      </c>
      <c r="CE3" s="3" t="s">
        <v>12</v>
      </c>
      <c r="CF3" s="2" t="s">
        <v>11</v>
      </c>
      <c r="CG3" s="3" t="s">
        <v>12</v>
      </c>
      <c r="CH3" s="4" t="s">
        <v>11</v>
      </c>
      <c r="CI3" s="5" t="s">
        <v>12</v>
      </c>
      <c r="CJ3" s="2" t="s">
        <v>11</v>
      </c>
      <c r="CK3" s="6" t="s">
        <v>12</v>
      </c>
      <c r="CL3" s="2" t="s">
        <v>11</v>
      </c>
      <c r="CM3" s="6" t="s">
        <v>12</v>
      </c>
      <c r="CN3" s="2" t="s">
        <v>11</v>
      </c>
      <c r="CO3" s="3" t="s">
        <v>12</v>
      </c>
      <c r="CP3" s="2" t="s">
        <v>11</v>
      </c>
      <c r="CQ3" s="3" t="s">
        <v>12</v>
      </c>
      <c r="CR3" s="2" t="s">
        <v>11</v>
      </c>
      <c r="CS3" s="3" t="s">
        <v>12</v>
      </c>
      <c r="CT3" s="2" t="s">
        <v>11</v>
      </c>
      <c r="CU3" s="3" t="s">
        <v>12</v>
      </c>
      <c r="CV3" s="2" t="s">
        <v>11</v>
      </c>
      <c r="CW3" s="3" t="s">
        <v>12</v>
      </c>
      <c r="CX3" s="2" t="s">
        <v>11</v>
      </c>
      <c r="CY3" s="3" t="s">
        <v>12</v>
      </c>
      <c r="CZ3" s="2" t="s">
        <v>11</v>
      </c>
      <c r="DA3" s="3" t="s">
        <v>12</v>
      </c>
      <c r="DB3" s="2" t="s">
        <v>11</v>
      </c>
      <c r="DC3" s="3" t="s">
        <v>12</v>
      </c>
      <c r="DD3" s="2" t="s">
        <v>11</v>
      </c>
      <c r="DE3" s="3" t="s">
        <v>12</v>
      </c>
      <c r="DF3" s="2" t="s">
        <v>11</v>
      </c>
      <c r="DG3" s="3" t="s">
        <v>12</v>
      </c>
      <c r="DH3" s="2" t="s">
        <v>11</v>
      </c>
      <c r="DI3" s="3" t="s">
        <v>12</v>
      </c>
      <c r="DJ3" s="66" t="s">
        <v>69</v>
      </c>
      <c r="DK3" s="67" t="s">
        <v>12</v>
      </c>
      <c r="DL3" s="2" t="s">
        <v>11</v>
      </c>
      <c r="DM3" s="3" t="s">
        <v>12</v>
      </c>
      <c r="DN3" s="2" t="s">
        <v>11</v>
      </c>
      <c r="DO3" s="3" t="s">
        <v>12</v>
      </c>
      <c r="DP3" s="50" t="s">
        <v>67</v>
      </c>
      <c r="DQ3" s="833"/>
      <c r="DR3" s="48" t="s">
        <v>69</v>
      </c>
      <c r="DS3" s="48" t="s">
        <v>69</v>
      </c>
      <c r="DT3" s="51" t="s">
        <v>77</v>
      </c>
      <c r="DU3" s="51" t="s">
        <v>78</v>
      </c>
      <c r="DV3" s="51" t="s">
        <v>77</v>
      </c>
      <c r="DW3" s="51" t="s">
        <v>79</v>
      </c>
      <c r="DX3" s="832"/>
    </row>
    <row r="4" spans="1:128" ht="20.399999999999999" thickBot="1">
      <c r="A4" s="73">
        <v>1</v>
      </c>
      <c r="B4" s="74" t="s">
        <v>13</v>
      </c>
      <c r="C4" s="74" t="s">
        <v>14</v>
      </c>
      <c r="D4" s="73">
        <v>22</v>
      </c>
      <c r="E4" s="73">
        <v>0.7</v>
      </c>
      <c r="F4" s="73" t="s">
        <v>15</v>
      </c>
      <c r="G4" s="73">
        <v>1870</v>
      </c>
      <c r="H4" s="75">
        <v>19961</v>
      </c>
      <c r="I4" s="76">
        <v>13972.699999999999</v>
      </c>
      <c r="J4" s="75">
        <v>12844</v>
      </c>
      <c r="K4" s="76">
        <v>8990.7999999999993</v>
      </c>
      <c r="L4" s="75">
        <v>22152</v>
      </c>
      <c r="M4" s="76">
        <v>15506.4</v>
      </c>
      <c r="N4" s="75">
        <v>13368</v>
      </c>
      <c r="O4" s="76">
        <v>9357.5999999999985</v>
      </c>
      <c r="P4" s="75">
        <v>13720</v>
      </c>
      <c r="Q4" s="76">
        <v>9604</v>
      </c>
      <c r="R4" s="75">
        <v>8880</v>
      </c>
      <c r="S4" s="76">
        <v>6216</v>
      </c>
      <c r="T4" s="75">
        <v>8208</v>
      </c>
      <c r="U4" s="76">
        <v>5745.5999999999995</v>
      </c>
      <c r="V4" s="75">
        <v>14127</v>
      </c>
      <c r="W4" s="76">
        <v>9888.9</v>
      </c>
      <c r="X4" s="75">
        <v>6948</v>
      </c>
      <c r="Y4" s="76">
        <v>4863.5999999999995</v>
      </c>
      <c r="Z4" s="75">
        <v>3876</v>
      </c>
      <c r="AA4" s="76">
        <v>2713.2</v>
      </c>
      <c r="AB4" s="75">
        <v>5580</v>
      </c>
      <c r="AC4" s="76">
        <v>3905.9999999999995</v>
      </c>
      <c r="AD4" s="75">
        <v>4932</v>
      </c>
      <c r="AE4" s="76">
        <v>3452.3999999999996</v>
      </c>
      <c r="AF4" s="77">
        <v>11216.333333333334</v>
      </c>
      <c r="AG4" s="78">
        <v>7851.4333333333334</v>
      </c>
      <c r="AH4" s="75">
        <v>6960</v>
      </c>
      <c r="AI4" s="76">
        <v>4872</v>
      </c>
      <c r="AJ4" s="75">
        <v>6120</v>
      </c>
      <c r="AK4" s="76">
        <v>4284</v>
      </c>
      <c r="AL4" s="75">
        <v>4584</v>
      </c>
      <c r="AM4" s="76">
        <v>3208.7999999999997</v>
      </c>
      <c r="AN4" s="75">
        <v>2172</v>
      </c>
      <c r="AO4" s="76">
        <v>1520.3999999999999</v>
      </c>
      <c r="AP4" s="75">
        <v>3288</v>
      </c>
      <c r="AQ4" s="76">
        <v>2301.6</v>
      </c>
      <c r="AR4" s="75">
        <v>3060</v>
      </c>
      <c r="AS4" s="76">
        <v>2142</v>
      </c>
      <c r="AT4" s="75">
        <v>2472</v>
      </c>
      <c r="AU4" s="76">
        <v>1730.3999999999999</v>
      </c>
      <c r="AV4" s="75">
        <v>2232</v>
      </c>
      <c r="AW4" s="76">
        <v>1562.3999999999999</v>
      </c>
      <c r="AX4" s="75">
        <v>1032</v>
      </c>
      <c r="AY4" s="76">
        <v>722.4</v>
      </c>
      <c r="AZ4" s="75">
        <v>2856</v>
      </c>
      <c r="BA4" s="76">
        <v>1999.1999999999998</v>
      </c>
      <c r="BB4" s="75">
        <v>2235</v>
      </c>
      <c r="BC4" s="76">
        <v>1564.5</v>
      </c>
      <c r="BD4" s="75">
        <v>3036</v>
      </c>
      <c r="BE4" s="76">
        <v>2125.1999999999998</v>
      </c>
      <c r="BF4" s="77">
        <v>3337.25</v>
      </c>
      <c r="BG4" s="78">
        <v>2336.0749999999998</v>
      </c>
      <c r="BH4" s="75">
        <v>2178</v>
      </c>
      <c r="BI4" s="76">
        <v>1524.6</v>
      </c>
      <c r="BJ4" s="75">
        <v>2118</v>
      </c>
      <c r="BK4" s="76">
        <v>1482.6</v>
      </c>
      <c r="BL4" s="75">
        <v>2737</v>
      </c>
      <c r="BM4" s="76">
        <v>1915.8999999999999</v>
      </c>
      <c r="BN4" s="75">
        <v>2268</v>
      </c>
      <c r="BO4" s="76">
        <v>1587.6</v>
      </c>
      <c r="BP4" s="75">
        <v>1992</v>
      </c>
      <c r="BQ4" s="76">
        <v>1394.3999999999999</v>
      </c>
      <c r="BR4" s="79">
        <v>2258.6</v>
      </c>
      <c r="BS4" s="76">
        <v>1581.0199999999998</v>
      </c>
      <c r="BT4" s="75">
        <v>1452</v>
      </c>
      <c r="BU4" s="76">
        <v>1016.4</v>
      </c>
      <c r="BV4" s="75">
        <v>2598</v>
      </c>
      <c r="BW4" s="76">
        <v>1818.6</v>
      </c>
      <c r="BX4" s="75">
        <v>2496</v>
      </c>
      <c r="BY4" s="76">
        <v>1747.1999999999998</v>
      </c>
      <c r="BZ4" s="75">
        <v>1668</v>
      </c>
      <c r="CA4" s="76">
        <v>1167.5999999999999</v>
      </c>
      <c r="CB4" s="75">
        <v>948</v>
      </c>
      <c r="CC4" s="76">
        <v>663.59999999999991</v>
      </c>
      <c r="CD4" s="75">
        <v>1212</v>
      </c>
      <c r="CE4" s="76">
        <v>848.4</v>
      </c>
      <c r="CF4" s="75">
        <v>3264</v>
      </c>
      <c r="CG4" s="76">
        <v>2284.7999999999997</v>
      </c>
      <c r="CH4" s="77">
        <v>2077.5833333333335</v>
      </c>
      <c r="CI4" s="78">
        <v>1454.3083333333334</v>
      </c>
      <c r="CJ4" s="80">
        <v>2078</v>
      </c>
      <c r="CK4" s="81">
        <v>1454.6</v>
      </c>
      <c r="CL4" s="82">
        <v>1308</v>
      </c>
      <c r="CM4" s="76">
        <v>915.59999999999991</v>
      </c>
      <c r="CN4" s="82">
        <v>1860</v>
      </c>
      <c r="CO4" s="83">
        <v>1302</v>
      </c>
      <c r="CP4" s="82">
        <v>840</v>
      </c>
      <c r="CQ4" s="83">
        <v>588</v>
      </c>
      <c r="CR4" s="82">
        <v>358</v>
      </c>
      <c r="CS4" s="83">
        <v>250.6</v>
      </c>
      <c r="CT4" s="82">
        <v>2640</v>
      </c>
      <c r="CU4" s="83">
        <v>1847.9999999999998</v>
      </c>
      <c r="CV4" s="82"/>
      <c r="CW4" s="83">
        <v>0</v>
      </c>
      <c r="CX4" s="82"/>
      <c r="CY4" s="83">
        <v>0</v>
      </c>
      <c r="CZ4" s="82"/>
      <c r="DA4" s="83">
        <v>0</v>
      </c>
      <c r="DB4" s="82"/>
      <c r="DC4" s="83">
        <v>0</v>
      </c>
      <c r="DD4" s="82"/>
      <c r="DE4" s="83">
        <v>0</v>
      </c>
      <c r="DF4" s="82"/>
      <c r="DG4" s="83">
        <v>0</v>
      </c>
      <c r="DH4" s="82">
        <v>0</v>
      </c>
      <c r="DI4" s="83">
        <v>0</v>
      </c>
      <c r="DJ4" s="83">
        <v>0.25799077329188191</v>
      </c>
      <c r="DK4" s="83">
        <v>0.26</v>
      </c>
      <c r="DL4" s="84">
        <v>7006</v>
      </c>
      <c r="DM4" s="85">
        <v>4904.2</v>
      </c>
      <c r="DN4" s="86">
        <v>1401.2</v>
      </c>
      <c r="DO4" s="86">
        <v>980.83999999999992</v>
      </c>
      <c r="DP4" s="87">
        <v>0.1662551240441475</v>
      </c>
      <c r="DQ4" s="88">
        <v>-9.1735649247734419E-2</v>
      </c>
      <c r="DR4" s="89">
        <v>-37.961569113610196</v>
      </c>
      <c r="DS4" s="89">
        <v>-32.556255264530108</v>
      </c>
      <c r="DT4" s="90">
        <v>-473.46833333333348</v>
      </c>
      <c r="DU4" s="90">
        <v>-600.17999999999984</v>
      </c>
      <c r="DV4" s="90">
        <v>-33.819166666666675</v>
      </c>
      <c r="DW4" s="90">
        <v>-42.86999999999999</v>
      </c>
      <c r="DX4" s="90">
        <v>-214.34999999999997</v>
      </c>
    </row>
    <row r="5" spans="1:128" s="125" customFormat="1" ht="20.399999999999999" thickBot="1">
      <c r="A5" s="119"/>
      <c r="B5" s="120"/>
      <c r="C5" s="120"/>
      <c r="D5" s="121"/>
      <c r="E5" s="121"/>
      <c r="F5" s="121"/>
      <c r="G5" s="121"/>
      <c r="H5" s="122"/>
      <c r="I5" s="123">
        <v>0</v>
      </c>
      <c r="J5" s="122"/>
      <c r="K5" s="123">
        <v>0</v>
      </c>
      <c r="L5" s="122"/>
      <c r="M5" s="123">
        <v>0</v>
      </c>
      <c r="N5" s="122"/>
      <c r="O5" s="123">
        <v>0</v>
      </c>
      <c r="P5" s="122"/>
      <c r="Q5" s="123">
        <v>0</v>
      </c>
      <c r="R5" s="122"/>
      <c r="S5" s="123">
        <v>0</v>
      </c>
      <c r="T5" s="122"/>
      <c r="U5" s="123">
        <v>0</v>
      </c>
      <c r="V5" s="122"/>
      <c r="W5" s="123">
        <v>0</v>
      </c>
      <c r="X5" s="122"/>
      <c r="Y5" s="123">
        <v>0</v>
      </c>
      <c r="Z5" s="122"/>
      <c r="AA5" s="123">
        <v>0</v>
      </c>
      <c r="AB5" s="122"/>
      <c r="AC5" s="123">
        <v>0</v>
      </c>
      <c r="AD5" s="122"/>
      <c r="AE5" s="123">
        <v>0</v>
      </c>
      <c r="AF5" s="122">
        <v>0</v>
      </c>
      <c r="AG5" s="123">
        <v>0</v>
      </c>
      <c r="AH5" s="122"/>
      <c r="AI5" s="123">
        <v>0</v>
      </c>
      <c r="AJ5" s="122"/>
      <c r="AK5" s="123">
        <v>0</v>
      </c>
      <c r="AL5" s="122"/>
      <c r="AM5" s="123">
        <v>0</v>
      </c>
      <c r="AN5" s="122"/>
      <c r="AO5" s="123">
        <v>0</v>
      </c>
      <c r="AP5" s="122"/>
      <c r="AQ5" s="123">
        <v>0</v>
      </c>
      <c r="AR5" s="122"/>
      <c r="AS5" s="123">
        <v>0</v>
      </c>
      <c r="AT5" s="122"/>
      <c r="AU5" s="123">
        <v>0</v>
      </c>
      <c r="AV5" s="122"/>
      <c r="AW5" s="123">
        <v>0</v>
      </c>
      <c r="AX5" s="122"/>
      <c r="AY5" s="123">
        <v>0</v>
      </c>
      <c r="AZ5" s="122"/>
      <c r="BA5" s="123">
        <v>0</v>
      </c>
      <c r="BB5" s="122"/>
      <c r="BC5" s="123">
        <v>0</v>
      </c>
      <c r="BD5" s="122"/>
      <c r="BE5" s="123">
        <v>0</v>
      </c>
      <c r="BF5" s="122">
        <v>0</v>
      </c>
      <c r="BG5" s="123">
        <v>0</v>
      </c>
      <c r="BH5" s="122"/>
      <c r="BI5" s="123">
        <v>0</v>
      </c>
      <c r="BJ5" s="122"/>
      <c r="BK5" s="123">
        <v>0</v>
      </c>
      <c r="BL5" s="122"/>
      <c r="BM5" s="123">
        <v>0</v>
      </c>
      <c r="BN5" s="122"/>
      <c r="BO5" s="123">
        <v>0</v>
      </c>
      <c r="BP5" s="122"/>
      <c r="BQ5" s="123">
        <v>0</v>
      </c>
      <c r="BR5" s="124">
        <f>BR4</f>
        <v>2258.6</v>
      </c>
      <c r="BS5" s="124">
        <f t="shared" ref="BS5:DX5" si="0">BS4</f>
        <v>1581.0199999999998</v>
      </c>
      <c r="BT5" s="124">
        <f t="shared" si="0"/>
        <v>1452</v>
      </c>
      <c r="BU5" s="124">
        <f t="shared" si="0"/>
        <v>1016.4</v>
      </c>
      <c r="BV5" s="124">
        <f t="shared" si="0"/>
        <v>2598</v>
      </c>
      <c r="BW5" s="124">
        <f t="shared" si="0"/>
        <v>1818.6</v>
      </c>
      <c r="BX5" s="124">
        <f t="shared" si="0"/>
        <v>2496</v>
      </c>
      <c r="BY5" s="124">
        <f t="shared" si="0"/>
        <v>1747.1999999999998</v>
      </c>
      <c r="BZ5" s="124">
        <f t="shared" si="0"/>
        <v>1668</v>
      </c>
      <c r="CA5" s="124">
        <f t="shared" si="0"/>
        <v>1167.5999999999999</v>
      </c>
      <c r="CB5" s="124">
        <f t="shared" si="0"/>
        <v>948</v>
      </c>
      <c r="CC5" s="124">
        <f t="shared" si="0"/>
        <v>663.59999999999991</v>
      </c>
      <c r="CD5" s="124">
        <f t="shared" si="0"/>
        <v>1212</v>
      </c>
      <c r="CE5" s="124">
        <f t="shared" si="0"/>
        <v>848.4</v>
      </c>
      <c r="CF5" s="124">
        <f t="shared" si="0"/>
        <v>3264</v>
      </c>
      <c r="CG5" s="124">
        <f t="shared" si="0"/>
        <v>2284.7999999999997</v>
      </c>
      <c r="CH5" s="124">
        <f t="shared" si="0"/>
        <v>2077.5833333333335</v>
      </c>
      <c r="CI5" s="124">
        <f t="shared" si="0"/>
        <v>1454.3083333333334</v>
      </c>
      <c r="CJ5" s="124">
        <f t="shared" si="0"/>
        <v>2078</v>
      </c>
      <c r="CK5" s="124">
        <f t="shared" si="0"/>
        <v>1454.6</v>
      </c>
      <c r="CL5" s="124">
        <f t="shared" si="0"/>
        <v>1308</v>
      </c>
      <c r="CM5" s="124">
        <f t="shared" si="0"/>
        <v>915.59999999999991</v>
      </c>
      <c r="CN5" s="124">
        <f t="shared" si="0"/>
        <v>1860</v>
      </c>
      <c r="CO5" s="124">
        <f t="shared" si="0"/>
        <v>1302</v>
      </c>
      <c r="CP5" s="124">
        <f t="shared" si="0"/>
        <v>840</v>
      </c>
      <c r="CQ5" s="124">
        <f t="shared" si="0"/>
        <v>588</v>
      </c>
      <c r="CR5" s="124">
        <f t="shared" si="0"/>
        <v>358</v>
      </c>
      <c r="CS5" s="124">
        <f t="shared" si="0"/>
        <v>250.6</v>
      </c>
      <c r="CT5" s="124">
        <f t="shared" si="0"/>
        <v>2640</v>
      </c>
      <c r="CU5" s="124">
        <f t="shared" si="0"/>
        <v>1847.9999999999998</v>
      </c>
      <c r="CV5" s="124">
        <f t="shared" si="0"/>
        <v>0</v>
      </c>
      <c r="CW5" s="124">
        <f t="shared" si="0"/>
        <v>0</v>
      </c>
      <c r="CX5" s="124">
        <f t="shared" si="0"/>
        <v>0</v>
      </c>
      <c r="CY5" s="124">
        <f t="shared" si="0"/>
        <v>0</v>
      </c>
      <c r="CZ5" s="124">
        <f t="shared" si="0"/>
        <v>0</v>
      </c>
      <c r="DA5" s="124">
        <f t="shared" si="0"/>
        <v>0</v>
      </c>
      <c r="DB5" s="124">
        <f t="shared" si="0"/>
        <v>0</v>
      </c>
      <c r="DC5" s="124">
        <f t="shared" si="0"/>
        <v>0</v>
      </c>
      <c r="DD5" s="124">
        <f t="shared" si="0"/>
        <v>0</v>
      </c>
      <c r="DE5" s="124">
        <f t="shared" si="0"/>
        <v>0</v>
      </c>
      <c r="DF5" s="124">
        <f t="shared" si="0"/>
        <v>0</v>
      </c>
      <c r="DG5" s="124">
        <f t="shared" si="0"/>
        <v>0</v>
      </c>
      <c r="DH5" s="124">
        <f t="shared" si="0"/>
        <v>0</v>
      </c>
      <c r="DI5" s="124">
        <f t="shared" si="0"/>
        <v>0</v>
      </c>
      <c r="DJ5" s="214">
        <v>0.26</v>
      </c>
      <c r="DK5" s="214">
        <f t="shared" si="0"/>
        <v>0.26</v>
      </c>
      <c r="DL5" s="124">
        <f t="shared" si="0"/>
        <v>7006</v>
      </c>
      <c r="DM5" s="124">
        <f t="shared" si="0"/>
        <v>4904.2</v>
      </c>
      <c r="DN5" s="124">
        <f t="shared" si="0"/>
        <v>1401.2</v>
      </c>
      <c r="DO5" s="124">
        <f t="shared" si="0"/>
        <v>980.83999999999992</v>
      </c>
      <c r="DP5" s="214">
        <f t="shared" si="0"/>
        <v>0.1662551240441475</v>
      </c>
      <c r="DQ5" s="214">
        <f t="shared" si="0"/>
        <v>-9.1735649247734419E-2</v>
      </c>
      <c r="DR5" s="124">
        <f t="shared" si="0"/>
        <v>-37.961569113610196</v>
      </c>
      <c r="DS5" s="124">
        <f t="shared" si="0"/>
        <v>-32.556255264530108</v>
      </c>
      <c r="DT5" s="124">
        <f t="shared" si="0"/>
        <v>-473.46833333333348</v>
      </c>
      <c r="DU5" s="124">
        <f t="shared" si="0"/>
        <v>-600.17999999999984</v>
      </c>
      <c r="DV5" s="124">
        <f t="shared" si="0"/>
        <v>-33.819166666666675</v>
      </c>
      <c r="DW5" s="124">
        <f t="shared" si="0"/>
        <v>-42.86999999999999</v>
      </c>
      <c r="DX5" s="215">
        <f t="shared" si="0"/>
        <v>-214.34999999999997</v>
      </c>
    </row>
    <row r="6" spans="1:128">
      <c r="A6" s="92">
        <v>3</v>
      </c>
      <c r="B6" s="93" t="s">
        <v>17</v>
      </c>
      <c r="C6" s="93" t="s">
        <v>16</v>
      </c>
      <c r="D6" s="92">
        <v>30</v>
      </c>
      <c r="E6" s="92">
        <v>1</v>
      </c>
      <c r="F6" s="92" t="s">
        <v>15</v>
      </c>
      <c r="G6" s="92">
        <v>1580</v>
      </c>
      <c r="H6" s="56">
        <v>972</v>
      </c>
      <c r="I6" s="57">
        <v>972</v>
      </c>
      <c r="J6" s="56">
        <v>468</v>
      </c>
      <c r="K6" s="57">
        <v>468</v>
      </c>
      <c r="L6" s="56"/>
      <c r="M6" s="57">
        <v>0</v>
      </c>
      <c r="N6" s="56">
        <v>420</v>
      </c>
      <c r="O6" s="57">
        <v>420</v>
      </c>
      <c r="P6" s="56">
        <v>600</v>
      </c>
      <c r="Q6" s="57">
        <v>600</v>
      </c>
      <c r="R6" s="56"/>
      <c r="S6" s="57">
        <v>0</v>
      </c>
      <c r="T6" s="56"/>
      <c r="U6" s="57">
        <v>0</v>
      </c>
      <c r="V6" s="56">
        <v>420</v>
      </c>
      <c r="W6" s="57">
        <v>420</v>
      </c>
      <c r="X6" s="56">
        <v>288</v>
      </c>
      <c r="Y6" s="57">
        <v>288</v>
      </c>
      <c r="Z6" s="56">
        <v>180</v>
      </c>
      <c r="AA6" s="57">
        <v>180</v>
      </c>
      <c r="AB6" s="56"/>
      <c r="AC6" s="57">
        <v>0</v>
      </c>
      <c r="AD6" s="56">
        <v>120</v>
      </c>
      <c r="AE6" s="57">
        <v>120</v>
      </c>
      <c r="AF6" s="58">
        <v>289</v>
      </c>
      <c r="AG6" s="59">
        <v>289</v>
      </c>
      <c r="AH6" s="56">
        <v>120</v>
      </c>
      <c r="AI6" s="57">
        <v>120</v>
      </c>
      <c r="AJ6" s="56"/>
      <c r="AK6" s="57">
        <v>0</v>
      </c>
      <c r="AL6" s="56">
        <v>60</v>
      </c>
      <c r="AM6" s="57">
        <v>60</v>
      </c>
      <c r="AN6" s="56"/>
      <c r="AO6" s="57">
        <v>0</v>
      </c>
      <c r="AP6" s="56">
        <v>300</v>
      </c>
      <c r="AQ6" s="57">
        <v>300</v>
      </c>
      <c r="AR6" s="56"/>
      <c r="AS6" s="57">
        <v>0</v>
      </c>
      <c r="AT6" s="56"/>
      <c r="AU6" s="57">
        <v>0</v>
      </c>
      <c r="AV6" s="56"/>
      <c r="AW6" s="57">
        <v>0</v>
      </c>
      <c r="AX6" s="56">
        <v>180</v>
      </c>
      <c r="AY6" s="57">
        <v>180</v>
      </c>
      <c r="AZ6" s="56">
        <v>12</v>
      </c>
      <c r="BA6" s="57">
        <v>12</v>
      </c>
      <c r="BB6" s="56">
        <v>828</v>
      </c>
      <c r="BC6" s="57">
        <v>828</v>
      </c>
      <c r="BD6" s="56">
        <v>600</v>
      </c>
      <c r="BE6" s="57">
        <v>600</v>
      </c>
      <c r="BF6" s="58">
        <v>175</v>
      </c>
      <c r="BG6" s="59">
        <v>175</v>
      </c>
      <c r="BH6" s="56"/>
      <c r="BI6" s="57">
        <v>0</v>
      </c>
      <c r="BJ6" s="56">
        <v>240</v>
      </c>
      <c r="BK6" s="57">
        <v>240</v>
      </c>
      <c r="BL6" s="56"/>
      <c r="BM6" s="57">
        <v>0</v>
      </c>
      <c r="BN6" s="56"/>
      <c r="BO6" s="57">
        <v>0</v>
      </c>
      <c r="BP6" s="56">
        <v>660</v>
      </c>
      <c r="BQ6" s="57">
        <v>660</v>
      </c>
      <c r="BR6" s="60">
        <v>180</v>
      </c>
      <c r="BS6" s="57">
        <v>180</v>
      </c>
      <c r="BT6" s="56"/>
      <c r="BU6" s="57">
        <v>0</v>
      </c>
      <c r="BV6" s="56"/>
      <c r="BW6" s="57">
        <v>0</v>
      </c>
      <c r="BX6" s="56"/>
      <c r="BY6" s="57">
        <v>0</v>
      </c>
      <c r="BZ6" s="56"/>
      <c r="CA6" s="57">
        <v>0</v>
      </c>
      <c r="CB6" s="56"/>
      <c r="CC6" s="57">
        <v>0</v>
      </c>
      <c r="CD6" s="56"/>
      <c r="CE6" s="57">
        <v>0</v>
      </c>
      <c r="CF6" s="56"/>
      <c r="CG6" s="57">
        <v>0</v>
      </c>
      <c r="CH6" s="58">
        <v>75</v>
      </c>
      <c r="CI6" s="59">
        <v>75</v>
      </c>
      <c r="CJ6" s="94">
        <v>75</v>
      </c>
      <c r="CK6" s="57">
        <v>75</v>
      </c>
      <c r="CL6" s="61"/>
      <c r="CM6" s="57">
        <v>0</v>
      </c>
      <c r="CN6" s="61"/>
      <c r="CO6" s="95">
        <v>0</v>
      </c>
      <c r="CP6" s="61"/>
      <c r="CQ6" s="95">
        <v>0</v>
      </c>
      <c r="CR6" s="61"/>
      <c r="CS6" s="95">
        <v>0</v>
      </c>
      <c r="CT6" s="61"/>
      <c r="CU6" s="95">
        <v>0</v>
      </c>
      <c r="CV6" s="61"/>
      <c r="CW6" s="95">
        <v>0</v>
      </c>
      <c r="CX6" s="61"/>
      <c r="CY6" s="95">
        <v>0</v>
      </c>
      <c r="CZ6" s="61"/>
      <c r="DA6" s="95">
        <v>0</v>
      </c>
      <c r="DB6" s="61"/>
      <c r="DC6" s="95">
        <v>0</v>
      </c>
      <c r="DD6" s="61"/>
      <c r="DE6" s="95">
        <v>0</v>
      </c>
      <c r="DF6" s="61"/>
      <c r="DG6" s="95">
        <v>0</v>
      </c>
      <c r="DH6" s="61"/>
      <c r="DI6" s="95">
        <v>0</v>
      </c>
      <c r="DJ6" s="95">
        <v>1.3304818210414671E-2</v>
      </c>
      <c r="DK6" s="95"/>
      <c r="DL6" s="63">
        <v>0</v>
      </c>
      <c r="DM6" s="62">
        <v>0</v>
      </c>
      <c r="DN6" s="96">
        <v>0</v>
      </c>
      <c r="DO6" s="96">
        <v>0</v>
      </c>
      <c r="DP6" s="97">
        <v>0</v>
      </c>
      <c r="DQ6" s="98">
        <v>-1.3304818210414671E-2</v>
      </c>
      <c r="DR6" s="99">
        <v>-100</v>
      </c>
      <c r="DS6" s="99">
        <v>-100</v>
      </c>
      <c r="DT6" s="100">
        <v>-75</v>
      </c>
      <c r="DU6" s="100">
        <v>-180</v>
      </c>
      <c r="DV6" s="100">
        <v>-5.3571428571428568</v>
      </c>
      <c r="DW6" s="100">
        <v>-12.857142857142858</v>
      </c>
      <c r="DX6" s="100">
        <v>-64.285714285714292</v>
      </c>
    </row>
    <row r="7" spans="1:128" ht="20.399999999999999" thickBot="1">
      <c r="A7" s="73">
        <v>8</v>
      </c>
      <c r="B7" s="74" t="s">
        <v>19</v>
      </c>
      <c r="C7" s="74" t="s">
        <v>14</v>
      </c>
      <c r="D7" s="73">
        <v>2</v>
      </c>
      <c r="E7" s="73">
        <v>0.64</v>
      </c>
      <c r="F7" s="73" t="s">
        <v>20</v>
      </c>
      <c r="G7" s="73">
        <v>1230</v>
      </c>
      <c r="H7" s="75"/>
      <c r="I7" s="76">
        <v>0</v>
      </c>
      <c r="J7" s="75"/>
      <c r="K7" s="76">
        <v>0</v>
      </c>
      <c r="L7" s="75"/>
      <c r="M7" s="76">
        <v>0</v>
      </c>
      <c r="N7" s="75"/>
      <c r="O7" s="76">
        <v>0</v>
      </c>
      <c r="P7" s="75"/>
      <c r="Q7" s="76">
        <v>0</v>
      </c>
      <c r="R7" s="75"/>
      <c r="S7" s="76">
        <v>0</v>
      </c>
      <c r="T7" s="75"/>
      <c r="U7" s="76">
        <v>0</v>
      </c>
      <c r="V7" s="75"/>
      <c r="W7" s="76">
        <v>0</v>
      </c>
      <c r="X7" s="75"/>
      <c r="Y7" s="76">
        <v>0</v>
      </c>
      <c r="Z7" s="75"/>
      <c r="AA7" s="76">
        <v>0</v>
      </c>
      <c r="AB7" s="75"/>
      <c r="AC7" s="76">
        <v>0</v>
      </c>
      <c r="AD7" s="75"/>
      <c r="AE7" s="76">
        <v>0</v>
      </c>
      <c r="AF7" s="77">
        <v>0</v>
      </c>
      <c r="AG7" s="78">
        <v>0</v>
      </c>
      <c r="AH7" s="75"/>
      <c r="AI7" s="76">
        <v>0</v>
      </c>
      <c r="AJ7" s="75"/>
      <c r="AK7" s="76">
        <v>0</v>
      </c>
      <c r="AL7" s="75"/>
      <c r="AM7" s="76">
        <v>0</v>
      </c>
      <c r="AN7" s="75"/>
      <c r="AO7" s="76">
        <v>0</v>
      </c>
      <c r="AP7" s="75"/>
      <c r="AQ7" s="76">
        <v>0</v>
      </c>
      <c r="AR7" s="75"/>
      <c r="AS7" s="76">
        <v>0</v>
      </c>
      <c r="AT7" s="75"/>
      <c r="AU7" s="76">
        <v>0</v>
      </c>
      <c r="AV7" s="75"/>
      <c r="AW7" s="76">
        <v>0</v>
      </c>
      <c r="AX7" s="75"/>
      <c r="AY7" s="76">
        <v>0</v>
      </c>
      <c r="AZ7" s="75"/>
      <c r="BA7" s="76">
        <v>0</v>
      </c>
      <c r="BB7" s="75"/>
      <c r="BC7" s="76">
        <v>0</v>
      </c>
      <c r="BD7" s="75"/>
      <c r="BE7" s="76">
        <v>0</v>
      </c>
      <c r="BF7" s="77">
        <v>0</v>
      </c>
      <c r="BG7" s="78">
        <v>0</v>
      </c>
      <c r="BH7" s="75">
        <v>175070</v>
      </c>
      <c r="BI7" s="76">
        <v>112044.8</v>
      </c>
      <c r="BJ7" s="75">
        <v>155676</v>
      </c>
      <c r="BK7" s="76">
        <v>99632.639999999999</v>
      </c>
      <c r="BL7" s="75">
        <v>162568</v>
      </c>
      <c r="BM7" s="76">
        <v>104043.52</v>
      </c>
      <c r="BN7" s="75">
        <v>148862</v>
      </c>
      <c r="BO7" s="76">
        <v>95271.680000000008</v>
      </c>
      <c r="BP7" s="75">
        <v>160404</v>
      </c>
      <c r="BQ7" s="76">
        <v>102658.56</v>
      </c>
      <c r="BR7" s="79">
        <v>160516</v>
      </c>
      <c r="BS7" s="76">
        <v>102730.24000000001</v>
      </c>
      <c r="BT7" s="75">
        <v>149233</v>
      </c>
      <c r="BU7" s="76">
        <v>95509.119999999995</v>
      </c>
      <c r="BV7" s="75">
        <v>157353</v>
      </c>
      <c r="BW7" s="76">
        <v>100705.92</v>
      </c>
      <c r="BX7" s="75">
        <v>179116</v>
      </c>
      <c r="BY7" s="76">
        <v>114634.24000000001</v>
      </c>
      <c r="BZ7" s="75">
        <v>170683</v>
      </c>
      <c r="CA7" s="76">
        <v>109237.12</v>
      </c>
      <c r="CB7" s="75">
        <v>185136</v>
      </c>
      <c r="CC7" s="76">
        <v>118487.04000000001</v>
      </c>
      <c r="CD7" s="75">
        <v>155498</v>
      </c>
      <c r="CE7" s="76">
        <v>99518.720000000001</v>
      </c>
      <c r="CF7" s="75">
        <v>193405</v>
      </c>
      <c r="CG7" s="76">
        <v>123779.2</v>
      </c>
      <c r="CH7" s="77">
        <v>166083.66666666666</v>
      </c>
      <c r="CI7" s="78">
        <v>106293.54666666666</v>
      </c>
      <c r="CJ7" s="80">
        <v>166084</v>
      </c>
      <c r="CK7" s="76">
        <v>106293.76000000001</v>
      </c>
      <c r="CL7" s="82">
        <v>179189</v>
      </c>
      <c r="CM7" s="76">
        <v>114680.96000000001</v>
      </c>
      <c r="CN7" s="82">
        <v>156743</v>
      </c>
      <c r="CO7" s="83">
        <v>100315.52</v>
      </c>
      <c r="CP7" s="82">
        <v>209757</v>
      </c>
      <c r="CQ7" s="83">
        <v>134244.48000000001</v>
      </c>
      <c r="CR7" s="82">
        <v>163352</v>
      </c>
      <c r="CS7" s="83">
        <v>104545.28</v>
      </c>
      <c r="CT7" s="82">
        <v>167668</v>
      </c>
      <c r="CU7" s="83">
        <v>107307.52</v>
      </c>
      <c r="CV7" s="82"/>
      <c r="CW7" s="83">
        <v>0</v>
      </c>
      <c r="CX7" s="82"/>
      <c r="CY7" s="83">
        <v>0</v>
      </c>
      <c r="CZ7" s="82"/>
      <c r="DA7" s="83">
        <v>0</v>
      </c>
      <c r="DB7" s="82"/>
      <c r="DC7" s="83">
        <v>0</v>
      </c>
      <c r="DD7" s="82"/>
      <c r="DE7" s="83">
        <v>0</v>
      </c>
      <c r="DF7" s="82"/>
      <c r="DG7" s="83">
        <v>0</v>
      </c>
      <c r="DH7" s="82"/>
      <c r="DI7" s="83">
        <v>0</v>
      </c>
      <c r="DJ7" s="83">
        <v>18.856217537869711</v>
      </c>
      <c r="DK7" s="83">
        <v>18.87</v>
      </c>
      <c r="DL7" s="84">
        <v>876709</v>
      </c>
      <c r="DM7" s="85">
        <v>561093.76</v>
      </c>
      <c r="DN7" s="86">
        <v>175341.8</v>
      </c>
      <c r="DO7" s="86">
        <v>112218.75200000001</v>
      </c>
      <c r="DP7" s="87">
        <v>19.021392412462202</v>
      </c>
      <c r="DQ7" s="88">
        <v>0.16517487459249125</v>
      </c>
      <c r="DR7" s="89">
        <v>9.2363378105609399</v>
      </c>
      <c r="DS7" s="89">
        <v>5.5743791783659447</v>
      </c>
      <c r="DT7" s="90">
        <v>5925.2053333333461</v>
      </c>
      <c r="DU7" s="90">
        <v>9488.5120000000024</v>
      </c>
      <c r="DV7" s="90">
        <v>423.22895238095327</v>
      </c>
      <c r="DW7" s="90">
        <v>677.75085714285728</v>
      </c>
      <c r="DX7" s="90">
        <v>3388.7542857142862</v>
      </c>
    </row>
    <row r="8" spans="1:128" s="125" customFormat="1" ht="20.399999999999999" thickBot="1">
      <c r="A8" s="119"/>
      <c r="B8" s="120"/>
      <c r="C8" s="120"/>
      <c r="D8" s="121"/>
      <c r="E8" s="121"/>
      <c r="F8" s="121"/>
      <c r="G8" s="121"/>
      <c r="H8" s="122"/>
      <c r="I8" s="123">
        <v>0</v>
      </c>
      <c r="J8" s="122"/>
      <c r="K8" s="123">
        <v>0</v>
      </c>
      <c r="L8" s="122"/>
      <c r="M8" s="123">
        <v>0</v>
      </c>
      <c r="N8" s="122"/>
      <c r="O8" s="123">
        <v>0</v>
      </c>
      <c r="P8" s="122"/>
      <c r="Q8" s="123">
        <v>0</v>
      </c>
      <c r="R8" s="122"/>
      <c r="S8" s="123">
        <v>0</v>
      </c>
      <c r="T8" s="122"/>
      <c r="U8" s="123">
        <v>0</v>
      </c>
      <c r="V8" s="122"/>
      <c r="W8" s="123">
        <v>0</v>
      </c>
      <c r="X8" s="122"/>
      <c r="Y8" s="123">
        <v>0</v>
      </c>
      <c r="Z8" s="122"/>
      <c r="AA8" s="123">
        <v>0</v>
      </c>
      <c r="AB8" s="122"/>
      <c r="AC8" s="123">
        <v>0</v>
      </c>
      <c r="AD8" s="122"/>
      <c r="AE8" s="123">
        <v>0</v>
      </c>
      <c r="AF8" s="122">
        <v>0</v>
      </c>
      <c r="AG8" s="123">
        <v>0</v>
      </c>
      <c r="AH8" s="122"/>
      <c r="AI8" s="123">
        <v>0</v>
      </c>
      <c r="AJ8" s="122"/>
      <c r="AK8" s="123">
        <v>0</v>
      </c>
      <c r="AL8" s="122"/>
      <c r="AM8" s="123">
        <v>0</v>
      </c>
      <c r="AN8" s="122"/>
      <c r="AO8" s="123">
        <v>0</v>
      </c>
      <c r="AP8" s="122"/>
      <c r="AQ8" s="123">
        <v>0</v>
      </c>
      <c r="AR8" s="122"/>
      <c r="AS8" s="123">
        <v>0</v>
      </c>
      <c r="AT8" s="122"/>
      <c r="AU8" s="123">
        <v>0</v>
      </c>
      <c r="AV8" s="122"/>
      <c r="AW8" s="123">
        <v>0</v>
      </c>
      <c r="AX8" s="122"/>
      <c r="AY8" s="123">
        <v>0</v>
      </c>
      <c r="AZ8" s="122"/>
      <c r="BA8" s="123">
        <v>0</v>
      </c>
      <c r="BB8" s="122"/>
      <c r="BC8" s="123">
        <v>0</v>
      </c>
      <c r="BD8" s="122"/>
      <c r="BE8" s="123">
        <v>0</v>
      </c>
      <c r="BF8" s="122">
        <v>0</v>
      </c>
      <c r="BG8" s="123">
        <v>0</v>
      </c>
      <c r="BH8" s="122"/>
      <c r="BI8" s="123">
        <v>0</v>
      </c>
      <c r="BJ8" s="122"/>
      <c r="BK8" s="123">
        <v>0</v>
      </c>
      <c r="BL8" s="122"/>
      <c r="BM8" s="123">
        <v>0</v>
      </c>
      <c r="BN8" s="122"/>
      <c r="BO8" s="123">
        <v>0</v>
      </c>
      <c r="BP8" s="122"/>
      <c r="BQ8" s="123">
        <v>0</v>
      </c>
      <c r="BR8" s="124">
        <f>BR6+BR7</f>
        <v>160696</v>
      </c>
      <c r="BS8" s="124">
        <f t="shared" ref="BS8:DX8" si="1">BS6+BS7</f>
        <v>102910.24</v>
      </c>
      <c r="BT8" s="124">
        <f t="shared" si="1"/>
        <v>149233</v>
      </c>
      <c r="BU8" s="124">
        <f t="shared" si="1"/>
        <v>95509.119999999995</v>
      </c>
      <c r="BV8" s="124">
        <f t="shared" si="1"/>
        <v>157353</v>
      </c>
      <c r="BW8" s="124">
        <f t="shared" si="1"/>
        <v>100705.92</v>
      </c>
      <c r="BX8" s="124">
        <f t="shared" si="1"/>
        <v>179116</v>
      </c>
      <c r="BY8" s="124">
        <f t="shared" si="1"/>
        <v>114634.24000000001</v>
      </c>
      <c r="BZ8" s="124">
        <f t="shared" si="1"/>
        <v>170683</v>
      </c>
      <c r="CA8" s="124">
        <f t="shared" si="1"/>
        <v>109237.12</v>
      </c>
      <c r="CB8" s="124">
        <f t="shared" si="1"/>
        <v>185136</v>
      </c>
      <c r="CC8" s="124">
        <f t="shared" si="1"/>
        <v>118487.04000000001</v>
      </c>
      <c r="CD8" s="124">
        <f t="shared" si="1"/>
        <v>155498</v>
      </c>
      <c r="CE8" s="124">
        <f t="shared" si="1"/>
        <v>99518.720000000001</v>
      </c>
      <c r="CF8" s="124">
        <f t="shared" si="1"/>
        <v>193405</v>
      </c>
      <c r="CG8" s="124">
        <f t="shared" si="1"/>
        <v>123779.2</v>
      </c>
      <c r="CH8" s="124">
        <f t="shared" si="1"/>
        <v>166158.66666666666</v>
      </c>
      <c r="CI8" s="124">
        <f t="shared" si="1"/>
        <v>106368.54666666666</v>
      </c>
      <c r="CJ8" s="124">
        <f t="shared" si="1"/>
        <v>166159</v>
      </c>
      <c r="CK8" s="124">
        <f t="shared" si="1"/>
        <v>106368.76000000001</v>
      </c>
      <c r="CL8" s="124">
        <f t="shared" si="1"/>
        <v>179189</v>
      </c>
      <c r="CM8" s="124">
        <f t="shared" si="1"/>
        <v>114680.96000000001</v>
      </c>
      <c r="CN8" s="124">
        <f t="shared" si="1"/>
        <v>156743</v>
      </c>
      <c r="CO8" s="124">
        <f t="shared" si="1"/>
        <v>100315.52</v>
      </c>
      <c r="CP8" s="124">
        <f t="shared" si="1"/>
        <v>209757</v>
      </c>
      <c r="CQ8" s="124">
        <f t="shared" si="1"/>
        <v>134244.48000000001</v>
      </c>
      <c r="CR8" s="124">
        <f t="shared" si="1"/>
        <v>163352</v>
      </c>
      <c r="CS8" s="124">
        <f t="shared" si="1"/>
        <v>104545.28</v>
      </c>
      <c r="CT8" s="124">
        <f t="shared" si="1"/>
        <v>167668</v>
      </c>
      <c r="CU8" s="124">
        <f t="shared" si="1"/>
        <v>107307.52</v>
      </c>
      <c r="CV8" s="124">
        <f t="shared" si="1"/>
        <v>0</v>
      </c>
      <c r="CW8" s="124">
        <f t="shared" si="1"/>
        <v>0</v>
      </c>
      <c r="CX8" s="124">
        <f t="shared" si="1"/>
        <v>0</v>
      </c>
      <c r="CY8" s="124">
        <f t="shared" si="1"/>
        <v>0</v>
      </c>
      <c r="CZ8" s="124">
        <f t="shared" si="1"/>
        <v>0</v>
      </c>
      <c r="DA8" s="124">
        <f t="shared" si="1"/>
        <v>0</v>
      </c>
      <c r="DB8" s="124">
        <f t="shared" si="1"/>
        <v>0</v>
      </c>
      <c r="DC8" s="124">
        <f t="shared" si="1"/>
        <v>0</v>
      </c>
      <c r="DD8" s="124">
        <f t="shared" si="1"/>
        <v>0</v>
      </c>
      <c r="DE8" s="124">
        <f t="shared" si="1"/>
        <v>0</v>
      </c>
      <c r="DF8" s="124">
        <f t="shared" si="1"/>
        <v>0</v>
      </c>
      <c r="DG8" s="124">
        <f t="shared" si="1"/>
        <v>0</v>
      </c>
      <c r="DH8" s="124">
        <f t="shared" si="1"/>
        <v>0</v>
      </c>
      <c r="DI8" s="124">
        <f t="shared" si="1"/>
        <v>0</v>
      </c>
      <c r="DJ8" s="214">
        <f>SUM(DJ6:DJ7)</f>
        <v>18.869522356080125</v>
      </c>
      <c r="DK8" s="214">
        <f t="shared" si="1"/>
        <v>18.87</v>
      </c>
      <c r="DL8" s="124">
        <f t="shared" si="1"/>
        <v>876709</v>
      </c>
      <c r="DM8" s="124">
        <f t="shared" si="1"/>
        <v>561093.76</v>
      </c>
      <c r="DN8" s="124">
        <f t="shared" si="1"/>
        <v>175341.8</v>
      </c>
      <c r="DO8" s="124">
        <f t="shared" si="1"/>
        <v>112218.75200000001</v>
      </c>
      <c r="DP8" s="214">
        <f t="shared" si="1"/>
        <v>19.021392412462202</v>
      </c>
      <c r="DQ8" s="214">
        <f t="shared" si="1"/>
        <v>0.15187005638207657</v>
      </c>
      <c r="DR8" s="124">
        <f t="shared" si="1"/>
        <v>-90.76366218943906</v>
      </c>
      <c r="DS8" s="124">
        <f t="shared" si="1"/>
        <v>-94.425620821634055</v>
      </c>
      <c r="DT8" s="124">
        <f t="shared" si="1"/>
        <v>5850.2053333333461</v>
      </c>
      <c r="DU8" s="124">
        <f t="shared" si="1"/>
        <v>9308.5120000000024</v>
      </c>
      <c r="DV8" s="124">
        <f t="shared" si="1"/>
        <v>417.87180952381044</v>
      </c>
      <c r="DW8" s="124">
        <f t="shared" si="1"/>
        <v>664.8937142857144</v>
      </c>
      <c r="DX8" s="215">
        <f t="shared" si="1"/>
        <v>3324.468571428572</v>
      </c>
    </row>
    <row r="9" spans="1:128">
      <c r="A9" s="92">
        <v>11</v>
      </c>
      <c r="B9" s="93" t="s">
        <v>21</v>
      </c>
      <c r="C9" s="93" t="s">
        <v>16</v>
      </c>
      <c r="D9" s="92">
        <v>9</v>
      </c>
      <c r="E9" s="92">
        <v>1</v>
      </c>
      <c r="F9" s="92" t="s">
        <v>15</v>
      </c>
      <c r="G9" s="92">
        <v>1530</v>
      </c>
      <c r="H9" s="56">
        <v>8475</v>
      </c>
      <c r="I9" s="57">
        <v>8475</v>
      </c>
      <c r="J9" s="56">
        <v>7344</v>
      </c>
      <c r="K9" s="57">
        <v>7344</v>
      </c>
      <c r="L9" s="56">
        <v>14040</v>
      </c>
      <c r="M9" s="57">
        <v>14040</v>
      </c>
      <c r="N9" s="56">
        <v>10788</v>
      </c>
      <c r="O9" s="57">
        <v>10788</v>
      </c>
      <c r="P9" s="56">
        <v>5844</v>
      </c>
      <c r="Q9" s="57">
        <v>5844</v>
      </c>
      <c r="R9" s="56">
        <v>7104</v>
      </c>
      <c r="S9" s="57">
        <v>7104</v>
      </c>
      <c r="T9" s="56">
        <v>10047</v>
      </c>
      <c r="U9" s="57">
        <v>10047</v>
      </c>
      <c r="V9" s="56">
        <v>12900</v>
      </c>
      <c r="W9" s="57">
        <v>12900</v>
      </c>
      <c r="X9" s="56">
        <v>8244</v>
      </c>
      <c r="Y9" s="57">
        <v>8244</v>
      </c>
      <c r="Z9" s="56">
        <v>9120</v>
      </c>
      <c r="AA9" s="57">
        <v>9120</v>
      </c>
      <c r="AB9" s="56">
        <v>13236</v>
      </c>
      <c r="AC9" s="57">
        <v>13236</v>
      </c>
      <c r="AD9" s="56">
        <v>10632</v>
      </c>
      <c r="AE9" s="57">
        <v>10632</v>
      </c>
      <c r="AF9" s="58">
        <v>9814.5</v>
      </c>
      <c r="AG9" s="59">
        <v>9814.5</v>
      </c>
      <c r="AH9" s="56">
        <v>12312</v>
      </c>
      <c r="AI9" s="57">
        <v>12312</v>
      </c>
      <c r="AJ9" s="56">
        <v>6684</v>
      </c>
      <c r="AK9" s="57">
        <v>6684</v>
      </c>
      <c r="AL9" s="56">
        <v>12432</v>
      </c>
      <c r="AM9" s="57">
        <v>12432</v>
      </c>
      <c r="AN9" s="56">
        <v>12108</v>
      </c>
      <c r="AO9" s="57">
        <v>12108</v>
      </c>
      <c r="AP9" s="56">
        <v>12456</v>
      </c>
      <c r="AQ9" s="57">
        <v>12456</v>
      </c>
      <c r="AR9" s="56">
        <v>13150</v>
      </c>
      <c r="AS9" s="57">
        <v>13150</v>
      </c>
      <c r="AT9" s="56">
        <v>15358</v>
      </c>
      <c r="AU9" s="57">
        <v>15358</v>
      </c>
      <c r="AV9" s="56">
        <v>10075</v>
      </c>
      <c r="AW9" s="57">
        <v>10075</v>
      </c>
      <c r="AX9" s="56">
        <v>13018</v>
      </c>
      <c r="AY9" s="57">
        <v>13018</v>
      </c>
      <c r="AZ9" s="56">
        <v>10356</v>
      </c>
      <c r="BA9" s="57">
        <v>10356</v>
      </c>
      <c r="BB9" s="56">
        <v>16800</v>
      </c>
      <c r="BC9" s="57">
        <v>16800</v>
      </c>
      <c r="BD9" s="56">
        <v>16884</v>
      </c>
      <c r="BE9" s="57">
        <v>16884</v>
      </c>
      <c r="BF9" s="58">
        <v>12636.083333333334</v>
      </c>
      <c r="BG9" s="59">
        <v>12636.083333333334</v>
      </c>
      <c r="BH9" s="56">
        <v>15300</v>
      </c>
      <c r="BI9" s="57">
        <v>15300</v>
      </c>
      <c r="BJ9" s="56">
        <v>13344</v>
      </c>
      <c r="BK9" s="57">
        <v>13344</v>
      </c>
      <c r="BL9" s="56">
        <v>11724</v>
      </c>
      <c r="BM9" s="57">
        <v>11724</v>
      </c>
      <c r="BN9" s="56">
        <v>18996</v>
      </c>
      <c r="BO9" s="57">
        <v>18996</v>
      </c>
      <c r="BP9" s="56">
        <v>9228</v>
      </c>
      <c r="BQ9" s="57">
        <v>9228</v>
      </c>
      <c r="BR9" s="60">
        <v>13718.4</v>
      </c>
      <c r="BS9" s="57">
        <v>13718.4</v>
      </c>
      <c r="BT9" s="56">
        <v>13296</v>
      </c>
      <c r="BU9" s="57">
        <v>13296</v>
      </c>
      <c r="BV9" s="56">
        <v>18504</v>
      </c>
      <c r="BW9" s="57">
        <v>18504</v>
      </c>
      <c r="BX9" s="56">
        <v>21840</v>
      </c>
      <c r="BY9" s="57">
        <v>21840</v>
      </c>
      <c r="BZ9" s="56">
        <v>19896</v>
      </c>
      <c r="CA9" s="57">
        <v>19896</v>
      </c>
      <c r="CB9" s="56">
        <v>28848</v>
      </c>
      <c r="CC9" s="57">
        <v>28848</v>
      </c>
      <c r="CD9" s="56">
        <v>25560</v>
      </c>
      <c r="CE9" s="57">
        <v>25560</v>
      </c>
      <c r="CF9" s="56">
        <v>36288</v>
      </c>
      <c r="CG9" s="57">
        <v>36288</v>
      </c>
      <c r="CH9" s="58">
        <v>19402</v>
      </c>
      <c r="CI9" s="59">
        <v>19402</v>
      </c>
      <c r="CJ9" s="94">
        <v>19402</v>
      </c>
      <c r="CK9" s="57">
        <v>19402</v>
      </c>
      <c r="CL9" s="61">
        <v>33792</v>
      </c>
      <c r="CM9" s="57">
        <v>33792</v>
      </c>
      <c r="CN9" s="61">
        <v>20238</v>
      </c>
      <c r="CO9" s="95">
        <v>20238</v>
      </c>
      <c r="CP9" s="61">
        <v>48540</v>
      </c>
      <c r="CQ9" s="95">
        <v>48540</v>
      </c>
      <c r="CR9" s="61">
        <v>22764</v>
      </c>
      <c r="CS9" s="95">
        <v>22764</v>
      </c>
      <c r="CT9" s="61">
        <v>26844</v>
      </c>
      <c r="CU9" s="95">
        <v>26844</v>
      </c>
      <c r="CV9" s="61"/>
      <c r="CW9" s="95">
        <v>0</v>
      </c>
      <c r="CX9" s="61"/>
      <c r="CY9" s="95">
        <v>0</v>
      </c>
      <c r="CZ9" s="61"/>
      <c r="DA9" s="95">
        <v>0</v>
      </c>
      <c r="DB9" s="61"/>
      <c r="DC9" s="95">
        <v>0</v>
      </c>
      <c r="DD9" s="61"/>
      <c r="DE9" s="95">
        <v>0</v>
      </c>
      <c r="DF9" s="61"/>
      <c r="DG9" s="95">
        <v>0</v>
      </c>
      <c r="DH9" s="61"/>
      <c r="DI9" s="95">
        <v>0</v>
      </c>
      <c r="DJ9" s="95">
        <v>3.4418677722462063</v>
      </c>
      <c r="DK9" s="95"/>
      <c r="DL9" s="63">
        <v>152178</v>
      </c>
      <c r="DM9" s="62">
        <v>152178</v>
      </c>
      <c r="DN9" s="96">
        <v>30435.599999999999</v>
      </c>
      <c r="DO9" s="96">
        <v>30435.599999999999</v>
      </c>
      <c r="DP9" s="97">
        <v>5.1589193480670197</v>
      </c>
      <c r="DQ9" s="98">
        <v>1.7170515758208134</v>
      </c>
      <c r="DR9" s="99">
        <v>121.85969209237228</v>
      </c>
      <c r="DS9" s="99">
        <v>56.868364086176683</v>
      </c>
      <c r="DT9" s="100">
        <v>11033.599999999999</v>
      </c>
      <c r="DU9" s="100">
        <v>16717.199999999997</v>
      </c>
      <c r="DV9" s="100">
        <v>788.11428571428564</v>
      </c>
      <c r="DW9" s="100">
        <v>1194.0857142857142</v>
      </c>
      <c r="DX9" s="100">
        <v>5970.4285714285706</v>
      </c>
    </row>
    <row r="10" spans="1:128">
      <c r="A10" s="7">
        <v>13</v>
      </c>
      <c r="B10" s="8" t="s">
        <v>22</v>
      </c>
      <c r="C10" s="8" t="s">
        <v>16</v>
      </c>
      <c r="D10" s="7">
        <v>23</v>
      </c>
      <c r="E10" s="7">
        <v>0.6</v>
      </c>
      <c r="F10" s="7" t="s">
        <v>15</v>
      </c>
      <c r="G10" s="7">
        <v>1090</v>
      </c>
      <c r="H10" s="9">
        <v>1824</v>
      </c>
      <c r="I10" s="10">
        <v>1094.3999999999999</v>
      </c>
      <c r="J10" s="9">
        <v>1464</v>
      </c>
      <c r="K10" s="10">
        <v>878.4</v>
      </c>
      <c r="L10" s="9">
        <v>3360</v>
      </c>
      <c r="M10" s="10">
        <v>2016</v>
      </c>
      <c r="N10" s="9">
        <v>3240</v>
      </c>
      <c r="O10" s="10">
        <v>1944</v>
      </c>
      <c r="P10" s="9">
        <v>660</v>
      </c>
      <c r="Q10" s="10">
        <v>396</v>
      </c>
      <c r="R10" s="9">
        <v>720</v>
      </c>
      <c r="S10" s="10">
        <v>432</v>
      </c>
      <c r="T10" s="9">
        <v>1056</v>
      </c>
      <c r="U10" s="10">
        <v>633.6</v>
      </c>
      <c r="V10" s="9">
        <v>1224</v>
      </c>
      <c r="W10" s="10">
        <v>734.4</v>
      </c>
      <c r="X10" s="9">
        <v>852</v>
      </c>
      <c r="Y10" s="10">
        <v>511.2</v>
      </c>
      <c r="Z10" s="9">
        <v>480</v>
      </c>
      <c r="AA10" s="10">
        <v>288</v>
      </c>
      <c r="AB10" s="9">
        <v>744</v>
      </c>
      <c r="AC10" s="10">
        <v>446.4</v>
      </c>
      <c r="AD10" s="9">
        <v>1608</v>
      </c>
      <c r="AE10" s="10">
        <v>964.8</v>
      </c>
      <c r="AF10" s="11">
        <v>1436</v>
      </c>
      <c r="AG10" s="12">
        <v>861.6</v>
      </c>
      <c r="AH10" s="9">
        <v>1488</v>
      </c>
      <c r="AI10" s="10">
        <v>892.8</v>
      </c>
      <c r="AJ10" s="9">
        <v>492</v>
      </c>
      <c r="AK10" s="10">
        <v>295.2</v>
      </c>
      <c r="AL10" s="9">
        <v>552</v>
      </c>
      <c r="AM10" s="10">
        <v>331.2</v>
      </c>
      <c r="AN10" s="9">
        <v>600</v>
      </c>
      <c r="AO10" s="10">
        <v>360</v>
      </c>
      <c r="AP10" s="9">
        <v>780</v>
      </c>
      <c r="AQ10" s="10">
        <v>468</v>
      </c>
      <c r="AR10" s="9">
        <v>648</v>
      </c>
      <c r="AS10" s="10">
        <v>388.8</v>
      </c>
      <c r="AT10" s="9">
        <v>564</v>
      </c>
      <c r="AU10" s="10">
        <v>338.4</v>
      </c>
      <c r="AV10" s="9">
        <v>636</v>
      </c>
      <c r="AW10" s="10">
        <v>381.59999999999997</v>
      </c>
      <c r="AX10" s="9">
        <v>600</v>
      </c>
      <c r="AY10" s="10">
        <v>360</v>
      </c>
      <c r="AZ10" s="9">
        <v>876</v>
      </c>
      <c r="BA10" s="10">
        <v>525.6</v>
      </c>
      <c r="BB10" s="9">
        <v>720</v>
      </c>
      <c r="BC10" s="10">
        <v>432</v>
      </c>
      <c r="BD10" s="9">
        <v>576</v>
      </c>
      <c r="BE10" s="10">
        <v>345.59999999999997</v>
      </c>
      <c r="BF10" s="11">
        <v>711</v>
      </c>
      <c r="BG10" s="12">
        <v>426.59999999999997</v>
      </c>
      <c r="BH10" s="9">
        <v>900</v>
      </c>
      <c r="BI10" s="10">
        <v>540</v>
      </c>
      <c r="BJ10" s="9">
        <v>564</v>
      </c>
      <c r="BK10" s="10">
        <v>338.4</v>
      </c>
      <c r="BL10" s="9">
        <v>744</v>
      </c>
      <c r="BM10" s="10">
        <v>446.4</v>
      </c>
      <c r="BN10" s="9">
        <v>612</v>
      </c>
      <c r="BO10" s="10">
        <v>367.2</v>
      </c>
      <c r="BP10" s="9">
        <v>12</v>
      </c>
      <c r="BQ10" s="10">
        <v>7.1999999999999993</v>
      </c>
      <c r="BR10" s="19">
        <v>566.4</v>
      </c>
      <c r="BS10" s="10">
        <v>339.84000000000003</v>
      </c>
      <c r="BT10" s="9">
        <v>336</v>
      </c>
      <c r="BU10" s="10">
        <v>201.6</v>
      </c>
      <c r="BV10" s="9">
        <v>408</v>
      </c>
      <c r="BW10" s="10">
        <v>244.79999999999998</v>
      </c>
      <c r="BX10" s="9">
        <v>336</v>
      </c>
      <c r="BY10" s="10">
        <v>201.6</v>
      </c>
      <c r="BZ10" s="9">
        <v>840</v>
      </c>
      <c r="CA10" s="10">
        <v>504</v>
      </c>
      <c r="CB10" s="9">
        <v>1152</v>
      </c>
      <c r="CC10" s="10">
        <v>691.19999999999993</v>
      </c>
      <c r="CD10" s="9">
        <v>1776</v>
      </c>
      <c r="CE10" s="10">
        <v>1065.5999999999999</v>
      </c>
      <c r="CF10" s="9">
        <v>600</v>
      </c>
      <c r="CG10" s="10">
        <v>360</v>
      </c>
      <c r="CH10" s="11">
        <v>690</v>
      </c>
      <c r="CI10" s="12">
        <v>414</v>
      </c>
      <c r="CJ10" s="13">
        <v>690</v>
      </c>
      <c r="CK10" s="10">
        <v>414</v>
      </c>
      <c r="CL10" s="14">
        <v>672</v>
      </c>
      <c r="CM10" s="10">
        <v>403.2</v>
      </c>
      <c r="CN10" s="14">
        <v>756</v>
      </c>
      <c r="CO10" s="15">
        <v>453.59999999999997</v>
      </c>
      <c r="CP10" s="14">
        <v>540</v>
      </c>
      <c r="CQ10" s="15">
        <v>324</v>
      </c>
      <c r="CR10" s="14">
        <v>756</v>
      </c>
      <c r="CS10" s="15">
        <v>453.59999999999997</v>
      </c>
      <c r="CT10" s="14">
        <v>720</v>
      </c>
      <c r="CU10" s="15">
        <v>432</v>
      </c>
      <c r="CV10" s="14"/>
      <c r="CW10" s="15">
        <v>0</v>
      </c>
      <c r="CX10" s="14"/>
      <c r="CY10" s="15">
        <v>0</v>
      </c>
      <c r="CZ10" s="14"/>
      <c r="DA10" s="15">
        <v>0</v>
      </c>
      <c r="DB10" s="14"/>
      <c r="DC10" s="15">
        <v>0</v>
      </c>
      <c r="DD10" s="14"/>
      <c r="DE10" s="15">
        <v>0</v>
      </c>
      <c r="DF10" s="14"/>
      <c r="DG10" s="15">
        <v>0</v>
      </c>
      <c r="DH10" s="14"/>
      <c r="DI10" s="15">
        <v>0</v>
      </c>
      <c r="DJ10" s="15">
        <v>7.344259652148899E-2</v>
      </c>
      <c r="DK10" s="15"/>
      <c r="DL10" s="16">
        <v>3444</v>
      </c>
      <c r="DM10" s="17">
        <v>2066.3999999999996</v>
      </c>
      <c r="DN10" s="68">
        <v>688.8</v>
      </c>
      <c r="DO10" s="68">
        <v>413.27999999999992</v>
      </c>
      <c r="DP10" s="69">
        <v>7.0052116211579113E-2</v>
      </c>
      <c r="DQ10" s="70">
        <v>-3.3904803099098768E-3</v>
      </c>
      <c r="DR10" s="71">
        <v>21.610169491525383</v>
      </c>
      <c r="DS10" s="71">
        <v>-0.17391304347827941</v>
      </c>
      <c r="DT10" s="72">
        <v>-0.72000000000008413</v>
      </c>
      <c r="DU10" s="72">
        <v>73.439999999999884</v>
      </c>
      <c r="DV10" s="72">
        <v>-5.1428571428577437E-2</v>
      </c>
      <c r="DW10" s="72">
        <v>5.2457142857142776</v>
      </c>
      <c r="DX10" s="72">
        <v>26.228571428571389</v>
      </c>
    </row>
    <row r="11" spans="1:128" ht="20.399999999999999" thickBot="1">
      <c r="A11" s="73">
        <v>17</v>
      </c>
      <c r="B11" s="74" t="s">
        <v>23</v>
      </c>
      <c r="C11" s="74" t="s">
        <v>14</v>
      </c>
      <c r="D11" s="73">
        <v>4</v>
      </c>
      <c r="E11" s="73">
        <v>0.64</v>
      </c>
      <c r="F11" s="73" t="s">
        <v>20</v>
      </c>
      <c r="G11" s="73">
        <v>1230</v>
      </c>
      <c r="H11" s="75">
        <v>70658</v>
      </c>
      <c r="I11" s="76">
        <v>45221.120000000003</v>
      </c>
      <c r="J11" s="75">
        <v>66416</v>
      </c>
      <c r="K11" s="76">
        <v>42506.239999999998</v>
      </c>
      <c r="L11" s="75">
        <v>74508</v>
      </c>
      <c r="M11" s="76">
        <v>47685.120000000003</v>
      </c>
      <c r="N11" s="75">
        <v>54532</v>
      </c>
      <c r="O11" s="76">
        <v>34900.480000000003</v>
      </c>
      <c r="P11" s="75">
        <v>57792</v>
      </c>
      <c r="Q11" s="76">
        <v>36986.879999999997</v>
      </c>
      <c r="R11" s="75">
        <v>64400</v>
      </c>
      <c r="S11" s="76">
        <v>41216</v>
      </c>
      <c r="T11" s="75">
        <v>60830</v>
      </c>
      <c r="U11" s="76">
        <v>38931.200000000004</v>
      </c>
      <c r="V11" s="75">
        <v>64428</v>
      </c>
      <c r="W11" s="76">
        <v>41233.919999999998</v>
      </c>
      <c r="X11" s="75">
        <v>58705</v>
      </c>
      <c r="Y11" s="76">
        <v>37571.200000000004</v>
      </c>
      <c r="Z11" s="75">
        <v>62384</v>
      </c>
      <c r="AA11" s="76">
        <v>39925.760000000002</v>
      </c>
      <c r="AB11" s="75">
        <v>67326</v>
      </c>
      <c r="AC11" s="76">
        <v>43088.639999999999</v>
      </c>
      <c r="AD11" s="75">
        <v>82770</v>
      </c>
      <c r="AE11" s="76">
        <v>52972.800000000003</v>
      </c>
      <c r="AF11" s="77">
        <v>65395.75</v>
      </c>
      <c r="AG11" s="78">
        <v>41853.279999999999</v>
      </c>
      <c r="AH11" s="75">
        <v>67662</v>
      </c>
      <c r="AI11" s="76">
        <v>43303.68</v>
      </c>
      <c r="AJ11" s="75">
        <v>58922</v>
      </c>
      <c r="AK11" s="76">
        <v>37710.080000000002</v>
      </c>
      <c r="AL11" s="75">
        <v>61334</v>
      </c>
      <c r="AM11" s="76">
        <v>39253.760000000002</v>
      </c>
      <c r="AN11" s="75">
        <v>59794</v>
      </c>
      <c r="AO11" s="76">
        <v>38268.160000000003</v>
      </c>
      <c r="AP11" s="75">
        <v>45528</v>
      </c>
      <c r="AQ11" s="76">
        <v>29137.920000000002</v>
      </c>
      <c r="AR11" s="75">
        <v>58940</v>
      </c>
      <c r="AS11" s="76">
        <v>37721.599999999999</v>
      </c>
      <c r="AT11" s="75">
        <v>68562</v>
      </c>
      <c r="AU11" s="76">
        <v>43879.68</v>
      </c>
      <c r="AV11" s="75">
        <v>62636</v>
      </c>
      <c r="AW11" s="76">
        <v>40087.040000000001</v>
      </c>
      <c r="AX11" s="75">
        <v>66628</v>
      </c>
      <c r="AY11" s="76">
        <v>42641.919999999998</v>
      </c>
      <c r="AZ11" s="75">
        <v>67270</v>
      </c>
      <c r="BA11" s="76">
        <v>43052.800000000003</v>
      </c>
      <c r="BB11" s="75">
        <v>65856</v>
      </c>
      <c r="BC11" s="76">
        <v>42147.840000000004</v>
      </c>
      <c r="BD11" s="75">
        <v>87710</v>
      </c>
      <c r="BE11" s="76">
        <v>56134.400000000001</v>
      </c>
      <c r="BF11" s="77">
        <v>64236.833333333336</v>
      </c>
      <c r="BG11" s="78">
        <v>41111.573333333334</v>
      </c>
      <c r="BH11" s="75">
        <v>75935</v>
      </c>
      <c r="BI11" s="76">
        <v>48598.400000000001</v>
      </c>
      <c r="BJ11" s="75">
        <v>64518</v>
      </c>
      <c r="BK11" s="76">
        <v>41291.520000000004</v>
      </c>
      <c r="BL11" s="75">
        <v>69272</v>
      </c>
      <c r="BM11" s="76">
        <v>44334.080000000002</v>
      </c>
      <c r="BN11" s="75">
        <v>59570</v>
      </c>
      <c r="BO11" s="76">
        <v>38124.800000000003</v>
      </c>
      <c r="BP11" s="75">
        <v>65708</v>
      </c>
      <c r="BQ11" s="76">
        <v>42053.120000000003</v>
      </c>
      <c r="BR11" s="79">
        <v>67000.600000000006</v>
      </c>
      <c r="BS11" s="76">
        <v>42880.383999999998</v>
      </c>
      <c r="BT11" s="75">
        <v>66472</v>
      </c>
      <c r="BU11" s="76">
        <v>42542.080000000002</v>
      </c>
      <c r="BV11" s="75">
        <v>71516</v>
      </c>
      <c r="BW11" s="76">
        <v>45770.239999999998</v>
      </c>
      <c r="BX11" s="75">
        <v>59500</v>
      </c>
      <c r="BY11" s="76">
        <v>38080</v>
      </c>
      <c r="BZ11" s="75">
        <v>66640</v>
      </c>
      <c r="CA11" s="76">
        <v>42649.599999999999</v>
      </c>
      <c r="CB11" s="75">
        <v>76510</v>
      </c>
      <c r="CC11" s="76">
        <v>48966.400000000001</v>
      </c>
      <c r="CD11" s="75">
        <v>66934</v>
      </c>
      <c r="CE11" s="76">
        <v>42837.760000000002</v>
      </c>
      <c r="CF11" s="75">
        <v>79688</v>
      </c>
      <c r="CG11" s="76">
        <v>51000.32</v>
      </c>
      <c r="CH11" s="77">
        <v>68521.916666666672</v>
      </c>
      <c r="CI11" s="78">
        <v>43854.026666666672</v>
      </c>
      <c r="CJ11" s="80">
        <v>68522</v>
      </c>
      <c r="CK11" s="76">
        <v>43854.080000000002</v>
      </c>
      <c r="CL11" s="82">
        <v>78915</v>
      </c>
      <c r="CM11" s="76">
        <v>50505.599999999999</v>
      </c>
      <c r="CN11" s="82">
        <v>57960</v>
      </c>
      <c r="CO11" s="83">
        <v>37094.400000000001</v>
      </c>
      <c r="CP11" s="82">
        <v>67424</v>
      </c>
      <c r="CQ11" s="83">
        <v>43151.360000000001</v>
      </c>
      <c r="CR11" s="82">
        <v>59108</v>
      </c>
      <c r="CS11" s="83">
        <v>37829.120000000003</v>
      </c>
      <c r="CT11" s="82">
        <v>62751</v>
      </c>
      <c r="CU11" s="83">
        <v>40160.639999999999</v>
      </c>
      <c r="CV11" s="82"/>
      <c r="CW11" s="83">
        <v>0</v>
      </c>
      <c r="CX11" s="82"/>
      <c r="CY11" s="83">
        <v>0</v>
      </c>
      <c r="CZ11" s="82"/>
      <c r="DA11" s="83">
        <v>0</v>
      </c>
      <c r="DB11" s="82"/>
      <c r="DC11" s="83">
        <v>0</v>
      </c>
      <c r="DD11" s="82"/>
      <c r="DE11" s="83">
        <v>0</v>
      </c>
      <c r="DF11" s="82"/>
      <c r="DG11" s="83">
        <v>0</v>
      </c>
      <c r="DH11" s="82"/>
      <c r="DI11" s="83">
        <v>0</v>
      </c>
      <c r="DJ11" s="83">
        <v>7.7795980345956979</v>
      </c>
      <c r="DK11" s="83">
        <v>11.29</v>
      </c>
      <c r="DL11" s="84">
        <v>326158</v>
      </c>
      <c r="DM11" s="85">
        <v>208741.12</v>
      </c>
      <c r="DN11" s="86">
        <v>65231.6</v>
      </c>
      <c r="DO11" s="86">
        <v>41748.224000000002</v>
      </c>
      <c r="DP11" s="87">
        <v>7.0764407647963541</v>
      </c>
      <c r="DQ11" s="88">
        <v>-0.70315726979934379</v>
      </c>
      <c r="DR11" s="89">
        <v>-2.6402748632101662</v>
      </c>
      <c r="DS11" s="89">
        <v>-4.8018456381960561</v>
      </c>
      <c r="DT11" s="90">
        <v>-2105.8026666666701</v>
      </c>
      <c r="DU11" s="90">
        <v>-1132.1599999999962</v>
      </c>
      <c r="DV11" s="90">
        <v>-150.41447619047645</v>
      </c>
      <c r="DW11" s="90">
        <v>-80.868571428571158</v>
      </c>
      <c r="DX11" s="90">
        <v>-404.34285714285579</v>
      </c>
    </row>
    <row r="12" spans="1:128" s="125" customFormat="1" ht="20.399999999999999" thickBot="1">
      <c r="A12" s="119"/>
      <c r="B12" s="120"/>
      <c r="C12" s="120"/>
      <c r="D12" s="121"/>
      <c r="E12" s="121"/>
      <c r="F12" s="121"/>
      <c r="G12" s="121"/>
      <c r="H12" s="122"/>
      <c r="I12" s="123">
        <v>0</v>
      </c>
      <c r="J12" s="122"/>
      <c r="K12" s="123">
        <v>0</v>
      </c>
      <c r="L12" s="122"/>
      <c r="M12" s="123">
        <v>0</v>
      </c>
      <c r="N12" s="122"/>
      <c r="O12" s="123">
        <v>0</v>
      </c>
      <c r="P12" s="122"/>
      <c r="Q12" s="123">
        <v>0</v>
      </c>
      <c r="R12" s="122"/>
      <c r="S12" s="123">
        <v>0</v>
      </c>
      <c r="T12" s="122"/>
      <c r="U12" s="123">
        <v>0</v>
      </c>
      <c r="V12" s="122"/>
      <c r="W12" s="123">
        <v>0</v>
      </c>
      <c r="X12" s="122"/>
      <c r="Y12" s="123">
        <v>0</v>
      </c>
      <c r="Z12" s="122"/>
      <c r="AA12" s="123">
        <v>0</v>
      </c>
      <c r="AB12" s="122"/>
      <c r="AC12" s="123">
        <v>0</v>
      </c>
      <c r="AD12" s="122"/>
      <c r="AE12" s="123">
        <v>0</v>
      </c>
      <c r="AF12" s="122">
        <v>0</v>
      </c>
      <c r="AG12" s="123">
        <v>0</v>
      </c>
      <c r="AH12" s="122"/>
      <c r="AI12" s="123">
        <v>0</v>
      </c>
      <c r="AJ12" s="122"/>
      <c r="AK12" s="123">
        <v>0</v>
      </c>
      <c r="AL12" s="122"/>
      <c r="AM12" s="123">
        <v>0</v>
      </c>
      <c r="AN12" s="122"/>
      <c r="AO12" s="123">
        <v>0</v>
      </c>
      <c r="AP12" s="122"/>
      <c r="AQ12" s="123">
        <v>0</v>
      </c>
      <c r="AR12" s="122"/>
      <c r="AS12" s="123">
        <v>0</v>
      </c>
      <c r="AT12" s="122"/>
      <c r="AU12" s="123">
        <v>0</v>
      </c>
      <c r="AV12" s="122"/>
      <c r="AW12" s="123">
        <v>0</v>
      </c>
      <c r="AX12" s="122"/>
      <c r="AY12" s="123">
        <v>0</v>
      </c>
      <c r="AZ12" s="122"/>
      <c r="BA12" s="123">
        <v>0</v>
      </c>
      <c r="BB12" s="122"/>
      <c r="BC12" s="123">
        <v>0</v>
      </c>
      <c r="BD12" s="122"/>
      <c r="BE12" s="123">
        <v>0</v>
      </c>
      <c r="BF12" s="122">
        <v>0</v>
      </c>
      <c r="BG12" s="123">
        <v>0</v>
      </c>
      <c r="BH12" s="122"/>
      <c r="BI12" s="123">
        <v>0</v>
      </c>
      <c r="BJ12" s="122"/>
      <c r="BK12" s="123">
        <v>0</v>
      </c>
      <c r="BL12" s="122"/>
      <c r="BM12" s="123">
        <v>0</v>
      </c>
      <c r="BN12" s="122"/>
      <c r="BO12" s="123">
        <v>0</v>
      </c>
      <c r="BP12" s="122"/>
      <c r="BQ12" s="123">
        <v>0</v>
      </c>
      <c r="BR12" s="124">
        <f>BR9+BR10+BR11</f>
        <v>81285.400000000009</v>
      </c>
      <c r="BS12" s="124">
        <f t="shared" ref="BS12:DX12" si="2">BS9+BS10+BS11</f>
        <v>56938.623999999996</v>
      </c>
      <c r="BT12" s="124">
        <f t="shared" si="2"/>
        <v>80104</v>
      </c>
      <c r="BU12" s="124">
        <f t="shared" si="2"/>
        <v>56039.68</v>
      </c>
      <c r="BV12" s="124">
        <f t="shared" si="2"/>
        <v>90428</v>
      </c>
      <c r="BW12" s="124">
        <f t="shared" si="2"/>
        <v>64519.039999999994</v>
      </c>
      <c r="BX12" s="124">
        <f t="shared" si="2"/>
        <v>81676</v>
      </c>
      <c r="BY12" s="124">
        <f t="shared" si="2"/>
        <v>60121.599999999999</v>
      </c>
      <c r="BZ12" s="124">
        <f t="shared" si="2"/>
        <v>87376</v>
      </c>
      <c r="CA12" s="124">
        <f t="shared" si="2"/>
        <v>63049.599999999999</v>
      </c>
      <c r="CB12" s="124">
        <f t="shared" si="2"/>
        <v>106510</v>
      </c>
      <c r="CC12" s="124">
        <f t="shared" si="2"/>
        <v>78505.600000000006</v>
      </c>
      <c r="CD12" s="124">
        <f t="shared" si="2"/>
        <v>94270</v>
      </c>
      <c r="CE12" s="124">
        <f t="shared" si="2"/>
        <v>69463.360000000001</v>
      </c>
      <c r="CF12" s="124">
        <f t="shared" si="2"/>
        <v>116576</v>
      </c>
      <c r="CG12" s="124">
        <f t="shared" si="2"/>
        <v>87648.320000000007</v>
      </c>
      <c r="CH12" s="124">
        <f t="shared" si="2"/>
        <v>88613.916666666672</v>
      </c>
      <c r="CI12" s="124">
        <f t="shared" si="2"/>
        <v>63670.026666666672</v>
      </c>
      <c r="CJ12" s="124">
        <f t="shared" si="2"/>
        <v>88614</v>
      </c>
      <c r="CK12" s="124">
        <f t="shared" si="2"/>
        <v>63670.080000000002</v>
      </c>
      <c r="CL12" s="124">
        <f t="shared" si="2"/>
        <v>113379</v>
      </c>
      <c r="CM12" s="124">
        <f t="shared" si="2"/>
        <v>84700.799999999988</v>
      </c>
      <c r="CN12" s="124">
        <f t="shared" si="2"/>
        <v>78954</v>
      </c>
      <c r="CO12" s="124">
        <f t="shared" si="2"/>
        <v>57786</v>
      </c>
      <c r="CP12" s="124">
        <f t="shared" si="2"/>
        <v>116504</v>
      </c>
      <c r="CQ12" s="124">
        <f t="shared" si="2"/>
        <v>92015.360000000001</v>
      </c>
      <c r="CR12" s="124">
        <f t="shared" si="2"/>
        <v>82628</v>
      </c>
      <c r="CS12" s="124">
        <f t="shared" si="2"/>
        <v>61046.720000000001</v>
      </c>
      <c r="CT12" s="124">
        <f t="shared" si="2"/>
        <v>90315</v>
      </c>
      <c r="CU12" s="124">
        <f t="shared" si="2"/>
        <v>67436.639999999999</v>
      </c>
      <c r="CV12" s="124">
        <f t="shared" si="2"/>
        <v>0</v>
      </c>
      <c r="CW12" s="124">
        <f t="shared" si="2"/>
        <v>0</v>
      </c>
      <c r="CX12" s="124">
        <f t="shared" si="2"/>
        <v>0</v>
      </c>
      <c r="CY12" s="124">
        <f t="shared" si="2"/>
        <v>0</v>
      </c>
      <c r="CZ12" s="124">
        <f t="shared" si="2"/>
        <v>0</v>
      </c>
      <c r="DA12" s="124">
        <f t="shared" si="2"/>
        <v>0</v>
      </c>
      <c r="DB12" s="124">
        <f t="shared" si="2"/>
        <v>0</v>
      </c>
      <c r="DC12" s="124">
        <f t="shared" si="2"/>
        <v>0</v>
      </c>
      <c r="DD12" s="124">
        <f t="shared" si="2"/>
        <v>0</v>
      </c>
      <c r="DE12" s="124">
        <f t="shared" si="2"/>
        <v>0</v>
      </c>
      <c r="DF12" s="124">
        <f t="shared" si="2"/>
        <v>0</v>
      </c>
      <c r="DG12" s="124">
        <f t="shared" si="2"/>
        <v>0</v>
      </c>
      <c r="DH12" s="124">
        <f t="shared" si="2"/>
        <v>0</v>
      </c>
      <c r="DI12" s="124">
        <f t="shared" si="2"/>
        <v>0</v>
      </c>
      <c r="DJ12" s="214">
        <f>SUM(DJ9:DJ11)</f>
        <v>11.294908403363394</v>
      </c>
      <c r="DK12" s="214">
        <f t="shared" si="2"/>
        <v>11.29</v>
      </c>
      <c r="DL12" s="124">
        <f t="shared" si="2"/>
        <v>481780</v>
      </c>
      <c r="DM12" s="124">
        <f t="shared" si="2"/>
        <v>362985.52</v>
      </c>
      <c r="DN12" s="124">
        <f t="shared" si="2"/>
        <v>96356</v>
      </c>
      <c r="DO12" s="124">
        <f t="shared" si="2"/>
        <v>72597.103999999992</v>
      </c>
      <c r="DP12" s="214">
        <f t="shared" si="2"/>
        <v>12.305412229074953</v>
      </c>
      <c r="DQ12" s="214">
        <f t="shared" si="2"/>
        <v>1.0105038257115597</v>
      </c>
      <c r="DR12" s="124">
        <f t="shared" si="2"/>
        <v>140.82958672068753</v>
      </c>
      <c r="DS12" s="124">
        <f t="shared" si="2"/>
        <v>51.892605404502348</v>
      </c>
      <c r="DT12" s="124">
        <f t="shared" si="2"/>
        <v>8927.0773333333291</v>
      </c>
      <c r="DU12" s="124">
        <f t="shared" si="2"/>
        <v>15658.48</v>
      </c>
      <c r="DV12" s="124">
        <f t="shared" si="2"/>
        <v>637.64838095238065</v>
      </c>
      <c r="DW12" s="124">
        <f t="shared" si="2"/>
        <v>1118.4628571428573</v>
      </c>
      <c r="DX12" s="215">
        <f t="shared" si="2"/>
        <v>5592.3142857142866</v>
      </c>
    </row>
    <row r="13" spans="1:128">
      <c r="A13" s="92">
        <v>20</v>
      </c>
      <c r="B13" s="93" t="s">
        <v>24</v>
      </c>
      <c r="C13" s="93" t="s">
        <v>16</v>
      </c>
      <c r="D13" s="92">
        <v>15</v>
      </c>
      <c r="E13" s="92">
        <v>1</v>
      </c>
      <c r="F13" s="92" t="s">
        <v>18</v>
      </c>
      <c r="G13" s="92">
        <v>1900</v>
      </c>
      <c r="H13" s="56"/>
      <c r="I13" s="57">
        <v>0</v>
      </c>
      <c r="J13" s="56"/>
      <c r="K13" s="57">
        <v>0</v>
      </c>
      <c r="L13" s="56"/>
      <c r="M13" s="57">
        <v>0</v>
      </c>
      <c r="N13" s="56"/>
      <c r="O13" s="57">
        <v>0</v>
      </c>
      <c r="P13" s="56"/>
      <c r="Q13" s="57">
        <v>0</v>
      </c>
      <c r="R13" s="56"/>
      <c r="S13" s="57">
        <v>0</v>
      </c>
      <c r="T13" s="56"/>
      <c r="U13" s="57">
        <v>0</v>
      </c>
      <c r="V13" s="56"/>
      <c r="W13" s="57">
        <v>0</v>
      </c>
      <c r="X13" s="56"/>
      <c r="Y13" s="57">
        <v>0</v>
      </c>
      <c r="Z13" s="56"/>
      <c r="AA13" s="57">
        <v>0</v>
      </c>
      <c r="AB13" s="56"/>
      <c r="AC13" s="57">
        <v>0</v>
      </c>
      <c r="AD13" s="56"/>
      <c r="AE13" s="57">
        <v>0</v>
      </c>
      <c r="AF13" s="58">
        <v>0</v>
      </c>
      <c r="AG13" s="59">
        <v>0</v>
      </c>
      <c r="AH13" s="56"/>
      <c r="AI13" s="57">
        <v>0</v>
      </c>
      <c r="AJ13" s="56"/>
      <c r="AK13" s="57">
        <v>0</v>
      </c>
      <c r="AL13" s="56"/>
      <c r="AM13" s="57">
        <v>0</v>
      </c>
      <c r="AN13" s="56"/>
      <c r="AO13" s="57">
        <v>0</v>
      </c>
      <c r="AP13" s="56"/>
      <c r="AQ13" s="57">
        <v>0</v>
      </c>
      <c r="AR13" s="56"/>
      <c r="AS13" s="57">
        <v>0</v>
      </c>
      <c r="AT13" s="56"/>
      <c r="AU13" s="57">
        <v>0</v>
      </c>
      <c r="AV13" s="56"/>
      <c r="AW13" s="57">
        <v>0</v>
      </c>
      <c r="AX13" s="56"/>
      <c r="AY13" s="57">
        <v>0</v>
      </c>
      <c r="AZ13" s="56"/>
      <c r="BA13" s="57">
        <v>0</v>
      </c>
      <c r="BB13" s="56"/>
      <c r="BC13" s="57">
        <v>0</v>
      </c>
      <c r="BD13" s="56"/>
      <c r="BE13" s="57">
        <v>0</v>
      </c>
      <c r="BF13" s="58">
        <v>0</v>
      </c>
      <c r="BG13" s="59">
        <v>0</v>
      </c>
      <c r="BH13" s="56"/>
      <c r="BI13" s="57">
        <v>0</v>
      </c>
      <c r="BJ13" s="56"/>
      <c r="BK13" s="57">
        <v>0</v>
      </c>
      <c r="BL13" s="56"/>
      <c r="BM13" s="57">
        <v>0</v>
      </c>
      <c r="BN13" s="56"/>
      <c r="BO13" s="57">
        <v>0</v>
      </c>
      <c r="BP13" s="56"/>
      <c r="BQ13" s="57">
        <v>0</v>
      </c>
      <c r="BR13" s="60">
        <v>0</v>
      </c>
      <c r="BS13" s="57">
        <v>0</v>
      </c>
      <c r="BT13" s="56"/>
      <c r="BU13" s="57">
        <v>0</v>
      </c>
      <c r="BV13" s="56"/>
      <c r="BW13" s="57">
        <v>0</v>
      </c>
      <c r="BX13" s="56"/>
      <c r="BY13" s="57">
        <v>0</v>
      </c>
      <c r="BZ13" s="56"/>
      <c r="CA13" s="57">
        <v>0</v>
      </c>
      <c r="CB13" s="56"/>
      <c r="CC13" s="57">
        <v>0</v>
      </c>
      <c r="CD13" s="56"/>
      <c r="CE13" s="57">
        <v>0</v>
      </c>
      <c r="CF13" s="56"/>
      <c r="CG13" s="57">
        <v>0</v>
      </c>
      <c r="CH13" s="58">
        <v>0</v>
      </c>
      <c r="CI13" s="59">
        <v>0</v>
      </c>
      <c r="CJ13" s="94"/>
      <c r="CK13" s="57">
        <v>0</v>
      </c>
      <c r="CL13" s="61"/>
      <c r="CM13" s="57">
        <v>0</v>
      </c>
      <c r="CN13" s="61"/>
      <c r="CO13" s="95">
        <v>0</v>
      </c>
      <c r="CP13" s="61">
        <v>16608</v>
      </c>
      <c r="CQ13" s="95">
        <v>16608</v>
      </c>
      <c r="CR13" s="61">
        <v>6468</v>
      </c>
      <c r="CS13" s="95">
        <v>6468</v>
      </c>
      <c r="CT13" s="61">
        <v>8040</v>
      </c>
      <c r="CU13" s="95">
        <v>8040</v>
      </c>
      <c r="CV13" s="61"/>
      <c r="CW13" s="95">
        <v>0</v>
      </c>
      <c r="CX13" s="61"/>
      <c r="CY13" s="95">
        <v>0</v>
      </c>
      <c r="CZ13" s="61"/>
      <c r="DA13" s="95">
        <v>0</v>
      </c>
      <c r="DB13" s="61"/>
      <c r="DC13" s="95">
        <v>0</v>
      </c>
      <c r="DD13" s="61"/>
      <c r="DE13" s="95">
        <v>0</v>
      </c>
      <c r="DF13" s="61"/>
      <c r="DG13" s="95">
        <v>0</v>
      </c>
      <c r="DH13" s="61"/>
      <c r="DI13" s="95">
        <v>0</v>
      </c>
      <c r="DJ13" s="95">
        <v>0</v>
      </c>
      <c r="DK13" s="95"/>
      <c r="DL13" s="63">
        <v>31116</v>
      </c>
      <c r="DM13" s="62">
        <v>31116</v>
      </c>
      <c r="DN13" s="96">
        <v>6223.2</v>
      </c>
      <c r="DO13" s="96">
        <v>6223.2</v>
      </c>
      <c r="DP13" s="97">
        <v>1.0548498103172166</v>
      </c>
      <c r="DQ13" s="98">
        <v>1.0548498103172166</v>
      </c>
      <c r="DR13" s="99"/>
      <c r="DS13" s="99"/>
      <c r="DT13" s="100">
        <v>6223.2</v>
      </c>
      <c r="DU13" s="100">
        <v>6223.2</v>
      </c>
      <c r="DV13" s="100">
        <v>444.51428571428568</v>
      </c>
      <c r="DW13" s="100">
        <v>444.51428571428568</v>
      </c>
      <c r="DX13" s="100">
        <v>2222.5714285714284</v>
      </c>
    </row>
    <row r="14" spans="1:128" ht="20.399999999999999" thickBot="1">
      <c r="A14" s="73">
        <v>22</v>
      </c>
      <c r="B14" s="74" t="s">
        <v>25</v>
      </c>
      <c r="C14" s="74" t="s">
        <v>14</v>
      </c>
      <c r="D14" s="73">
        <v>7</v>
      </c>
      <c r="E14" s="73">
        <v>0.64</v>
      </c>
      <c r="F14" s="73" t="s">
        <v>20</v>
      </c>
      <c r="G14" s="73">
        <v>1500</v>
      </c>
      <c r="H14" s="75">
        <v>19838</v>
      </c>
      <c r="I14" s="76">
        <v>12696.32</v>
      </c>
      <c r="J14" s="75">
        <v>21560</v>
      </c>
      <c r="K14" s="76">
        <v>13798.4</v>
      </c>
      <c r="L14" s="75">
        <v>33040</v>
      </c>
      <c r="M14" s="76">
        <v>21145.600000000002</v>
      </c>
      <c r="N14" s="75">
        <v>33390</v>
      </c>
      <c r="O14" s="76">
        <v>21369.600000000002</v>
      </c>
      <c r="P14" s="75">
        <v>41692</v>
      </c>
      <c r="Q14" s="76">
        <v>26682.880000000001</v>
      </c>
      <c r="R14" s="75">
        <v>61586</v>
      </c>
      <c r="S14" s="76">
        <v>39415.040000000001</v>
      </c>
      <c r="T14" s="75">
        <v>77210</v>
      </c>
      <c r="U14" s="76">
        <v>49414.400000000001</v>
      </c>
      <c r="V14" s="75">
        <v>85148</v>
      </c>
      <c r="W14" s="76">
        <v>54494.720000000001</v>
      </c>
      <c r="X14" s="75">
        <v>78722</v>
      </c>
      <c r="Y14" s="76">
        <v>50382.080000000002</v>
      </c>
      <c r="Z14" s="75">
        <v>46494</v>
      </c>
      <c r="AA14" s="76">
        <v>29756.16</v>
      </c>
      <c r="AB14" s="75">
        <v>52136</v>
      </c>
      <c r="AC14" s="76">
        <v>33367.040000000001</v>
      </c>
      <c r="AD14" s="75">
        <v>53018</v>
      </c>
      <c r="AE14" s="76">
        <v>33931.520000000004</v>
      </c>
      <c r="AF14" s="77">
        <v>50319.5</v>
      </c>
      <c r="AG14" s="78">
        <v>32204.48</v>
      </c>
      <c r="AH14" s="75">
        <v>44912</v>
      </c>
      <c r="AI14" s="76">
        <v>28743.68</v>
      </c>
      <c r="AJ14" s="75">
        <v>31654</v>
      </c>
      <c r="AK14" s="76">
        <v>20258.560000000001</v>
      </c>
      <c r="AL14" s="75">
        <v>34804</v>
      </c>
      <c r="AM14" s="76">
        <v>22274.560000000001</v>
      </c>
      <c r="AN14" s="75">
        <v>36498</v>
      </c>
      <c r="AO14" s="76">
        <v>23358.720000000001</v>
      </c>
      <c r="AP14" s="75">
        <v>35546</v>
      </c>
      <c r="AQ14" s="76">
        <v>22749.439999999999</v>
      </c>
      <c r="AR14" s="75">
        <v>54246</v>
      </c>
      <c r="AS14" s="76">
        <v>34717.440000000002</v>
      </c>
      <c r="AT14" s="75">
        <v>73412</v>
      </c>
      <c r="AU14" s="76">
        <v>46983.68</v>
      </c>
      <c r="AV14" s="75">
        <v>66720</v>
      </c>
      <c r="AW14" s="76">
        <v>42700.800000000003</v>
      </c>
      <c r="AX14" s="75">
        <v>68740</v>
      </c>
      <c r="AY14" s="76">
        <v>43993.599999999999</v>
      </c>
      <c r="AZ14" s="75">
        <v>81158</v>
      </c>
      <c r="BA14" s="76">
        <v>51941.120000000003</v>
      </c>
      <c r="BB14" s="75">
        <v>93086</v>
      </c>
      <c r="BC14" s="76">
        <v>59575.040000000001</v>
      </c>
      <c r="BD14" s="75">
        <v>97244</v>
      </c>
      <c r="BE14" s="76">
        <v>62236.160000000003</v>
      </c>
      <c r="BF14" s="77">
        <v>59835</v>
      </c>
      <c r="BG14" s="78">
        <v>38294.400000000001</v>
      </c>
      <c r="BH14" s="75">
        <v>91784</v>
      </c>
      <c r="BI14" s="76">
        <v>58741.760000000002</v>
      </c>
      <c r="BJ14" s="75">
        <v>70816</v>
      </c>
      <c r="BK14" s="76">
        <v>45322.239999999998</v>
      </c>
      <c r="BL14" s="75">
        <v>67550</v>
      </c>
      <c r="BM14" s="76">
        <v>43232</v>
      </c>
      <c r="BN14" s="75">
        <v>56644</v>
      </c>
      <c r="BO14" s="76">
        <v>36252.160000000003</v>
      </c>
      <c r="BP14" s="75">
        <v>80334</v>
      </c>
      <c r="BQ14" s="76">
        <v>51413.760000000002</v>
      </c>
      <c r="BR14" s="79">
        <v>73425.600000000006</v>
      </c>
      <c r="BS14" s="76">
        <v>46992.384000000005</v>
      </c>
      <c r="BT14" s="75">
        <v>84071</v>
      </c>
      <c r="BU14" s="76">
        <v>53805.440000000002</v>
      </c>
      <c r="BV14" s="75">
        <v>80080</v>
      </c>
      <c r="BW14" s="76">
        <v>51251.200000000004</v>
      </c>
      <c r="BX14" s="75">
        <v>73961</v>
      </c>
      <c r="BY14" s="76">
        <v>47335.040000000001</v>
      </c>
      <c r="BZ14" s="75">
        <v>72380</v>
      </c>
      <c r="CA14" s="76">
        <v>46323.200000000004</v>
      </c>
      <c r="CB14" s="75">
        <v>74174</v>
      </c>
      <c r="CC14" s="76">
        <v>47471.360000000001</v>
      </c>
      <c r="CD14" s="75">
        <v>68837</v>
      </c>
      <c r="CE14" s="76">
        <v>44055.68</v>
      </c>
      <c r="CF14" s="75">
        <v>70386</v>
      </c>
      <c r="CG14" s="76">
        <v>45047.040000000001</v>
      </c>
      <c r="CH14" s="77">
        <v>74251.416666666672</v>
      </c>
      <c r="CI14" s="78">
        <v>47520.906666666669</v>
      </c>
      <c r="CJ14" s="80">
        <v>74251</v>
      </c>
      <c r="CK14" s="76">
        <v>47520.639999999999</v>
      </c>
      <c r="CL14" s="82">
        <v>58032</v>
      </c>
      <c r="CM14" s="76">
        <v>37140.480000000003</v>
      </c>
      <c r="CN14" s="82">
        <v>56770</v>
      </c>
      <c r="CO14" s="83">
        <v>36332.800000000003</v>
      </c>
      <c r="CP14" s="82">
        <v>36787</v>
      </c>
      <c r="CQ14" s="83">
        <v>23543.68</v>
      </c>
      <c r="CR14" s="82">
        <v>36194</v>
      </c>
      <c r="CS14" s="83">
        <v>23164.16</v>
      </c>
      <c r="CT14" s="82">
        <v>70375</v>
      </c>
      <c r="CU14" s="83">
        <v>45040</v>
      </c>
      <c r="CV14" s="82"/>
      <c r="CW14" s="83">
        <v>0</v>
      </c>
      <c r="CX14" s="82"/>
      <c r="CY14" s="83">
        <v>0</v>
      </c>
      <c r="CZ14" s="82"/>
      <c r="DA14" s="83">
        <v>0</v>
      </c>
      <c r="DB14" s="82"/>
      <c r="DC14" s="83">
        <v>0</v>
      </c>
      <c r="DD14" s="82"/>
      <c r="DE14" s="83">
        <v>0</v>
      </c>
      <c r="DF14" s="82"/>
      <c r="DG14" s="83">
        <v>0</v>
      </c>
      <c r="DH14" s="82"/>
      <c r="DI14" s="83">
        <v>0</v>
      </c>
      <c r="DJ14" s="83">
        <v>8.4300936585877686</v>
      </c>
      <c r="DK14" s="83">
        <v>8.43</v>
      </c>
      <c r="DL14" s="84">
        <v>258158</v>
      </c>
      <c r="DM14" s="85">
        <v>165221.12</v>
      </c>
      <c r="DN14" s="86">
        <v>51631.6</v>
      </c>
      <c r="DO14" s="86">
        <v>33044.224000000002</v>
      </c>
      <c r="DP14" s="87">
        <v>5.6010884140762984</v>
      </c>
      <c r="DQ14" s="88">
        <v>-2.8290052445114702</v>
      </c>
      <c r="DR14" s="89">
        <v>-29.681745876097708</v>
      </c>
      <c r="DS14" s="89">
        <v>-30.463818310986213</v>
      </c>
      <c r="DT14" s="90">
        <v>-14476.682666666668</v>
      </c>
      <c r="DU14" s="90">
        <v>-13948.160000000003</v>
      </c>
      <c r="DV14" s="90">
        <v>-1034.0487619047619</v>
      </c>
      <c r="DW14" s="90">
        <v>-996.29714285714306</v>
      </c>
      <c r="DX14" s="90">
        <v>-4981.4857142857154</v>
      </c>
    </row>
    <row r="15" spans="1:128" s="125" customFormat="1" ht="20.399999999999999" thickBot="1">
      <c r="A15" s="119"/>
      <c r="B15" s="120"/>
      <c r="C15" s="120"/>
      <c r="D15" s="121"/>
      <c r="E15" s="121"/>
      <c r="F15" s="121"/>
      <c r="G15" s="121"/>
      <c r="H15" s="122"/>
      <c r="I15" s="123">
        <v>0</v>
      </c>
      <c r="J15" s="122"/>
      <c r="K15" s="123">
        <v>0</v>
      </c>
      <c r="L15" s="122"/>
      <c r="M15" s="123">
        <v>0</v>
      </c>
      <c r="N15" s="122"/>
      <c r="O15" s="123">
        <v>0</v>
      </c>
      <c r="P15" s="122"/>
      <c r="Q15" s="123">
        <v>0</v>
      </c>
      <c r="R15" s="122"/>
      <c r="S15" s="123">
        <v>0</v>
      </c>
      <c r="T15" s="122"/>
      <c r="U15" s="123">
        <v>0</v>
      </c>
      <c r="V15" s="122"/>
      <c r="W15" s="123">
        <v>0</v>
      </c>
      <c r="X15" s="122"/>
      <c r="Y15" s="123">
        <v>0</v>
      </c>
      <c r="Z15" s="122"/>
      <c r="AA15" s="123">
        <v>0</v>
      </c>
      <c r="AB15" s="122"/>
      <c r="AC15" s="123">
        <v>0</v>
      </c>
      <c r="AD15" s="122"/>
      <c r="AE15" s="123">
        <v>0</v>
      </c>
      <c r="AF15" s="122">
        <v>0</v>
      </c>
      <c r="AG15" s="123">
        <v>0</v>
      </c>
      <c r="AH15" s="122"/>
      <c r="AI15" s="123">
        <v>0</v>
      </c>
      <c r="AJ15" s="122"/>
      <c r="AK15" s="123">
        <v>0</v>
      </c>
      <c r="AL15" s="122"/>
      <c r="AM15" s="123">
        <v>0</v>
      </c>
      <c r="AN15" s="122"/>
      <c r="AO15" s="123">
        <v>0</v>
      </c>
      <c r="AP15" s="122"/>
      <c r="AQ15" s="123">
        <v>0</v>
      </c>
      <c r="AR15" s="122"/>
      <c r="AS15" s="123">
        <v>0</v>
      </c>
      <c r="AT15" s="122"/>
      <c r="AU15" s="123">
        <v>0</v>
      </c>
      <c r="AV15" s="122"/>
      <c r="AW15" s="123">
        <v>0</v>
      </c>
      <c r="AX15" s="122"/>
      <c r="AY15" s="123">
        <v>0</v>
      </c>
      <c r="AZ15" s="122"/>
      <c r="BA15" s="123">
        <v>0</v>
      </c>
      <c r="BB15" s="122"/>
      <c r="BC15" s="123">
        <v>0</v>
      </c>
      <c r="BD15" s="122"/>
      <c r="BE15" s="123">
        <v>0</v>
      </c>
      <c r="BF15" s="122">
        <v>0</v>
      </c>
      <c r="BG15" s="123">
        <v>0</v>
      </c>
      <c r="BH15" s="122"/>
      <c r="BI15" s="123">
        <v>0</v>
      </c>
      <c r="BJ15" s="122"/>
      <c r="BK15" s="123">
        <v>0</v>
      </c>
      <c r="BL15" s="122"/>
      <c r="BM15" s="123">
        <v>0</v>
      </c>
      <c r="BN15" s="122"/>
      <c r="BO15" s="123">
        <v>0</v>
      </c>
      <c r="BP15" s="122"/>
      <c r="BQ15" s="123">
        <v>0</v>
      </c>
      <c r="BR15" s="124">
        <f>BR13+BR14</f>
        <v>73425.600000000006</v>
      </c>
      <c r="BS15" s="124">
        <f t="shared" ref="BS15:DX15" si="3">BS13+BS14</f>
        <v>46992.384000000005</v>
      </c>
      <c r="BT15" s="124">
        <f t="shared" si="3"/>
        <v>84071</v>
      </c>
      <c r="BU15" s="124">
        <f t="shared" si="3"/>
        <v>53805.440000000002</v>
      </c>
      <c r="BV15" s="124">
        <f t="shared" si="3"/>
        <v>80080</v>
      </c>
      <c r="BW15" s="124">
        <f t="shared" si="3"/>
        <v>51251.200000000004</v>
      </c>
      <c r="BX15" s="124">
        <f t="shared" si="3"/>
        <v>73961</v>
      </c>
      <c r="BY15" s="124">
        <f t="shared" si="3"/>
        <v>47335.040000000001</v>
      </c>
      <c r="BZ15" s="124">
        <f t="shared" si="3"/>
        <v>72380</v>
      </c>
      <c r="CA15" s="124">
        <f t="shared" si="3"/>
        <v>46323.200000000004</v>
      </c>
      <c r="CB15" s="124">
        <f t="shared" si="3"/>
        <v>74174</v>
      </c>
      <c r="CC15" s="124">
        <f t="shared" si="3"/>
        <v>47471.360000000001</v>
      </c>
      <c r="CD15" s="124">
        <f t="shared" si="3"/>
        <v>68837</v>
      </c>
      <c r="CE15" s="124">
        <f t="shared" si="3"/>
        <v>44055.68</v>
      </c>
      <c r="CF15" s="124">
        <f t="shared" si="3"/>
        <v>70386</v>
      </c>
      <c r="CG15" s="124">
        <f t="shared" si="3"/>
        <v>45047.040000000001</v>
      </c>
      <c r="CH15" s="124">
        <f t="shared" si="3"/>
        <v>74251.416666666672</v>
      </c>
      <c r="CI15" s="124">
        <f t="shared" si="3"/>
        <v>47520.906666666669</v>
      </c>
      <c r="CJ15" s="124">
        <f t="shared" si="3"/>
        <v>74251</v>
      </c>
      <c r="CK15" s="124">
        <f t="shared" si="3"/>
        <v>47520.639999999999</v>
      </c>
      <c r="CL15" s="124">
        <f t="shared" si="3"/>
        <v>58032</v>
      </c>
      <c r="CM15" s="124">
        <f t="shared" si="3"/>
        <v>37140.480000000003</v>
      </c>
      <c r="CN15" s="124">
        <f t="shared" si="3"/>
        <v>56770</v>
      </c>
      <c r="CO15" s="124">
        <f t="shared" si="3"/>
        <v>36332.800000000003</v>
      </c>
      <c r="CP15" s="124">
        <f t="shared" si="3"/>
        <v>53395</v>
      </c>
      <c r="CQ15" s="124">
        <f t="shared" si="3"/>
        <v>40151.68</v>
      </c>
      <c r="CR15" s="124">
        <f t="shared" si="3"/>
        <v>42662</v>
      </c>
      <c r="CS15" s="124">
        <f t="shared" si="3"/>
        <v>29632.16</v>
      </c>
      <c r="CT15" s="124">
        <f t="shared" si="3"/>
        <v>78415</v>
      </c>
      <c r="CU15" s="124">
        <f t="shared" si="3"/>
        <v>53080</v>
      </c>
      <c r="CV15" s="124">
        <f t="shared" si="3"/>
        <v>0</v>
      </c>
      <c r="CW15" s="124">
        <f t="shared" si="3"/>
        <v>0</v>
      </c>
      <c r="CX15" s="124">
        <f t="shared" si="3"/>
        <v>0</v>
      </c>
      <c r="CY15" s="124">
        <f t="shared" si="3"/>
        <v>0</v>
      </c>
      <c r="CZ15" s="124">
        <f t="shared" si="3"/>
        <v>0</v>
      </c>
      <c r="DA15" s="124">
        <f t="shared" si="3"/>
        <v>0</v>
      </c>
      <c r="DB15" s="124">
        <f t="shared" si="3"/>
        <v>0</v>
      </c>
      <c r="DC15" s="124">
        <f t="shared" si="3"/>
        <v>0</v>
      </c>
      <c r="DD15" s="124">
        <f t="shared" si="3"/>
        <v>0</v>
      </c>
      <c r="DE15" s="124">
        <f t="shared" si="3"/>
        <v>0</v>
      </c>
      <c r="DF15" s="124">
        <f t="shared" si="3"/>
        <v>0</v>
      </c>
      <c r="DG15" s="124">
        <f t="shared" si="3"/>
        <v>0</v>
      </c>
      <c r="DH15" s="124">
        <f t="shared" si="3"/>
        <v>0</v>
      </c>
      <c r="DI15" s="124">
        <f t="shared" si="3"/>
        <v>0</v>
      </c>
      <c r="DJ15" s="214">
        <f t="shared" si="3"/>
        <v>8.4300936585877686</v>
      </c>
      <c r="DK15" s="214">
        <f t="shared" si="3"/>
        <v>8.43</v>
      </c>
      <c r="DL15" s="124">
        <f t="shared" si="3"/>
        <v>289274</v>
      </c>
      <c r="DM15" s="124">
        <f t="shared" si="3"/>
        <v>196337.12</v>
      </c>
      <c r="DN15" s="124">
        <f t="shared" si="3"/>
        <v>57854.799999999996</v>
      </c>
      <c r="DO15" s="124">
        <f t="shared" si="3"/>
        <v>39267.423999999999</v>
      </c>
      <c r="DP15" s="214">
        <f t="shared" si="3"/>
        <v>6.6559382243935152</v>
      </c>
      <c r="DQ15" s="214">
        <f t="shared" si="3"/>
        <v>-1.7741554341942536</v>
      </c>
      <c r="DR15" s="124">
        <f t="shared" si="3"/>
        <v>-29.681745876097708</v>
      </c>
      <c r="DS15" s="124">
        <f t="shared" si="3"/>
        <v>-30.463818310986213</v>
      </c>
      <c r="DT15" s="124">
        <f t="shared" si="3"/>
        <v>-8253.4826666666668</v>
      </c>
      <c r="DU15" s="124">
        <f t="shared" si="3"/>
        <v>-7724.9600000000037</v>
      </c>
      <c r="DV15" s="124">
        <f t="shared" si="3"/>
        <v>-589.5344761904762</v>
      </c>
      <c r="DW15" s="124">
        <f t="shared" si="3"/>
        <v>-551.78285714285744</v>
      </c>
      <c r="DX15" s="215">
        <f t="shared" si="3"/>
        <v>-2758.914285714287</v>
      </c>
    </row>
    <row r="16" spans="1:128">
      <c r="A16" s="92">
        <v>24</v>
      </c>
      <c r="B16" s="93" t="s">
        <v>26</v>
      </c>
      <c r="C16" s="93" t="s">
        <v>16</v>
      </c>
      <c r="D16" s="92">
        <v>29</v>
      </c>
      <c r="E16" s="92">
        <v>1</v>
      </c>
      <c r="F16" s="92" t="s">
        <v>15</v>
      </c>
      <c r="G16" s="92">
        <v>1580</v>
      </c>
      <c r="H16" s="56">
        <v>840</v>
      </c>
      <c r="I16" s="57">
        <v>840</v>
      </c>
      <c r="J16" s="56"/>
      <c r="K16" s="57">
        <v>0</v>
      </c>
      <c r="L16" s="56">
        <v>1812</v>
      </c>
      <c r="M16" s="57">
        <v>1812</v>
      </c>
      <c r="N16" s="56"/>
      <c r="O16" s="57">
        <v>0</v>
      </c>
      <c r="P16" s="56"/>
      <c r="Q16" s="57">
        <v>0</v>
      </c>
      <c r="R16" s="56"/>
      <c r="S16" s="57">
        <v>0</v>
      </c>
      <c r="T16" s="56"/>
      <c r="U16" s="57">
        <v>0</v>
      </c>
      <c r="V16" s="56"/>
      <c r="W16" s="57">
        <v>0</v>
      </c>
      <c r="X16" s="56"/>
      <c r="Y16" s="57">
        <v>0</v>
      </c>
      <c r="Z16" s="56"/>
      <c r="AA16" s="57">
        <v>0</v>
      </c>
      <c r="AB16" s="56"/>
      <c r="AC16" s="57">
        <v>0</v>
      </c>
      <c r="AD16" s="56">
        <v>120</v>
      </c>
      <c r="AE16" s="57">
        <v>120</v>
      </c>
      <c r="AF16" s="58">
        <v>231</v>
      </c>
      <c r="AG16" s="59">
        <v>231</v>
      </c>
      <c r="AH16" s="56"/>
      <c r="AI16" s="57">
        <v>0</v>
      </c>
      <c r="AJ16" s="56"/>
      <c r="AK16" s="57">
        <v>0</v>
      </c>
      <c r="AL16" s="56"/>
      <c r="AM16" s="57">
        <v>0</v>
      </c>
      <c r="AN16" s="56"/>
      <c r="AO16" s="57">
        <v>0</v>
      </c>
      <c r="AP16" s="56"/>
      <c r="AQ16" s="57">
        <v>0</v>
      </c>
      <c r="AR16" s="56"/>
      <c r="AS16" s="57">
        <v>0</v>
      </c>
      <c r="AT16" s="56"/>
      <c r="AU16" s="57">
        <v>0</v>
      </c>
      <c r="AV16" s="56"/>
      <c r="AW16" s="57">
        <v>0</v>
      </c>
      <c r="AX16" s="56"/>
      <c r="AY16" s="57">
        <v>0</v>
      </c>
      <c r="AZ16" s="56"/>
      <c r="BA16" s="57">
        <v>0</v>
      </c>
      <c r="BB16" s="56"/>
      <c r="BC16" s="57">
        <v>0</v>
      </c>
      <c r="BD16" s="56"/>
      <c r="BE16" s="57">
        <v>0</v>
      </c>
      <c r="BF16" s="58">
        <v>0</v>
      </c>
      <c r="BG16" s="59">
        <v>0</v>
      </c>
      <c r="BH16" s="56"/>
      <c r="BI16" s="57">
        <v>0</v>
      </c>
      <c r="BJ16" s="56"/>
      <c r="BK16" s="57">
        <v>0</v>
      </c>
      <c r="BL16" s="56"/>
      <c r="BM16" s="57">
        <v>0</v>
      </c>
      <c r="BN16" s="56"/>
      <c r="BO16" s="57">
        <v>0</v>
      </c>
      <c r="BP16" s="56"/>
      <c r="BQ16" s="57">
        <v>0</v>
      </c>
      <c r="BR16" s="60">
        <v>0</v>
      </c>
      <c r="BS16" s="57">
        <v>0</v>
      </c>
      <c r="BT16" s="56"/>
      <c r="BU16" s="57">
        <v>0</v>
      </c>
      <c r="BV16" s="56"/>
      <c r="BW16" s="57">
        <v>0</v>
      </c>
      <c r="BX16" s="56"/>
      <c r="BY16" s="57">
        <v>0</v>
      </c>
      <c r="BZ16" s="56"/>
      <c r="CA16" s="57">
        <v>0</v>
      </c>
      <c r="CB16" s="56"/>
      <c r="CC16" s="57">
        <v>0</v>
      </c>
      <c r="CD16" s="56"/>
      <c r="CE16" s="57">
        <v>0</v>
      </c>
      <c r="CF16" s="56"/>
      <c r="CG16" s="57">
        <v>0</v>
      </c>
      <c r="CH16" s="58">
        <v>0</v>
      </c>
      <c r="CI16" s="59">
        <v>0</v>
      </c>
      <c r="CJ16" s="94"/>
      <c r="CK16" s="57">
        <v>0</v>
      </c>
      <c r="CL16" s="61"/>
      <c r="CM16" s="57">
        <v>0</v>
      </c>
      <c r="CN16" s="61"/>
      <c r="CO16" s="95">
        <v>0</v>
      </c>
      <c r="CP16" s="61"/>
      <c r="CQ16" s="95">
        <v>0</v>
      </c>
      <c r="CR16" s="61"/>
      <c r="CS16" s="95">
        <v>0</v>
      </c>
      <c r="CT16" s="61">
        <v>840</v>
      </c>
      <c r="CU16" s="95">
        <v>840</v>
      </c>
      <c r="CV16" s="61"/>
      <c r="CW16" s="95">
        <v>0</v>
      </c>
      <c r="CX16" s="61"/>
      <c r="CY16" s="95">
        <v>0</v>
      </c>
      <c r="CZ16" s="61"/>
      <c r="DA16" s="95">
        <v>0</v>
      </c>
      <c r="DB16" s="61"/>
      <c r="DC16" s="95">
        <v>0</v>
      </c>
      <c r="DD16" s="61"/>
      <c r="DE16" s="95">
        <v>0</v>
      </c>
      <c r="DF16" s="61"/>
      <c r="DG16" s="95">
        <v>0</v>
      </c>
      <c r="DH16" s="61"/>
      <c r="DI16" s="95">
        <v>0</v>
      </c>
      <c r="DJ16" s="95">
        <v>0</v>
      </c>
      <c r="DK16" s="95"/>
      <c r="DL16" s="63">
        <v>840</v>
      </c>
      <c r="DM16" s="62">
        <v>840</v>
      </c>
      <c r="DN16" s="96">
        <v>168</v>
      </c>
      <c r="DO16" s="96">
        <v>168</v>
      </c>
      <c r="DP16" s="97">
        <v>2.8476470004706964E-2</v>
      </c>
      <c r="DQ16" s="98">
        <v>2.8476470004706964E-2</v>
      </c>
      <c r="DR16" s="99"/>
      <c r="DS16" s="99"/>
      <c r="DT16" s="100">
        <v>168</v>
      </c>
      <c r="DU16" s="100">
        <v>168</v>
      </c>
      <c r="DV16" s="100">
        <v>12</v>
      </c>
      <c r="DW16" s="100">
        <v>12</v>
      </c>
      <c r="DX16" s="100">
        <v>60</v>
      </c>
    </row>
    <row r="17" spans="1:128">
      <c r="A17" s="7">
        <v>30</v>
      </c>
      <c r="B17" s="8" t="s">
        <v>27</v>
      </c>
      <c r="C17" s="8" t="s">
        <v>14</v>
      </c>
      <c r="D17" s="7">
        <v>18</v>
      </c>
      <c r="E17" s="7">
        <v>0.7</v>
      </c>
      <c r="F17" s="7" t="s">
        <v>15</v>
      </c>
      <c r="G17" s="7">
        <v>1700</v>
      </c>
      <c r="H17" s="9">
        <v>25776</v>
      </c>
      <c r="I17" s="10">
        <v>18043.199999999997</v>
      </c>
      <c r="J17" s="9">
        <v>20160</v>
      </c>
      <c r="K17" s="10">
        <v>14112</v>
      </c>
      <c r="L17" s="9">
        <v>22660</v>
      </c>
      <c r="M17" s="10">
        <v>15861.999999999998</v>
      </c>
      <c r="N17" s="9">
        <v>16679</v>
      </c>
      <c r="O17" s="10">
        <v>11675.3</v>
      </c>
      <c r="P17" s="9">
        <v>12936</v>
      </c>
      <c r="Q17" s="10">
        <v>9055.1999999999989</v>
      </c>
      <c r="R17" s="9">
        <v>12696</v>
      </c>
      <c r="S17" s="10">
        <v>8887.1999999999989</v>
      </c>
      <c r="T17" s="9">
        <v>14820</v>
      </c>
      <c r="U17" s="10">
        <v>10374</v>
      </c>
      <c r="V17" s="9">
        <v>24228</v>
      </c>
      <c r="W17" s="10">
        <v>16959.599999999999</v>
      </c>
      <c r="X17" s="9">
        <v>9156</v>
      </c>
      <c r="Y17" s="10">
        <v>6409.2</v>
      </c>
      <c r="Z17" s="9">
        <v>8520</v>
      </c>
      <c r="AA17" s="10">
        <v>5964</v>
      </c>
      <c r="AB17" s="9">
        <v>10776</v>
      </c>
      <c r="AC17" s="10">
        <v>7543.2</v>
      </c>
      <c r="AD17" s="9">
        <v>8832</v>
      </c>
      <c r="AE17" s="10">
        <v>6182.4</v>
      </c>
      <c r="AF17" s="11">
        <v>15603.25</v>
      </c>
      <c r="AG17" s="12">
        <v>10922.275</v>
      </c>
      <c r="AH17" s="9">
        <v>10740</v>
      </c>
      <c r="AI17" s="10">
        <v>7517.9999999999991</v>
      </c>
      <c r="AJ17" s="9">
        <v>5988</v>
      </c>
      <c r="AK17" s="10">
        <v>4191.5999999999995</v>
      </c>
      <c r="AL17" s="9">
        <v>9600</v>
      </c>
      <c r="AM17" s="10">
        <v>6720</v>
      </c>
      <c r="AN17" s="9">
        <v>6972</v>
      </c>
      <c r="AO17" s="10">
        <v>4880.3999999999996</v>
      </c>
      <c r="AP17" s="9">
        <v>6840</v>
      </c>
      <c r="AQ17" s="10">
        <v>4788</v>
      </c>
      <c r="AR17" s="9">
        <v>7380</v>
      </c>
      <c r="AS17" s="10">
        <v>5166</v>
      </c>
      <c r="AT17" s="9">
        <v>4404</v>
      </c>
      <c r="AU17" s="10">
        <v>3082.7999999999997</v>
      </c>
      <c r="AV17" s="9">
        <v>6624</v>
      </c>
      <c r="AW17" s="10">
        <v>4636.7999999999993</v>
      </c>
      <c r="AX17" s="9">
        <v>4282</v>
      </c>
      <c r="AY17" s="10">
        <v>2997.3999999999996</v>
      </c>
      <c r="AZ17" s="9">
        <v>6540</v>
      </c>
      <c r="BA17" s="10">
        <v>4578</v>
      </c>
      <c r="BB17" s="9">
        <v>5640</v>
      </c>
      <c r="BC17" s="10">
        <v>3947.9999999999995</v>
      </c>
      <c r="BD17" s="9">
        <v>5580</v>
      </c>
      <c r="BE17" s="10">
        <v>3905.9999999999995</v>
      </c>
      <c r="BF17" s="11">
        <v>6715.833333333333</v>
      </c>
      <c r="BG17" s="12">
        <v>4701.083333333333</v>
      </c>
      <c r="BH17" s="9">
        <v>6204</v>
      </c>
      <c r="BI17" s="10">
        <v>4342.7999999999993</v>
      </c>
      <c r="BJ17" s="9">
        <v>5268</v>
      </c>
      <c r="BK17" s="10">
        <v>3687.6</v>
      </c>
      <c r="BL17" s="9">
        <v>4440</v>
      </c>
      <c r="BM17" s="10">
        <v>3108</v>
      </c>
      <c r="BN17" s="9">
        <v>3996</v>
      </c>
      <c r="BO17" s="10">
        <v>2797.2</v>
      </c>
      <c r="BP17" s="9">
        <v>2436</v>
      </c>
      <c r="BQ17" s="10">
        <v>1705.1999999999998</v>
      </c>
      <c r="BR17" s="19">
        <v>4468.8</v>
      </c>
      <c r="BS17" s="10">
        <v>3128.16</v>
      </c>
      <c r="BT17" s="9">
        <v>4006</v>
      </c>
      <c r="BU17" s="10">
        <v>2804.2</v>
      </c>
      <c r="BV17" s="9">
        <v>4020</v>
      </c>
      <c r="BW17" s="10">
        <v>2814</v>
      </c>
      <c r="BX17" s="9">
        <v>3900</v>
      </c>
      <c r="BY17" s="10">
        <v>2730</v>
      </c>
      <c r="BZ17" s="9">
        <v>4788</v>
      </c>
      <c r="CA17" s="10">
        <v>3351.6</v>
      </c>
      <c r="CB17" s="9">
        <v>4680</v>
      </c>
      <c r="CC17" s="10">
        <v>3276</v>
      </c>
      <c r="CD17" s="9">
        <v>4452</v>
      </c>
      <c r="CE17" s="10">
        <v>3116.3999999999996</v>
      </c>
      <c r="CF17" s="9">
        <v>5232</v>
      </c>
      <c r="CG17" s="10">
        <v>3662.3999999999996</v>
      </c>
      <c r="CH17" s="11">
        <v>4451.833333333333</v>
      </c>
      <c r="CI17" s="12">
        <v>3116.2833333333328</v>
      </c>
      <c r="CJ17" s="13">
        <v>4452</v>
      </c>
      <c r="CK17" s="10">
        <v>3116.3999999999996</v>
      </c>
      <c r="CL17" s="14">
        <v>4836</v>
      </c>
      <c r="CM17" s="10">
        <v>3385.2</v>
      </c>
      <c r="CN17" s="14">
        <v>3924</v>
      </c>
      <c r="CO17" s="15">
        <v>2746.7999999999997</v>
      </c>
      <c r="CP17" s="14">
        <v>6216</v>
      </c>
      <c r="CQ17" s="15">
        <v>4351.2</v>
      </c>
      <c r="CR17" s="14">
        <v>1416</v>
      </c>
      <c r="CS17" s="15">
        <v>991.19999999999993</v>
      </c>
      <c r="CT17" s="14">
        <v>2400</v>
      </c>
      <c r="CU17" s="15">
        <v>1680</v>
      </c>
      <c r="CV17" s="14"/>
      <c r="CW17" s="15">
        <v>0</v>
      </c>
      <c r="CX17" s="14"/>
      <c r="CY17" s="15">
        <v>0</v>
      </c>
      <c r="CZ17" s="14"/>
      <c r="DA17" s="15">
        <v>0</v>
      </c>
      <c r="DB17" s="14"/>
      <c r="DC17" s="15">
        <v>0</v>
      </c>
      <c r="DD17" s="14"/>
      <c r="DE17" s="15">
        <v>0</v>
      </c>
      <c r="DF17" s="14"/>
      <c r="DG17" s="15">
        <v>0</v>
      </c>
      <c r="DH17" s="14"/>
      <c r="DI17" s="15">
        <v>0</v>
      </c>
      <c r="DJ17" s="15">
        <v>0.55282110989526745</v>
      </c>
      <c r="DK17" s="15"/>
      <c r="DL17" s="16">
        <v>18792</v>
      </c>
      <c r="DM17" s="17">
        <v>13154.400000000001</v>
      </c>
      <c r="DN17" s="68">
        <v>3758.4</v>
      </c>
      <c r="DO17" s="68">
        <v>2630.88</v>
      </c>
      <c r="DP17" s="69">
        <v>0.44594152027371109</v>
      </c>
      <c r="DQ17" s="70">
        <v>-0.10687958962155636</v>
      </c>
      <c r="DR17" s="71">
        <v>-15.896885069817387</v>
      </c>
      <c r="DS17" s="71">
        <v>-15.576354310958024</v>
      </c>
      <c r="DT17" s="72">
        <v>-485.40333333333274</v>
      </c>
      <c r="DU17" s="72">
        <v>-497.27999999999975</v>
      </c>
      <c r="DV17" s="72">
        <v>-34.671666666666624</v>
      </c>
      <c r="DW17" s="72">
        <v>-35.519999999999982</v>
      </c>
      <c r="DX17" s="72">
        <v>-177.59999999999991</v>
      </c>
    </row>
    <row r="18" spans="1:128">
      <c r="A18" s="7">
        <v>31</v>
      </c>
      <c r="B18" s="8" t="s">
        <v>28</v>
      </c>
      <c r="C18" s="8" t="s">
        <v>14</v>
      </c>
      <c r="D18" s="7">
        <v>24</v>
      </c>
      <c r="E18" s="7">
        <v>0.68</v>
      </c>
      <c r="F18" s="7" t="s">
        <v>15</v>
      </c>
      <c r="G18" s="7">
        <v>1500</v>
      </c>
      <c r="H18" s="9"/>
      <c r="I18" s="10">
        <v>0</v>
      </c>
      <c r="J18" s="9"/>
      <c r="K18" s="10">
        <v>0</v>
      </c>
      <c r="L18" s="9"/>
      <c r="M18" s="10">
        <v>0</v>
      </c>
      <c r="N18" s="9"/>
      <c r="O18" s="10">
        <v>0</v>
      </c>
      <c r="P18" s="9"/>
      <c r="Q18" s="10">
        <v>0</v>
      </c>
      <c r="R18" s="9"/>
      <c r="S18" s="10">
        <v>0</v>
      </c>
      <c r="T18" s="9"/>
      <c r="U18" s="10">
        <v>0</v>
      </c>
      <c r="V18" s="9"/>
      <c r="W18" s="10">
        <v>0</v>
      </c>
      <c r="X18" s="9"/>
      <c r="Y18" s="10">
        <v>0</v>
      </c>
      <c r="Z18" s="9"/>
      <c r="AA18" s="10">
        <v>0</v>
      </c>
      <c r="AB18" s="9"/>
      <c r="AC18" s="10">
        <v>0</v>
      </c>
      <c r="AD18" s="9"/>
      <c r="AE18" s="10">
        <v>0</v>
      </c>
      <c r="AF18" s="11">
        <v>0</v>
      </c>
      <c r="AG18" s="12">
        <v>0</v>
      </c>
      <c r="AH18" s="9"/>
      <c r="AI18" s="10">
        <v>0</v>
      </c>
      <c r="AJ18" s="9"/>
      <c r="AK18" s="10">
        <v>0</v>
      </c>
      <c r="AL18" s="9"/>
      <c r="AM18" s="10">
        <v>0</v>
      </c>
      <c r="AN18" s="9"/>
      <c r="AO18" s="10">
        <v>0</v>
      </c>
      <c r="AP18" s="9"/>
      <c r="AQ18" s="10">
        <v>0</v>
      </c>
      <c r="AR18" s="9"/>
      <c r="AS18" s="10">
        <v>0</v>
      </c>
      <c r="AT18" s="9"/>
      <c r="AU18" s="10">
        <v>0</v>
      </c>
      <c r="AV18" s="9">
        <v>264</v>
      </c>
      <c r="AW18" s="10">
        <v>179.52</v>
      </c>
      <c r="AX18" s="9">
        <v>1668</v>
      </c>
      <c r="AY18" s="10">
        <v>1134.24</v>
      </c>
      <c r="AZ18" s="9">
        <v>4235</v>
      </c>
      <c r="BA18" s="10">
        <v>2879.8</v>
      </c>
      <c r="BB18" s="9">
        <v>576</v>
      </c>
      <c r="BC18" s="10">
        <v>391.68</v>
      </c>
      <c r="BD18" s="9">
        <v>324</v>
      </c>
      <c r="BE18" s="10">
        <v>220.32000000000002</v>
      </c>
      <c r="BF18" s="11">
        <v>588.91666666666663</v>
      </c>
      <c r="BG18" s="12">
        <v>400.46333333333331</v>
      </c>
      <c r="BH18" s="9">
        <v>1200</v>
      </c>
      <c r="BI18" s="10">
        <v>816.00000000000011</v>
      </c>
      <c r="BJ18" s="9">
        <v>611</v>
      </c>
      <c r="BK18" s="10">
        <v>415.48</v>
      </c>
      <c r="BL18" s="9">
        <v>1647</v>
      </c>
      <c r="BM18" s="10">
        <v>1119.96</v>
      </c>
      <c r="BN18" s="9">
        <v>1038</v>
      </c>
      <c r="BO18" s="10">
        <v>705.84</v>
      </c>
      <c r="BP18" s="9">
        <v>283</v>
      </c>
      <c r="BQ18" s="10">
        <v>192.44000000000003</v>
      </c>
      <c r="BR18" s="19">
        <v>955.8</v>
      </c>
      <c r="BS18" s="10">
        <v>649.94400000000007</v>
      </c>
      <c r="BT18" s="9">
        <v>674</v>
      </c>
      <c r="BU18" s="10">
        <v>458.32000000000005</v>
      </c>
      <c r="BV18" s="9">
        <v>670</v>
      </c>
      <c r="BW18" s="10">
        <v>455.6</v>
      </c>
      <c r="BX18" s="9">
        <v>624</v>
      </c>
      <c r="BY18" s="10">
        <v>424.32000000000005</v>
      </c>
      <c r="BZ18" s="9">
        <v>984</v>
      </c>
      <c r="CA18" s="10">
        <v>669.12</v>
      </c>
      <c r="CB18" s="9">
        <v>712</v>
      </c>
      <c r="CC18" s="10">
        <v>484.16</v>
      </c>
      <c r="CD18" s="9">
        <v>528</v>
      </c>
      <c r="CE18" s="10">
        <v>359.04</v>
      </c>
      <c r="CF18" s="9">
        <v>492</v>
      </c>
      <c r="CG18" s="10">
        <v>334.56</v>
      </c>
      <c r="CH18" s="11">
        <v>788.58333333333337</v>
      </c>
      <c r="CI18" s="12">
        <v>536.23666666666668</v>
      </c>
      <c r="CJ18" s="13">
        <v>788</v>
      </c>
      <c r="CK18" s="10">
        <v>535.84</v>
      </c>
      <c r="CL18" s="14">
        <v>360</v>
      </c>
      <c r="CM18" s="10">
        <v>244.8</v>
      </c>
      <c r="CN18" s="14">
        <v>360</v>
      </c>
      <c r="CO18" s="15">
        <v>244.8</v>
      </c>
      <c r="CP18" s="14">
        <v>240</v>
      </c>
      <c r="CQ18" s="15">
        <v>163.20000000000002</v>
      </c>
      <c r="CR18" s="14">
        <v>1116</v>
      </c>
      <c r="CS18" s="15">
        <v>758.88000000000011</v>
      </c>
      <c r="CT18" s="14">
        <v>480</v>
      </c>
      <c r="CU18" s="15">
        <v>326.40000000000003</v>
      </c>
      <c r="CV18" s="14"/>
      <c r="CW18" s="15">
        <v>0</v>
      </c>
      <c r="CX18" s="14"/>
      <c r="CY18" s="15">
        <v>0</v>
      </c>
      <c r="CZ18" s="14"/>
      <c r="DA18" s="15">
        <v>0</v>
      </c>
      <c r="DB18" s="14"/>
      <c r="DC18" s="15">
        <v>0</v>
      </c>
      <c r="DD18" s="14"/>
      <c r="DE18" s="15">
        <v>0</v>
      </c>
      <c r="DF18" s="14"/>
      <c r="DG18" s="15">
        <v>0</v>
      </c>
      <c r="DH18" s="14"/>
      <c r="DI18" s="15">
        <v>0</v>
      </c>
      <c r="DJ18" s="15">
        <v>9.5127084903449718E-2</v>
      </c>
      <c r="DK18" s="15"/>
      <c r="DL18" s="16">
        <v>2556</v>
      </c>
      <c r="DM18" s="17">
        <v>1738.0800000000004</v>
      </c>
      <c r="DN18" s="68">
        <v>511.2</v>
      </c>
      <c r="DO18" s="68">
        <v>347.6160000000001</v>
      </c>
      <c r="DP18" s="69">
        <v>5.8921884506882259E-2</v>
      </c>
      <c r="DQ18" s="70">
        <v>-3.6205200396567459E-2</v>
      </c>
      <c r="DR18" s="71">
        <v>-46.516007532956671</v>
      </c>
      <c r="DS18" s="71">
        <v>-35.174891683398485</v>
      </c>
      <c r="DT18" s="72">
        <v>-188.62066666666658</v>
      </c>
      <c r="DU18" s="72">
        <v>-302.32799999999997</v>
      </c>
      <c r="DV18" s="72">
        <v>-13.472904761904756</v>
      </c>
      <c r="DW18" s="72">
        <v>-21.594857142857141</v>
      </c>
      <c r="DX18" s="72">
        <v>-107.9742857142857</v>
      </c>
    </row>
    <row r="19" spans="1:128">
      <c r="A19" s="7">
        <v>34</v>
      </c>
      <c r="B19" s="8" t="s">
        <v>27</v>
      </c>
      <c r="C19" s="8" t="s">
        <v>14</v>
      </c>
      <c r="D19" s="7">
        <v>6</v>
      </c>
      <c r="E19" s="7">
        <v>0.64</v>
      </c>
      <c r="F19" s="7" t="s">
        <v>20</v>
      </c>
      <c r="G19" s="7">
        <v>1230</v>
      </c>
      <c r="H19" s="9">
        <v>39676</v>
      </c>
      <c r="I19" s="10">
        <v>25392.639999999999</v>
      </c>
      <c r="J19" s="9">
        <v>47110</v>
      </c>
      <c r="K19" s="10">
        <v>30150.400000000001</v>
      </c>
      <c r="L19" s="9">
        <v>48888</v>
      </c>
      <c r="M19" s="10">
        <v>31288.32</v>
      </c>
      <c r="N19" s="9">
        <v>33124</v>
      </c>
      <c r="O19" s="10">
        <v>21199.360000000001</v>
      </c>
      <c r="P19" s="9">
        <v>38360</v>
      </c>
      <c r="Q19" s="10">
        <v>24550.400000000001</v>
      </c>
      <c r="R19" s="9">
        <v>36918</v>
      </c>
      <c r="S19" s="10">
        <v>23627.52</v>
      </c>
      <c r="T19" s="9">
        <v>42098</v>
      </c>
      <c r="U19" s="10">
        <v>26942.720000000001</v>
      </c>
      <c r="V19" s="9">
        <v>45248</v>
      </c>
      <c r="W19" s="10">
        <v>28958.720000000001</v>
      </c>
      <c r="X19" s="9">
        <v>37324</v>
      </c>
      <c r="Y19" s="10">
        <v>23887.360000000001</v>
      </c>
      <c r="Z19" s="9">
        <v>43708</v>
      </c>
      <c r="AA19" s="10">
        <v>27973.119999999999</v>
      </c>
      <c r="AB19" s="9">
        <v>44828</v>
      </c>
      <c r="AC19" s="10">
        <v>28689.920000000002</v>
      </c>
      <c r="AD19" s="9">
        <v>54670</v>
      </c>
      <c r="AE19" s="10">
        <v>34988.800000000003</v>
      </c>
      <c r="AF19" s="11">
        <v>42662.666666666664</v>
      </c>
      <c r="AG19" s="12">
        <v>27304.106666666667</v>
      </c>
      <c r="AH19" s="9">
        <v>53162</v>
      </c>
      <c r="AI19" s="10">
        <v>34023.68</v>
      </c>
      <c r="AJ19" s="9">
        <v>47572</v>
      </c>
      <c r="AK19" s="10">
        <v>30446.080000000002</v>
      </c>
      <c r="AL19" s="9">
        <v>52598</v>
      </c>
      <c r="AM19" s="10">
        <v>33662.720000000001</v>
      </c>
      <c r="AN19" s="9">
        <v>43540</v>
      </c>
      <c r="AO19" s="10">
        <v>27865.600000000002</v>
      </c>
      <c r="AP19" s="9">
        <v>34048</v>
      </c>
      <c r="AQ19" s="10">
        <v>21790.720000000001</v>
      </c>
      <c r="AR19" s="9">
        <v>44774</v>
      </c>
      <c r="AS19" s="10">
        <v>28655.360000000001</v>
      </c>
      <c r="AT19" s="9">
        <v>48580</v>
      </c>
      <c r="AU19" s="10">
        <v>31091.200000000001</v>
      </c>
      <c r="AV19" s="9">
        <v>50008</v>
      </c>
      <c r="AW19" s="10">
        <v>32005.119999999999</v>
      </c>
      <c r="AX19" s="9">
        <v>46382</v>
      </c>
      <c r="AY19" s="10">
        <v>29684.48</v>
      </c>
      <c r="AZ19" s="9">
        <v>41111</v>
      </c>
      <c r="BA19" s="10">
        <v>26311.040000000001</v>
      </c>
      <c r="BB19" s="9">
        <v>53928</v>
      </c>
      <c r="BC19" s="10">
        <v>34513.919999999998</v>
      </c>
      <c r="BD19" s="9">
        <v>67326</v>
      </c>
      <c r="BE19" s="10">
        <v>43088.639999999999</v>
      </c>
      <c r="BF19" s="11">
        <v>48585.75</v>
      </c>
      <c r="BG19" s="12">
        <v>31094.880000000001</v>
      </c>
      <c r="BH19" s="9">
        <v>58324</v>
      </c>
      <c r="BI19" s="10">
        <v>37327.360000000001</v>
      </c>
      <c r="BJ19" s="9">
        <v>52393</v>
      </c>
      <c r="BK19" s="10">
        <v>33531.520000000004</v>
      </c>
      <c r="BL19" s="9">
        <v>52290</v>
      </c>
      <c r="BM19" s="10">
        <v>33465.599999999999</v>
      </c>
      <c r="BN19" s="9">
        <v>51660</v>
      </c>
      <c r="BO19" s="10">
        <v>33062.400000000001</v>
      </c>
      <c r="BP19" s="9">
        <v>50582</v>
      </c>
      <c r="BQ19" s="10">
        <v>32372.48</v>
      </c>
      <c r="BR19" s="19">
        <v>53049.8</v>
      </c>
      <c r="BS19" s="10">
        <v>33951.872000000003</v>
      </c>
      <c r="BT19" s="9">
        <v>50162</v>
      </c>
      <c r="BU19" s="10">
        <v>32103.68</v>
      </c>
      <c r="BV19" s="9">
        <v>47579</v>
      </c>
      <c r="BW19" s="10">
        <v>30450.560000000001</v>
      </c>
      <c r="BX19" s="9">
        <v>54922</v>
      </c>
      <c r="BY19" s="10">
        <v>35150.080000000002</v>
      </c>
      <c r="BZ19" s="9">
        <v>54362</v>
      </c>
      <c r="CA19" s="10">
        <v>34791.68</v>
      </c>
      <c r="CB19" s="9">
        <v>53634</v>
      </c>
      <c r="CC19" s="10">
        <v>34325.760000000002</v>
      </c>
      <c r="CD19" s="9">
        <v>53928</v>
      </c>
      <c r="CE19" s="10">
        <v>34513.919999999998</v>
      </c>
      <c r="CF19" s="9">
        <v>54544</v>
      </c>
      <c r="CG19" s="10">
        <v>34908.160000000003</v>
      </c>
      <c r="CH19" s="11">
        <v>52865</v>
      </c>
      <c r="CI19" s="12">
        <v>33833.599999999999</v>
      </c>
      <c r="CJ19" s="13">
        <v>52865</v>
      </c>
      <c r="CK19" s="10">
        <v>33833.599999999999</v>
      </c>
      <c r="CL19" s="14">
        <v>57739</v>
      </c>
      <c r="CM19" s="10">
        <v>36952.959999999999</v>
      </c>
      <c r="CN19" s="14">
        <v>45556</v>
      </c>
      <c r="CO19" s="15">
        <v>29155.84</v>
      </c>
      <c r="CP19" s="14">
        <v>63224</v>
      </c>
      <c r="CQ19" s="15">
        <v>40463.360000000001</v>
      </c>
      <c r="CR19" s="14">
        <v>50397</v>
      </c>
      <c r="CS19" s="15">
        <v>32254.080000000002</v>
      </c>
      <c r="CT19" s="14">
        <v>50260</v>
      </c>
      <c r="CU19" s="15">
        <v>32166.400000000001</v>
      </c>
      <c r="CV19" s="14"/>
      <c r="CW19" s="15">
        <v>0</v>
      </c>
      <c r="CX19" s="14"/>
      <c r="CY19" s="15">
        <v>0</v>
      </c>
      <c r="CZ19" s="14"/>
      <c r="DA19" s="15">
        <v>0</v>
      </c>
      <c r="DB19" s="14"/>
      <c r="DC19" s="15">
        <v>0</v>
      </c>
      <c r="DD19" s="14"/>
      <c r="DE19" s="15">
        <v>0</v>
      </c>
      <c r="DF19" s="14"/>
      <c r="DG19" s="15">
        <v>0</v>
      </c>
      <c r="DH19" s="14"/>
      <c r="DI19" s="15">
        <v>0</v>
      </c>
      <c r="DJ19" s="15">
        <v>6.0019986320518113</v>
      </c>
      <c r="DK19" s="15"/>
      <c r="DL19" s="16">
        <v>267176</v>
      </c>
      <c r="DM19" s="17">
        <v>170992.63999999998</v>
      </c>
      <c r="DN19" s="68">
        <v>53435.199999999997</v>
      </c>
      <c r="DO19" s="68">
        <v>34198.527999999998</v>
      </c>
      <c r="DP19" s="69">
        <v>5.7967461714114954</v>
      </c>
      <c r="DQ19" s="70">
        <v>-0.20525246064031588</v>
      </c>
      <c r="DR19" s="71">
        <v>0.72648718751058539</v>
      </c>
      <c r="DS19" s="71">
        <v>1.0785964248557747</v>
      </c>
      <c r="DT19" s="72">
        <v>364.92799999999988</v>
      </c>
      <c r="DU19" s="72">
        <v>246.6559999999954</v>
      </c>
      <c r="DV19" s="72">
        <v>26.066285714285705</v>
      </c>
      <c r="DW19" s="72">
        <v>17.618285714285385</v>
      </c>
      <c r="DX19" s="72">
        <v>88.091428571426917</v>
      </c>
    </row>
    <row r="20" spans="1:128" ht="20.399999999999999" thickBot="1">
      <c r="A20" s="73">
        <v>37</v>
      </c>
      <c r="B20" s="74" t="s">
        <v>29</v>
      </c>
      <c r="C20" s="74" t="s">
        <v>14</v>
      </c>
      <c r="D20" s="73">
        <v>21</v>
      </c>
      <c r="E20" s="73">
        <v>0.64</v>
      </c>
      <c r="F20" s="73" t="s">
        <v>20</v>
      </c>
      <c r="G20" s="73">
        <v>1500</v>
      </c>
      <c r="H20" s="75"/>
      <c r="I20" s="76">
        <v>0</v>
      </c>
      <c r="J20" s="75"/>
      <c r="K20" s="76">
        <v>0</v>
      </c>
      <c r="L20" s="75"/>
      <c r="M20" s="76">
        <v>0</v>
      </c>
      <c r="N20" s="75"/>
      <c r="O20" s="76">
        <v>0</v>
      </c>
      <c r="P20" s="75"/>
      <c r="Q20" s="76">
        <v>0</v>
      </c>
      <c r="R20" s="75"/>
      <c r="S20" s="76">
        <v>0</v>
      </c>
      <c r="T20" s="75"/>
      <c r="U20" s="76">
        <v>0</v>
      </c>
      <c r="V20" s="75"/>
      <c r="W20" s="76">
        <v>0</v>
      </c>
      <c r="X20" s="75"/>
      <c r="Y20" s="76">
        <v>0</v>
      </c>
      <c r="Z20" s="75"/>
      <c r="AA20" s="76">
        <v>0</v>
      </c>
      <c r="AB20" s="75"/>
      <c r="AC20" s="76">
        <v>0</v>
      </c>
      <c r="AD20" s="75"/>
      <c r="AE20" s="76">
        <v>0</v>
      </c>
      <c r="AF20" s="77">
        <v>0</v>
      </c>
      <c r="AG20" s="78">
        <v>0</v>
      </c>
      <c r="AH20" s="75"/>
      <c r="AI20" s="76">
        <v>0</v>
      </c>
      <c r="AJ20" s="75"/>
      <c r="AK20" s="76">
        <v>0</v>
      </c>
      <c r="AL20" s="75"/>
      <c r="AM20" s="76">
        <v>0</v>
      </c>
      <c r="AN20" s="75"/>
      <c r="AO20" s="76">
        <v>0</v>
      </c>
      <c r="AP20" s="75"/>
      <c r="AQ20" s="76">
        <v>0</v>
      </c>
      <c r="AR20" s="75"/>
      <c r="AS20" s="76">
        <v>0</v>
      </c>
      <c r="AT20" s="75"/>
      <c r="AU20" s="76">
        <v>0</v>
      </c>
      <c r="AV20" s="75"/>
      <c r="AW20" s="76">
        <v>0</v>
      </c>
      <c r="AX20" s="75"/>
      <c r="AY20" s="76">
        <v>0</v>
      </c>
      <c r="AZ20" s="75"/>
      <c r="BA20" s="76">
        <v>0</v>
      </c>
      <c r="BB20" s="75"/>
      <c r="BC20" s="76">
        <v>0</v>
      </c>
      <c r="BD20" s="75"/>
      <c r="BE20" s="76">
        <v>0</v>
      </c>
      <c r="BF20" s="77">
        <v>0</v>
      </c>
      <c r="BG20" s="78">
        <v>0</v>
      </c>
      <c r="BH20" s="75"/>
      <c r="BI20" s="76">
        <v>0</v>
      </c>
      <c r="BJ20" s="75"/>
      <c r="BK20" s="76">
        <v>0</v>
      </c>
      <c r="BL20" s="75">
        <v>1470</v>
      </c>
      <c r="BM20" s="76">
        <v>940.80000000000007</v>
      </c>
      <c r="BN20" s="75">
        <v>7000</v>
      </c>
      <c r="BO20" s="76">
        <v>4480</v>
      </c>
      <c r="BP20" s="75">
        <v>1826</v>
      </c>
      <c r="BQ20" s="76">
        <v>1168.6400000000001</v>
      </c>
      <c r="BR20" s="79">
        <v>2059.1999999999998</v>
      </c>
      <c r="BS20" s="76">
        <v>1317.8880000000001</v>
      </c>
      <c r="BT20" s="75">
        <v>2906</v>
      </c>
      <c r="BU20" s="76">
        <v>1859.8400000000001</v>
      </c>
      <c r="BV20" s="75">
        <v>3304</v>
      </c>
      <c r="BW20" s="76">
        <v>2114.56</v>
      </c>
      <c r="BX20" s="75">
        <v>3584</v>
      </c>
      <c r="BY20" s="76">
        <v>2293.7600000000002</v>
      </c>
      <c r="BZ20" s="75">
        <v>1974</v>
      </c>
      <c r="CA20" s="76">
        <v>1263.3600000000001</v>
      </c>
      <c r="CB20" s="75">
        <v>3724</v>
      </c>
      <c r="CC20" s="76">
        <v>2383.36</v>
      </c>
      <c r="CD20" s="75">
        <v>2646</v>
      </c>
      <c r="CE20" s="76">
        <v>1693.44</v>
      </c>
      <c r="CF20" s="75">
        <v>3262</v>
      </c>
      <c r="CG20" s="76">
        <v>2087.6799999999998</v>
      </c>
      <c r="CH20" s="77">
        <v>2641.3333333333335</v>
      </c>
      <c r="CI20" s="78">
        <v>1690.4533333333334</v>
      </c>
      <c r="CJ20" s="80">
        <v>2641</v>
      </c>
      <c r="CK20" s="76">
        <v>1690.24</v>
      </c>
      <c r="CL20" s="82">
        <v>3080</v>
      </c>
      <c r="CM20" s="76">
        <v>1971.2</v>
      </c>
      <c r="CN20" s="82">
        <v>2198</v>
      </c>
      <c r="CO20" s="83">
        <v>1406.72</v>
      </c>
      <c r="CP20" s="82">
        <v>1960</v>
      </c>
      <c r="CQ20" s="83">
        <v>1254.4000000000001</v>
      </c>
      <c r="CR20" s="82">
        <v>504</v>
      </c>
      <c r="CS20" s="83">
        <v>322.56</v>
      </c>
      <c r="CT20" s="82">
        <v>3220</v>
      </c>
      <c r="CU20" s="83">
        <v>2060.8000000000002</v>
      </c>
      <c r="CV20" s="82"/>
      <c r="CW20" s="83">
        <v>0</v>
      </c>
      <c r="CX20" s="82"/>
      <c r="CY20" s="83">
        <v>0</v>
      </c>
      <c r="CZ20" s="82"/>
      <c r="DA20" s="83">
        <v>0</v>
      </c>
      <c r="DB20" s="82"/>
      <c r="DC20" s="83">
        <v>0</v>
      </c>
      <c r="DD20" s="82"/>
      <c r="DE20" s="83">
        <v>0</v>
      </c>
      <c r="DF20" s="82"/>
      <c r="DG20" s="83">
        <v>0</v>
      </c>
      <c r="DH20" s="82"/>
      <c r="DI20" s="83">
        <v>0</v>
      </c>
      <c r="DJ20" s="83">
        <v>0.29988232390919356</v>
      </c>
      <c r="DK20" s="83">
        <v>6.95</v>
      </c>
      <c r="DL20" s="84">
        <v>10962</v>
      </c>
      <c r="DM20" s="85">
        <v>7015.68</v>
      </c>
      <c r="DN20" s="86">
        <v>2192.4</v>
      </c>
      <c r="DO20" s="86">
        <v>1403.136</v>
      </c>
      <c r="DP20" s="87">
        <v>0.23783547747931258</v>
      </c>
      <c r="DQ20" s="88">
        <v>-6.2046846429880981E-2</v>
      </c>
      <c r="DR20" s="89">
        <v>6.4685314685314523</v>
      </c>
      <c r="DS20" s="89">
        <v>-16.996466431095413</v>
      </c>
      <c r="DT20" s="90">
        <v>-287.31733333333341</v>
      </c>
      <c r="DU20" s="90">
        <v>85.24799999999982</v>
      </c>
      <c r="DV20" s="90">
        <v>-20.522666666666673</v>
      </c>
      <c r="DW20" s="90">
        <v>6.0891428571428445</v>
      </c>
      <c r="DX20" s="90">
        <v>30.445714285714224</v>
      </c>
    </row>
    <row r="21" spans="1:128" s="125" customFormat="1" ht="20.399999999999999" thickBot="1">
      <c r="A21" s="119"/>
      <c r="B21" s="120"/>
      <c r="C21" s="120"/>
      <c r="D21" s="121"/>
      <c r="E21" s="121"/>
      <c r="F21" s="121"/>
      <c r="G21" s="121"/>
      <c r="H21" s="122"/>
      <c r="I21" s="123"/>
      <c r="J21" s="122"/>
      <c r="K21" s="123"/>
      <c r="L21" s="122"/>
      <c r="M21" s="123"/>
      <c r="N21" s="122"/>
      <c r="O21" s="123"/>
      <c r="P21" s="122"/>
      <c r="Q21" s="123"/>
      <c r="R21" s="122"/>
      <c r="S21" s="123"/>
      <c r="T21" s="122"/>
      <c r="U21" s="123"/>
      <c r="V21" s="122"/>
      <c r="W21" s="123"/>
      <c r="X21" s="122"/>
      <c r="Y21" s="123"/>
      <c r="Z21" s="122"/>
      <c r="AA21" s="123"/>
      <c r="AB21" s="122"/>
      <c r="AC21" s="123"/>
      <c r="AD21" s="122"/>
      <c r="AE21" s="123"/>
      <c r="AF21" s="122"/>
      <c r="AG21" s="123"/>
      <c r="AH21" s="122"/>
      <c r="AI21" s="123"/>
      <c r="AJ21" s="122"/>
      <c r="AK21" s="123"/>
      <c r="AL21" s="122"/>
      <c r="AM21" s="123"/>
      <c r="AN21" s="122"/>
      <c r="AO21" s="123"/>
      <c r="AP21" s="122"/>
      <c r="AQ21" s="123"/>
      <c r="AR21" s="122"/>
      <c r="AS21" s="123"/>
      <c r="AT21" s="122"/>
      <c r="AU21" s="123"/>
      <c r="AV21" s="122"/>
      <c r="AW21" s="123"/>
      <c r="AX21" s="122"/>
      <c r="AY21" s="123"/>
      <c r="AZ21" s="122"/>
      <c r="BA21" s="123"/>
      <c r="BB21" s="122"/>
      <c r="BC21" s="123"/>
      <c r="BD21" s="122"/>
      <c r="BE21" s="123"/>
      <c r="BF21" s="122"/>
      <c r="BG21" s="123"/>
      <c r="BH21" s="122"/>
      <c r="BI21" s="123"/>
      <c r="BJ21" s="122"/>
      <c r="BK21" s="123"/>
      <c r="BL21" s="122"/>
      <c r="BM21" s="123"/>
      <c r="BN21" s="122"/>
      <c r="BO21" s="123"/>
      <c r="BP21" s="122"/>
      <c r="BQ21" s="123"/>
      <c r="BR21" s="124">
        <f>BR16+BR17+BR18+BR19+BR20</f>
        <v>60533.599999999999</v>
      </c>
      <c r="BS21" s="124">
        <f t="shared" ref="BS21:DX21" si="4">BS16+BS17+BS18+BS19+BS20</f>
        <v>39047.864000000001</v>
      </c>
      <c r="BT21" s="124">
        <f t="shared" si="4"/>
        <v>57748</v>
      </c>
      <c r="BU21" s="124">
        <f t="shared" si="4"/>
        <v>37226.039999999994</v>
      </c>
      <c r="BV21" s="124">
        <f t="shared" si="4"/>
        <v>55573</v>
      </c>
      <c r="BW21" s="124">
        <f t="shared" si="4"/>
        <v>35834.720000000001</v>
      </c>
      <c r="BX21" s="124">
        <f t="shared" si="4"/>
        <v>63030</v>
      </c>
      <c r="BY21" s="124">
        <f t="shared" si="4"/>
        <v>40598.160000000003</v>
      </c>
      <c r="BZ21" s="124">
        <f t="shared" si="4"/>
        <v>62108</v>
      </c>
      <c r="CA21" s="124">
        <f t="shared" si="4"/>
        <v>40075.760000000002</v>
      </c>
      <c r="CB21" s="124">
        <f t="shared" si="4"/>
        <v>62750</v>
      </c>
      <c r="CC21" s="124">
        <f t="shared" si="4"/>
        <v>40469.279999999999</v>
      </c>
      <c r="CD21" s="124">
        <f t="shared" si="4"/>
        <v>61554</v>
      </c>
      <c r="CE21" s="124">
        <f t="shared" si="4"/>
        <v>39682.800000000003</v>
      </c>
      <c r="CF21" s="124">
        <f t="shared" si="4"/>
        <v>63530</v>
      </c>
      <c r="CG21" s="124">
        <f t="shared" si="4"/>
        <v>40992.800000000003</v>
      </c>
      <c r="CH21" s="124">
        <f t="shared" si="4"/>
        <v>60746.75</v>
      </c>
      <c r="CI21" s="124">
        <f t="shared" si="4"/>
        <v>39176.573333333326</v>
      </c>
      <c r="CJ21" s="124">
        <f t="shared" si="4"/>
        <v>60746</v>
      </c>
      <c r="CK21" s="124">
        <f t="shared" si="4"/>
        <v>39176.079999999994</v>
      </c>
      <c r="CL21" s="124">
        <f t="shared" si="4"/>
        <v>66015</v>
      </c>
      <c r="CM21" s="124">
        <f t="shared" si="4"/>
        <v>42554.159999999996</v>
      </c>
      <c r="CN21" s="124">
        <f t="shared" si="4"/>
        <v>52038</v>
      </c>
      <c r="CO21" s="124">
        <f t="shared" si="4"/>
        <v>33554.159999999996</v>
      </c>
      <c r="CP21" s="124">
        <f t="shared" si="4"/>
        <v>71640</v>
      </c>
      <c r="CQ21" s="124">
        <f t="shared" si="4"/>
        <v>46232.160000000003</v>
      </c>
      <c r="CR21" s="124">
        <f t="shared" si="4"/>
        <v>53433</v>
      </c>
      <c r="CS21" s="124">
        <f t="shared" si="4"/>
        <v>34326.720000000001</v>
      </c>
      <c r="CT21" s="124">
        <f t="shared" si="4"/>
        <v>57200</v>
      </c>
      <c r="CU21" s="124">
        <f t="shared" si="4"/>
        <v>37073.600000000006</v>
      </c>
      <c r="CV21" s="124">
        <f t="shared" si="4"/>
        <v>0</v>
      </c>
      <c r="CW21" s="124">
        <f t="shared" si="4"/>
        <v>0</v>
      </c>
      <c r="CX21" s="124">
        <f t="shared" si="4"/>
        <v>0</v>
      </c>
      <c r="CY21" s="124">
        <f t="shared" si="4"/>
        <v>0</v>
      </c>
      <c r="CZ21" s="124">
        <f t="shared" si="4"/>
        <v>0</v>
      </c>
      <c r="DA21" s="124">
        <f t="shared" si="4"/>
        <v>0</v>
      </c>
      <c r="DB21" s="124">
        <f t="shared" si="4"/>
        <v>0</v>
      </c>
      <c r="DC21" s="124">
        <f t="shared" si="4"/>
        <v>0</v>
      </c>
      <c r="DD21" s="124">
        <f t="shared" si="4"/>
        <v>0</v>
      </c>
      <c r="DE21" s="124">
        <f t="shared" si="4"/>
        <v>0</v>
      </c>
      <c r="DF21" s="124">
        <f t="shared" si="4"/>
        <v>0</v>
      </c>
      <c r="DG21" s="124">
        <f t="shared" si="4"/>
        <v>0</v>
      </c>
      <c r="DH21" s="124">
        <f t="shared" si="4"/>
        <v>0</v>
      </c>
      <c r="DI21" s="124">
        <f t="shared" si="4"/>
        <v>0</v>
      </c>
      <c r="DJ21" s="214">
        <f t="shared" si="4"/>
        <v>6.9498291507597223</v>
      </c>
      <c r="DK21" s="214">
        <f t="shared" si="4"/>
        <v>6.95</v>
      </c>
      <c r="DL21" s="124">
        <f t="shared" si="4"/>
        <v>300326</v>
      </c>
      <c r="DM21" s="124">
        <f t="shared" si="4"/>
        <v>193740.79999999999</v>
      </c>
      <c r="DN21" s="124">
        <f t="shared" si="4"/>
        <v>60065.2</v>
      </c>
      <c r="DO21" s="124">
        <f t="shared" si="4"/>
        <v>38748.159999999996</v>
      </c>
      <c r="DP21" s="214">
        <f t="shared" si="4"/>
        <v>6.5679215236761079</v>
      </c>
      <c r="DQ21" s="214">
        <f t="shared" si="4"/>
        <v>-0.3819076270836137</v>
      </c>
      <c r="DR21" s="124">
        <f t="shared" si="4"/>
        <v>-55.21787394673202</v>
      </c>
      <c r="DS21" s="124">
        <f t="shared" si="4"/>
        <v>-66.669116000596148</v>
      </c>
      <c r="DT21" s="124">
        <f t="shared" si="4"/>
        <v>-428.41333333333284</v>
      </c>
      <c r="DU21" s="124">
        <f t="shared" si="4"/>
        <v>-299.7040000000045</v>
      </c>
      <c r="DV21" s="124">
        <f t="shared" si="4"/>
        <v>-30.60095238095235</v>
      </c>
      <c r="DW21" s="124">
        <f t="shared" si="4"/>
        <v>-21.407428571428888</v>
      </c>
      <c r="DX21" s="215">
        <f t="shared" si="4"/>
        <v>-107.03714285714449</v>
      </c>
    </row>
    <row r="22" spans="1:128" ht="20.399999999999999" thickBot="1">
      <c r="A22" s="101">
        <v>43</v>
      </c>
      <c r="B22" s="102" t="s">
        <v>30</v>
      </c>
      <c r="C22" s="102" t="s">
        <v>14</v>
      </c>
      <c r="D22" s="101">
        <v>3</v>
      </c>
      <c r="E22" s="101">
        <v>0.64</v>
      </c>
      <c r="F22" s="101" t="s">
        <v>20</v>
      </c>
      <c r="G22" s="101">
        <v>1270</v>
      </c>
      <c r="H22" s="103">
        <v>131800</v>
      </c>
      <c r="I22" s="104">
        <v>84352</v>
      </c>
      <c r="J22" s="103">
        <v>163296</v>
      </c>
      <c r="K22" s="104">
        <v>104509.44</v>
      </c>
      <c r="L22" s="103">
        <v>161518</v>
      </c>
      <c r="M22" s="104">
        <v>103371.52</v>
      </c>
      <c r="N22" s="103">
        <v>105252</v>
      </c>
      <c r="O22" s="104">
        <v>67361.279999999999</v>
      </c>
      <c r="P22" s="103">
        <v>100870</v>
      </c>
      <c r="Q22" s="104">
        <v>64556.800000000003</v>
      </c>
      <c r="R22" s="103">
        <v>159208</v>
      </c>
      <c r="S22" s="104">
        <v>101893.12</v>
      </c>
      <c r="T22" s="103">
        <v>146160</v>
      </c>
      <c r="U22" s="104">
        <v>93542.400000000009</v>
      </c>
      <c r="V22" s="103">
        <v>158214</v>
      </c>
      <c r="W22" s="104">
        <v>101256.96000000001</v>
      </c>
      <c r="X22" s="103">
        <v>140784</v>
      </c>
      <c r="Y22" s="104">
        <v>90101.759999999995</v>
      </c>
      <c r="Z22" s="103">
        <v>106176</v>
      </c>
      <c r="AA22" s="104">
        <v>67952.639999999999</v>
      </c>
      <c r="AB22" s="103">
        <v>152852</v>
      </c>
      <c r="AC22" s="104">
        <v>97825.279999999999</v>
      </c>
      <c r="AD22" s="103">
        <v>156408</v>
      </c>
      <c r="AE22" s="104">
        <v>100101.12</v>
      </c>
      <c r="AF22" s="105">
        <v>140211.5</v>
      </c>
      <c r="AG22" s="106">
        <v>89735.360000000001</v>
      </c>
      <c r="AH22" s="103">
        <v>167569</v>
      </c>
      <c r="AI22" s="104">
        <v>107244.16</v>
      </c>
      <c r="AJ22" s="103">
        <v>156820</v>
      </c>
      <c r="AK22" s="104">
        <v>100364.8</v>
      </c>
      <c r="AL22" s="103">
        <v>114324</v>
      </c>
      <c r="AM22" s="104">
        <v>73167.360000000001</v>
      </c>
      <c r="AN22" s="103">
        <v>130060</v>
      </c>
      <c r="AO22" s="104">
        <v>83238.400000000009</v>
      </c>
      <c r="AP22" s="103">
        <v>115192</v>
      </c>
      <c r="AQ22" s="104">
        <v>73722.880000000005</v>
      </c>
      <c r="AR22" s="103">
        <v>135985</v>
      </c>
      <c r="AS22" s="104">
        <v>87030.400000000009</v>
      </c>
      <c r="AT22" s="103">
        <v>151284</v>
      </c>
      <c r="AU22" s="104">
        <v>96821.759999999995</v>
      </c>
      <c r="AV22" s="103">
        <v>131558</v>
      </c>
      <c r="AW22" s="104">
        <v>84197.119999999995</v>
      </c>
      <c r="AX22" s="103">
        <v>123746</v>
      </c>
      <c r="AY22" s="104">
        <v>79197.440000000002</v>
      </c>
      <c r="AZ22" s="103">
        <v>134428</v>
      </c>
      <c r="BA22" s="104">
        <v>86033.919999999998</v>
      </c>
      <c r="BB22" s="103">
        <v>144902</v>
      </c>
      <c r="BC22" s="104">
        <v>92737.279999999999</v>
      </c>
      <c r="BD22" s="103">
        <v>207298</v>
      </c>
      <c r="BE22" s="104">
        <v>132670.72</v>
      </c>
      <c r="BF22" s="105">
        <v>142763.83333333334</v>
      </c>
      <c r="BG22" s="106">
        <v>91368.853333333347</v>
      </c>
      <c r="BH22" s="103">
        <v>204793</v>
      </c>
      <c r="BI22" s="104">
        <v>131067.52</v>
      </c>
      <c r="BJ22" s="103">
        <v>124476</v>
      </c>
      <c r="BK22" s="104">
        <v>79664.639999999999</v>
      </c>
      <c r="BL22" s="103">
        <v>119466</v>
      </c>
      <c r="BM22" s="104">
        <v>76458.240000000005</v>
      </c>
      <c r="BN22" s="103">
        <v>121002</v>
      </c>
      <c r="BO22" s="104">
        <v>77441.279999999999</v>
      </c>
      <c r="BP22" s="103">
        <v>136738</v>
      </c>
      <c r="BQ22" s="104">
        <v>87512.320000000007</v>
      </c>
      <c r="BR22" s="107">
        <v>141295</v>
      </c>
      <c r="BS22" s="104">
        <v>90428.800000000017</v>
      </c>
      <c r="BT22" s="103">
        <v>143416</v>
      </c>
      <c r="BU22" s="104">
        <v>91786.240000000005</v>
      </c>
      <c r="BV22" s="103">
        <v>140525</v>
      </c>
      <c r="BW22" s="104">
        <v>89936</v>
      </c>
      <c r="BX22" s="103">
        <v>137417</v>
      </c>
      <c r="BY22" s="104">
        <v>87946.880000000005</v>
      </c>
      <c r="BZ22" s="103">
        <v>149520</v>
      </c>
      <c r="CA22" s="104">
        <v>95692.800000000003</v>
      </c>
      <c r="CB22" s="103">
        <v>136758</v>
      </c>
      <c r="CC22" s="104">
        <v>87525.119999999995</v>
      </c>
      <c r="CD22" s="103">
        <v>148316</v>
      </c>
      <c r="CE22" s="104">
        <v>94922.240000000005</v>
      </c>
      <c r="CF22" s="103">
        <v>159250</v>
      </c>
      <c r="CG22" s="104">
        <v>101920</v>
      </c>
      <c r="CH22" s="105">
        <v>143473.08333333334</v>
      </c>
      <c r="CI22" s="106">
        <v>91822.773333333345</v>
      </c>
      <c r="CJ22" s="108">
        <v>143473</v>
      </c>
      <c r="CK22" s="104">
        <v>91822.720000000001</v>
      </c>
      <c r="CL22" s="109">
        <v>154924</v>
      </c>
      <c r="CM22" s="104">
        <v>99151.360000000001</v>
      </c>
      <c r="CN22" s="109">
        <v>128100</v>
      </c>
      <c r="CO22" s="110">
        <v>81984</v>
      </c>
      <c r="CP22" s="109">
        <v>168241</v>
      </c>
      <c r="CQ22" s="110">
        <v>107674.24000000001</v>
      </c>
      <c r="CR22" s="109">
        <v>113416</v>
      </c>
      <c r="CS22" s="110">
        <v>72586.240000000005</v>
      </c>
      <c r="CT22" s="109">
        <v>125095</v>
      </c>
      <c r="CU22" s="110">
        <v>80060.800000000003</v>
      </c>
      <c r="CV22" s="109"/>
      <c r="CW22" s="110">
        <v>0</v>
      </c>
      <c r="CX22" s="109"/>
      <c r="CY22" s="110">
        <v>0</v>
      </c>
      <c r="CZ22" s="109"/>
      <c r="DA22" s="110">
        <v>0</v>
      </c>
      <c r="DB22" s="109"/>
      <c r="DC22" s="110">
        <v>0</v>
      </c>
      <c r="DD22" s="109"/>
      <c r="DE22" s="110">
        <v>0</v>
      </c>
      <c r="DF22" s="109"/>
      <c r="DG22" s="110">
        <v>0</v>
      </c>
      <c r="DH22" s="109"/>
      <c r="DI22" s="110">
        <v>0</v>
      </c>
      <c r="DJ22" s="110">
        <v>16.289137423681495</v>
      </c>
      <c r="DK22" s="110">
        <v>16.29</v>
      </c>
      <c r="DL22" s="111">
        <v>689776</v>
      </c>
      <c r="DM22" s="112">
        <v>441456.63999999996</v>
      </c>
      <c r="DN22" s="113">
        <v>137955.20000000001</v>
      </c>
      <c r="DO22" s="113">
        <v>88291.327999999994</v>
      </c>
      <c r="DP22" s="114">
        <v>14.965627103974667</v>
      </c>
      <c r="DQ22" s="115">
        <v>-1.3235103197068288</v>
      </c>
      <c r="DR22" s="116">
        <v>-2.3637071375491132</v>
      </c>
      <c r="DS22" s="116">
        <v>-3.8459362586594494</v>
      </c>
      <c r="DT22" s="117">
        <v>-3531.4453333333513</v>
      </c>
      <c r="DU22" s="117">
        <v>-2137.4720000000234</v>
      </c>
      <c r="DV22" s="117">
        <v>-252.24609523809653</v>
      </c>
      <c r="DW22" s="117">
        <v>-152.67657142857311</v>
      </c>
      <c r="DX22" s="117">
        <v>-763.38285714286553</v>
      </c>
    </row>
    <row r="23" spans="1:128" s="125" customFormat="1" ht="20.399999999999999" thickBot="1">
      <c r="A23" s="119"/>
      <c r="B23" s="120"/>
      <c r="C23" s="120"/>
      <c r="D23" s="121"/>
      <c r="E23" s="121"/>
      <c r="F23" s="121"/>
      <c r="G23" s="121"/>
      <c r="H23" s="122"/>
      <c r="I23" s="123"/>
      <c r="J23" s="122"/>
      <c r="K23" s="123"/>
      <c r="L23" s="122"/>
      <c r="M23" s="123"/>
      <c r="N23" s="122"/>
      <c r="O23" s="123"/>
      <c r="P23" s="122"/>
      <c r="Q23" s="123"/>
      <c r="R23" s="122"/>
      <c r="S23" s="123"/>
      <c r="T23" s="122"/>
      <c r="U23" s="123"/>
      <c r="V23" s="122"/>
      <c r="W23" s="123"/>
      <c r="X23" s="122"/>
      <c r="Y23" s="123"/>
      <c r="Z23" s="122"/>
      <c r="AA23" s="123"/>
      <c r="AB23" s="122"/>
      <c r="AC23" s="123"/>
      <c r="AD23" s="122"/>
      <c r="AE23" s="123"/>
      <c r="AF23" s="122"/>
      <c r="AG23" s="123"/>
      <c r="AH23" s="122"/>
      <c r="AI23" s="123"/>
      <c r="AJ23" s="122"/>
      <c r="AK23" s="123"/>
      <c r="AL23" s="122"/>
      <c r="AM23" s="123"/>
      <c r="AN23" s="122"/>
      <c r="AO23" s="123"/>
      <c r="AP23" s="122"/>
      <c r="AQ23" s="123"/>
      <c r="AR23" s="122"/>
      <c r="AS23" s="123"/>
      <c r="AT23" s="122"/>
      <c r="AU23" s="123"/>
      <c r="AV23" s="122"/>
      <c r="AW23" s="123"/>
      <c r="AX23" s="122"/>
      <c r="AY23" s="123"/>
      <c r="AZ23" s="122"/>
      <c r="BA23" s="123"/>
      <c r="BB23" s="122"/>
      <c r="BC23" s="123"/>
      <c r="BD23" s="122"/>
      <c r="BE23" s="123"/>
      <c r="BF23" s="122"/>
      <c r="BG23" s="123"/>
      <c r="BH23" s="122"/>
      <c r="BI23" s="123"/>
      <c r="BJ23" s="122"/>
      <c r="BK23" s="123"/>
      <c r="BL23" s="122"/>
      <c r="BM23" s="123"/>
      <c r="BN23" s="122"/>
      <c r="BO23" s="123"/>
      <c r="BP23" s="122"/>
      <c r="BQ23" s="123"/>
      <c r="BR23" s="124">
        <f>BR22</f>
        <v>141295</v>
      </c>
      <c r="BS23" s="124">
        <f t="shared" ref="BS23:DX23" si="5">BS22</f>
        <v>90428.800000000017</v>
      </c>
      <c r="BT23" s="124">
        <f t="shared" si="5"/>
        <v>143416</v>
      </c>
      <c r="BU23" s="124">
        <f t="shared" si="5"/>
        <v>91786.240000000005</v>
      </c>
      <c r="BV23" s="124">
        <f t="shared" si="5"/>
        <v>140525</v>
      </c>
      <c r="BW23" s="124">
        <f t="shared" si="5"/>
        <v>89936</v>
      </c>
      <c r="BX23" s="124">
        <f t="shared" si="5"/>
        <v>137417</v>
      </c>
      <c r="BY23" s="124">
        <f t="shared" si="5"/>
        <v>87946.880000000005</v>
      </c>
      <c r="BZ23" s="124">
        <f t="shared" si="5"/>
        <v>149520</v>
      </c>
      <c r="CA23" s="124">
        <f t="shared" si="5"/>
        <v>95692.800000000003</v>
      </c>
      <c r="CB23" s="124">
        <f t="shared" si="5"/>
        <v>136758</v>
      </c>
      <c r="CC23" s="124">
        <f t="shared" si="5"/>
        <v>87525.119999999995</v>
      </c>
      <c r="CD23" s="124">
        <f t="shared" si="5"/>
        <v>148316</v>
      </c>
      <c r="CE23" s="124">
        <f t="shared" si="5"/>
        <v>94922.240000000005</v>
      </c>
      <c r="CF23" s="124">
        <f t="shared" si="5"/>
        <v>159250</v>
      </c>
      <c r="CG23" s="124">
        <f t="shared" si="5"/>
        <v>101920</v>
      </c>
      <c r="CH23" s="124">
        <f t="shared" si="5"/>
        <v>143473.08333333334</v>
      </c>
      <c r="CI23" s="124">
        <f t="shared" si="5"/>
        <v>91822.773333333345</v>
      </c>
      <c r="CJ23" s="124">
        <f t="shared" si="5"/>
        <v>143473</v>
      </c>
      <c r="CK23" s="124">
        <f t="shared" si="5"/>
        <v>91822.720000000001</v>
      </c>
      <c r="CL23" s="124">
        <f t="shared" si="5"/>
        <v>154924</v>
      </c>
      <c r="CM23" s="124">
        <f t="shared" si="5"/>
        <v>99151.360000000001</v>
      </c>
      <c r="CN23" s="124">
        <f t="shared" si="5"/>
        <v>128100</v>
      </c>
      <c r="CO23" s="124">
        <f t="shared" si="5"/>
        <v>81984</v>
      </c>
      <c r="CP23" s="124">
        <f t="shared" si="5"/>
        <v>168241</v>
      </c>
      <c r="CQ23" s="124">
        <f t="shared" si="5"/>
        <v>107674.24000000001</v>
      </c>
      <c r="CR23" s="124">
        <f t="shared" si="5"/>
        <v>113416</v>
      </c>
      <c r="CS23" s="124">
        <f t="shared" si="5"/>
        <v>72586.240000000005</v>
      </c>
      <c r="CT23" s="124">
        <f t="shared" si="5"/>
        <v>125095</v>
      </c>
      <c r="CU23" s="124">
        <f t="shared" si="5"/>
        <v>80060.800000000003</v>
      </c>
      <c r="CV23" s="124">
        <f t="shared" si="5"/>
        <v>0</v>
      </c>
      <c r="CW23" s="124">
        <f t="shared" si="5"/>
        <v>0</v>
      </c>
      <c r="CX23" s="124">
        <f t="shared" si="5"/>
        <v>0</v>
      </c>
      <c r="CY23" s="124">
        <f t="shared" si="5"/>
        <v>0</v>
      </c>
      <c r="CZ23" s="124">
        <f t="shared" si="5"/>
        <v>0</v>
      </c>
      <c r="DA23" s="124">
        <f t="shared" si="5"/>
        <v>0</v>
      </c>
      <c r="DB23" s="124">
        <f t="shared" si="5"/>
        <v>0</v>
      </c>
      <c r="DC23" s="124">
        <f t="shared" si="5"/>
        <v>0</v>
      </c>
      <c r="DD23" s="124">
        <f t="shared" si="5"/>
        <v>0</v>
      </c>
      <c r="DE23" s="124">
        <f t="shared" si="5"/>
        <v>0</v>
      </c>
      <c r="DF23" s="124">
        <f t="shared" si="5"/>
        <v>0</v>
      </c>
      <c r="DG23" s="124">
        <f t="shared" si="5"/>
        <v>0</v>
      </c>
      <c r="DH23" s="124">
        <f t="shared" si="5"/>
        <v>0</v>
      </c>
      <c r="DI23" s="124">
        <f t="shared" si="5"/>
        <v>0</v>
      </c>
      <c r="DJ23" s="214">
        <f t="shared" si="5"/>
        <v>16.289137423681495</v>
      </c>
      <c r="DK23" s="214">
        <f t="shared" si="5"/>
        <v>16.29</v>
      </c>
      <c r="DL23" s="124">
        <f t="shared" si="5"/>
        <v>689776</v>
      </c>
      <c r="DM23" s="124">
        <f t="shared" si="5"/>
        <v>441456.63999999996</v>
      </c>
      <c r="DN23" s="124">
        <f t="shared" si="5"/>
        <v>137955.20000000001</v>
      </c>
      <c r="DO23" s="124">
        <f t="shared" si="5"/>
        <v>88291.327999999994</v>
      </c>
      <c r="DP23" s="214">
        <f t="shared" si="5"/>
        <v>14.965627103974667</v>
      </c>
      <c r="DQ23" s="214">
        <f t="shared" si="5"/>
        <v>-1.3235103197068288</v>
      </c>
      <c r="DR23" s="124">
        <f t="shared" si="5"/>
        <v>-2.3637071375491132</v>
      </c>
      <c r="DS23" s="124">
        <f t="shared" si="5"/>
        <v>-3.8459362586594494</v>
      </c>
      <c r="DT23" s="124">
        <f t="shared" si="5"/>
        <v>-3531.4453333333513</v>
      </c>
      <c r="DU23" s="124">
        <f t="shared" si="5"/>
        <v>-2137.4720000000234</v>
      </c>
      <c r="DV23" s="124">
        <f t="shared" si="5"/>
        <v>-252.24609523809653</v>
      </c>
      <c r="DW23" s="124">
        <f t="shared" si="5"/>
        <v>-152.67657142857311</v>
      </c>
      <c r="DX23" s="215">
        <f t="shared" si="5"/>
        <v>-763.38285714286553</v>
      </c>
    </row>
    <row r="24" spans="1:128" ht="20.399999999999999" thickBot="1">
      <c r="A24" s="101">
        <v>47</v>
      </c>
      <c r="B24" s="102" t="s">
        <v>62</v>
      </c>
      <c r="C24" s="102" t="s">
        <v>14</v>
      </c>
      <c r="D24" s="101">
        <v>5</v>
      </c>
      <c r="E24" s="101">
        <v>0.64</v>
      </c>
      <c r="F24" s="101" t="s">
        <v>20</v>
      </c>
      <c r="G24" s="101">
        <v>1230</v>
      </c>
      <c r="H24" s="103">
        <v>74970</v>
      </c>
      <c r="I24" s="104">
        <v>47980.800000000003</v>
      </c>
      <c r="J24" s="103">
        <v>68278</v>
      </c>
      <c r="K24" s="104">
        <v>43697.919999999998</v>
      </c>
      <c r="L24" s="103">
        <v>73962</v>
      </c>
      <c r="M24" s="104">
        <v>47335.68</v>
      </c>
      <c r="N24" s="103">
        <v>48118</v>
      </c>
      <c r="O24" s="104">
        <v>30795.52</v>
      </c>
      <c r="P24" s="103">
        <v>58968</v>
      </c>
      <c r="Q24" s="104">
        <v>37739.520000000004</v>
      </c>
      <c r="R24" s="103">
        <v>63574</v>
      </c>
      <c r="S24" s="104">
        <v>40687.360000000001</v>
      </c>
      <c r="T24" s="103">
        <v>57927</v>
      </c>
      <c r="U24" s="104">
        <v>37073.279999999999</v>
      </c>
      <c r="V24" s="103">
        <v>66318</v>
      </c>
      <c r="W24" s="104">
        <v>42443.520000000004</v>
      </c>
      <c r="X24" s="103">
        <v>60858</v>
      </c>
      <c r="Y24" s="104">
        <v>38949.120000000003</v>
      </c>
      <c r="Z24" s="103">
        <v>64358</v>
      </c>
      <c r="AA24" s="104">
        <v>41189.120000000003</v>
      </c>
      <c r="AB24" s="103">
        <v>66906</v>
      </c>
      <c r="AC24" s="104">
        <v>42819.840000000004</v>
      </c>
      <c r="AD24" s="103">
        <v>73374</v>
      </c>
      <c r="AE24" s="104">
        <v>46959.360000000001</v>
      </c>
      <c r="AF24" s="105">
        <v>64800.916666666664</v>
      </c>
      <c r="AG24" s="106">
        <v>41472.586666666662</v>
      </c>
      <c r="AH24" s="103">
        <v>80892</v>
      </c>
      <c r="AI24" s="104">
        <v>51770.880000000005</v>
      </c>
      <c r="AJ24" s="103">
        <v>53830</v>
      </c>
      <c r="AK24" s="104">
        <v>34451.199999999997</v>
      </c>
      <c r="AL24" s="103">
        <v>55370</v>
      </c>
      <c r="AM24" s="104">
        <v>35436.800000000003</v>
      </c>
      <c r="AN24" s="103">
        <v>52542</v>
      </c>
      <c r="AO24" s="104">
        <v>33626.879999999997</v>
      </c>
      <c r="AP24" s="103">
        <v>50932</v>
      </c>
      <c r="AQ24" s="104">
        <v>32596.48</v>
      </c>
      <c r="AR24" s="103">
        <v>57764</v>
      </c>
      <c r="AS24" s="104">
        <v>36968.959999999999</v>
      </c>
      <c r="AT24" s="103">
        <v>57736</v>
      </c>
      <c r="AU24" s="104">
        <v>36951.040000000001</v>
      </c>
      <c r="AV24" s="103">
        <v>56924</v>
      </c>
      <c r="AW24" s="104">
        <v>36431.360000000001</v>
      </c>
      <c r="AX24" s="103">
        <v>57470</v>
      </c>
      <c r="AY24" s="104">
        <v>36780.800000000003</v>
      </c>
      <c r="AZ24" s="103">
        <v>61329</v>
      </c>
      <c r="BA24" s="104">
        <v>39250.559999999998</v>
      </c>
      <c r="BB24" s="103">
        <v>62412</v>
      </c>
      <c r="BC24" s="104">
        <v>39943.68</v>
      </c>
      <c r="BD24" s="103">
        <v>74214</v>
      </c>
      <c r="BE24" s="104">
        <v>47496.959999999999</v>
      </c>
      <c r="BF24" s="105">
        <v>60117.916666666664</v>
      </c>
      <c r="BG24" s="106">
        <v>38475.466666666667</v>
      </c>
      <c r="BH24" s="103">
        <v>67704</v>
      </c>
      <c r="BI24" s="104">
        <v>43330.559999999998</v>
      </c>
      <c r="BJ24" s="103">
        <v>60746</v>
      </c>
      <c r="BK24" s="104">
        <v>38877.440000000002</v>
      </c>
      <c r="BL24" s="103">
        <v>59836</v>
      </c>
      <c r="BM24" s="104">
        <v>38295.040000000001</v>
      </c>
      <c r="BN24" s="103">
        <v>50484</v>
      </c>
      <c r="BO24" s="104">
        <v>32309.760000000002</v>
      </c>
      <c r="BP24" s="103">
        <v>59738</v>
      </c>
      <c r="BQ24" s="104">
        <v>38232.32</v>
      </c>
      <c r="BR24" s="107">
        <v>59701.599999999999</v>
      </c>
      <c r="BS24" s="104">
        <v>38209.024000000005</v>
      </c>
      <c r="BT24" s="103">
        <v>58751</v>
      </c>
      <c r="BU24" s="104">
        <v>37600.639999999999</v>
      </c>
      <c r="BV24" s="103">
        <v>60256</v>
      </c>
      <c r="BW24" s="104">
        <v>38563.840000000004</v>
      </c>
      <c r="BX24" s="103">
        <v>54824</v>
      </c>
      <c r="BY24" s="104">
        <v>35087.360000000001</v>
      </c>
      <c r="BZ24" s="103">
        <v>60466</v>
      </c>
      <c r="CA24" s="104">
        <v>38698.239999999998</v>
      </c>
      <c r="CB24" s="103">
        <v>67844</v>
      </c>
      <c r="CC24" s="104">
        <v>43420.160000000003</v>
      </c>
      <c r="CD24" s="103">
        <v>63854</v>
      </c>
      <c r="CE24" s="104">
        <v>40866.559999999998</v>
      </c>
      <c r="CF24" s="103">
        <v>77781</v>
      </c>
      <c r="CG24" s="104">
        <v>49779.840000000004</v>
      </c>
      <c r="CH24" s="105">
        <v>61857</v>
      </c>
      <c r="CI24" s="106">
        <v>39588.480000000003</v>
      </c>
      <c r="CJ24" s="108">
        <v>61857</v>
      </c>
      <c r="CK24" s="104">
        <v>39588.480000000003</v>
      </c>
      <c r="CL24" s="109">
        <v>68715</v>
      </c>
      <c r="CM24" s="104">
        <v>43977.599999999999</v>
      </c>
      <c r="CN24" s="109">
        <v>60634</v>
      </c>
      <c r="CO24" s="110">
        <v>38805.760000000002</v>
      </c>
      <c r="CP24" s="109">
        <v>70656</v>
      </c>
      <c r="CQ24" s="110">
        <v>45219.840000000004</v>
      </c>
      <c r="CR24" s="109">
        <v>50554</v>
      </c>
      <c r="CS24" s="110">
        <v>32354.560000000001</v>
      </c>
      <c r="CT24" s="109">
        <v>59329</v>
      </c>
      <c r="CU24" s="110">
        <v>37970.559999999998</v>
      </c>
      <c r="CV24" s="109"/>
      <c r="CW24" s="110">
        <v>0</v>
      </c>
      <c r="CX24" s="109"/>
      <c r="CY24" s="110">
        <v>0</v>
      </c>
      <c r="CZ24" s="109"/>
      <c r="DA24" s="110">
        <v>0</v>
      </c>
      <c r="DB24" s="109"/>
      <c r="DC24" s="110">
        <v>0</v>
      </c>
      <c r="DD24" s="109"/>
      <c r="DE24" s="110">
        <v>0</v>
      </c>
      <c r="DF24" s="109"/>
      <c r="DG24" s="110">
        <v>0</v>
      </c>
      <c r="DH24" s="109"/>
      <c r="DI24" s="110">
        <v>0</v>
      </c>
      <c r="DJ24" s="110">
        <v>7.0229003950218276</v>
      </c>
      <c r="DK24" s="110">
        <v>7.02</v>
      </c>
      <c r="DL24" s="111">
        <v>309888</v>
      </c>
      <c r="DM24" s="112">
        <v>198328.32000000001</v>
      </c>
      <c r="DN24" s="113">
        <v>61977.599999999999</v>
      </c>
      <c r="DO24" s="113">
        <v>39665.664000000004</v>
      </c>
      <c r="DP24" s="114">
        <v>6.7234410185284821</v>
      </c>
      <c r="DQ24" s="115">
        <v>-0.29945937649334553</v>
      </c>
      <c r="DR24" s="116">
        <v>3.812293137872345</v>
      </c>
      <c r="DS24" s="116">
        <v>0.19496580823512488</v>
      </c>
      <c r="DT24" s="117">
        <v>77.184000000001106</v>
      </c>
      <c r="DU24" s="117">
        <v>1456.6399999999994</v>
      </c>
      <c r="DV24" s="117">
        <v>5.5131428571429364</v>
      </c>
      <c r="DW24" s="117">
        <v>104.04571428571424</v>
      </c>
      <c r="DX24" s="117">
        <v>520.22857142857117</v>
      </c>
    </row>
    <row r="25" spans="1:128" s="125" customFormat="1" ht="20.399999999999999" thickBot="1">
      <c r="A25" s="119"/>
      <c r="B25" s="120"/>
      <c r="C25" s="120"/>
      <c r="D25" s="121"/>
      <c r="E25" s="121"/>
      <c r="F25" s="121"/>
      <c r="G25" s="121"/>
      <c r="H25" s="122"/>
      <c r="I25" s="123"/>
      <c r="J25" s="122"/>
      <c r="K25" s="123"/>
      <c r="L25" s="122"/>
      <c r="M25" s="123"/>
      <c r="N25" s="122"/>
      <c r="O25" s="123"/>
      <c r="P25" s="122"/>
      <c r="Q25" s="123"/>
      <c r="R25" s="122"/>
      <c r="S25" s="123"/>
      <c r="T25" s="122"/>
      <c r="U25" s="123"/>
      <c r="V25" s="122"/>
      <c r="W25" s="123"/>
      <c r="X25" s="122"/>
      <c r="Y25" s="123"/>
      <c r="Z25" s="122"/>
      <c r="AA25" s="123"/>
      <c r="AB25" s="122"/>
      <c r="AC25" s="123"/>
      <c r="AD25" s="122"/>
      <c r="AE25" s="123"/>
      <c r="AF25" s="122"/>
      <c r="AG25" s="123"/>
      <c r="AH25" s="122"/>
      <c r="AI25" s="123"/>
      <c r="AJ25" s="122"/>
      <c r="AK25" s="123"/>
      <c r="AL25" s="122"/>
      <c r="AM25" s="123"/>
      <c r="AN25" s="122"/>
      <c r="AO25" s="123"/>
      <c r="AP25" s="122"/>
      <c r="AQ25" s="123"/>
      <c r="AR25" s="122"/>
      <c r="AS25" s="123"/>
      <c r="AT25" s="122"/>
      <c r="AU25" s="123"/>
      <c r="AV25" s="122"/>
      <c r="AW25" s="123"/>
      <c r="AX25" s="122"/>
      <c r="AY25" s="123"/>
      <c r="AZ25" s="122"/>
      <c r="BA25" s="123"/>
      <c r="BB25" s="122"/>
      <c r="BC25" s="123"/>
      <c r="BD25" s="122"/>
      <c r="BE25" s="123"/>
      <c r="BF25" s="122"/>
      <c r="BG25" s="123"/>
      <c r="BH25" s="122"/>
      <c r="BI25" s="123"/>
      <c r="BJ25" s="122"/>
      <c r="BK25" s="123"/>
      <c r="BL25" s="122"/>
      <c r="BM25" s="123"/>
      <c r="BN25" s="122"/>
      <c r="BO25" s="123"/>
      <c r="BP25" s="122"/>
      <c r="BQ25" s="123"/>
      <c r="BR25" s="124">
        <f>BR24</f>
        <v>59701.599999999999</v>
      </c>
      <c r="BS25" s="124">
        <f t="shared" ref="BS25:DX25" si="6">BS24</f>
        <v>38209.024000000005</v>
      </c>
      <c r="BT25" s="124">
        <f t="shared" si="6"/>
        <v>58751</v>
      </c>
      <c r="BU25" s="124">
        <f t="shared" si="6"/>
        <v>37600.639999999999</v>
      </c>
      <c r="BV25" s="124">
        <f t="shared" si="6"/>
        <v>60256</v>
      </c>
      <c r="BW25" s="124">
        <f t="shared" si="6"/>
        <v>38563.840000000004</v>
      </c>
      <c r="BX25" s="124">
        <f t="shared" si="6"/>
        <v>54824</v>
      </c>
      <c r="BY25" s="124">
        <f t="shared" si="6"/>
        <v>35087.360000000001</v>
      </c>
      <c r="BZ25" s="124">
        <f t="shared" si="6"/>
        <v>60466</v>
      </c>
      <c r="CA25" s="124">
        <f t="shared" si="6"/>
        <v>38698.239999999998</v>
      </c>
      <c r="CB25" s="124">
        <f t="shared" si="6"/>
        <v>67844</v>
      </c>
      <c r="CC25" s="124">
        <f t="shared" si="6"/>
        <v>43420.160000000003</v>
      </c>
      <c r="CD25" s="124">
        <f t="shared" si="6"/>
        <v>63854</v>
      </c>
      <c r="CE25" s="124">
        <f t="shared" si="6"/>
        <v>40866.559999999998</v>
      </c>
      <c r="CF25" s="124">
        <f t="shared" si="6"/>
        <v>77781</v>
      </c>
      <c r="CG25" s="124">
        <f t="shared" si="6"/>
        <v>49779.840000000004</v>
      </c>
      <c r="CH25" s="124">
        <f t="shared" si="6"/>
        <v>61857</v>
      </c>
      <c r="CI25" s="124">
        <f t="shared" si="6"/>
        <v>39588.480000000003</v>
      </c>
      <c r="CJ25" s="124">
        <f t="shared" si="6"/>
        <v>61857</v>
      </c>
      <c r="CK25" s="124">
        <f t="shared" si="6"/>
        <v>39588.480000000003</v>
      </c>
      <c r="CL25" s="124">
        <f t="shared" si="6"/>
        <v>68715</v>
      </c>
      <c r="CM25" s="124">
        <f t="shared" si="6"/>
        <v>43977.599999999999</v>
      </c>
      <c r="CN25" s="124">
        <f t="shared" si="6"/>
        <v>60634</v>
      </c>
      <c r="CO25" s="124">
        <f t="shared" si="6"/>
        <v>38805.760000000002</v>
      </c>
      <c r="CP25" s="124">
        <f t="shared" si="6"/>
        <v>70656</v>
      </c>
      <c r="CQ25" s="124">
        <f t="shared" si="6"/>
        <v>45219.840000000004</v>
      </c>
      <c r="CR25" s="124">
        <f t="shared" si="6"/>
        <v>50554</v>
      </c>
      <c r="CS25" s="124">
        <f t="shared" si="6"/>
        <v>32354.560000000001</v>
      </c>
      <c r="CT25" s="124">
        <f t="shared" si="6"/>
        <v>59329</v>
      </c>
      <c r="CU25" s="124">
        <f t="shared" si="6"/>
        <v>37970.559999999998</v>
      </c>
      <c r="CV25" s="124">
        <f t="shared" si="6"/>
        <v>0</v>
      </c>
      <c r="CW25" s="124">
        <f t="shared" si="6"/>
        <v>0</v>
      </c>
      <c r="CX25" s="124">
        <f t="shared" si="6"/>
        <v>0</v>
      </c>
      <c r="CY25" s="124">
        <f t="shared" si="6"/>
        <v>0</v>
      </c>
      <c r="CZ25" s="124">
        <f t="shared" si="6"/>
        <v>0</v>
      </c>
      <c r="DA25" s="124">
        <f t="shared" si="6"/>
        <v>0</v>
      </c>
      <c r="DB25" s="124">
        <f t="shared" si="6"/>
        <v>0</v>
      </c>
      <c r="DC25" s="124">
        <f t="shared" si="6"/>
        <v>0</v>
      </c>
      <c r="DD25" s="124">
        <f t="shared" si="6"/>
        <v>0</v>
      </c>
      <c r="DE25" s="124">
        <f t="shared" si="6"/>
        <v>0</v>
      </c>
      <c r="DF25" s="124">
        <f t="shared" si="6"/>
        <v>0</v>
      </c>
      <c r="DG25" s="124">
        <f t="shared" si="6"/>
        <v>0</v>
      </c>
      <c r="DH25" s="124">
        <f t="shared" si="6"/>
        <v>0</v>
      </c>
      <c r="DI25" s="124">
        <f t="shared" si="6"/>
        <v>0</v>
      </c>
      <c r="DJ25" s="214">
        <f t="shared" si="6"/>
        <v>7.0229003950218276</v>
      </c>
      <c r="DK25" s="214">
        <f t="shared" si="6"/>
        <v>7.02</v>
      </c>
      <c r="DL25" s="124">
        <f t="shared" si="6"/>
        <v>309888</v>
      </c>
      <c r="DM25" s="124">
        <f t="shared" si="6"/>
        <v>198328.32000000001</v>
      </c>
      <c r="DN25" s="124">
        <f t="shared" si="6"/>
        <v>61977.599999999999</v>
      </c>
      <c r="DO25" s="124">
        <f t="shared" si="6"/>
        <v>39665.664000000004</v>
      </c>
      <c r="DP25" s="214">
        <f t="shared" si="6"/>
        <v>6.7234410185284821</v>
      </c>
      <c r="DQ25" s="214">
        <f t="shared" si="6"/>
        <v>-0.29945937649334553</v>
      </c>
      <c r="DR25" s="124">
        <f t="shared" si="6"/>
        <v>3.812293137872345</v>
      </c>
      <c r="DS25" s="124">
        <f t="shared" si="6"/>
        <v>0.19496580823512488</v>
      </c>
      <c r="DT25" s="124">
        <f t="shared" si="6"/>
        <v>77.184000000001106</v>
      </c>
      <c r="DU25" s="124">
        <f t="shared" si="6"/>
        <v>1456.6399999999994</v>
      </c>
      <c r="DV25" s="124">
        <f t="shared" si="6"/>
        <v>5.5131428571429364</v>
      </c>
      <c r="DW25" s="124">
        <f t="shared" si="6"/>
        <v>104.04571428571424</v>
      </c>
      <c r="DX25" s="215">
        <f t="shared" si="6"/>
        <v>520.22857142857117</v>
      </c>
    </row>
    <row r="26" spans="1:128" ht="20.399999999999999" thickBot="1">
      <c r="A26" s="101">
        <v>52</v>
      </c>
      <c r="B26" s="102" t="s">
        <v>31</v>
      </c>
      <c r="C26" s="102" t="s">
        <v>14</v>
      </c>
      <c r="D26" s="101">
        <v>16</v>
      </c>
      <c r="E26" s="101">
        <v>0.64</v>
      </c>
      <c r="F26" s="101" t="s">
        <v>20</v>
      </c>
      <c r="G26" s="101">
        <v>1250</v>
      </c>
      <c r="H26" s="103">
        <v>9128</v>
      </c>
      <c r="I26" s="104">
        <v>5841.92</v>
      </c>
      <c r="J26" s="103">
        <v>6594</v>
      </c>
      <c r="K26" s="104">
        <v>4220.16</v>
      </c>
      <c r="L26" s="103">
        <v>10458</v>
      </c>
      <c r="M26" s="104">
        <v>6693.12</v>
      </c>
      <c r="N26" s="103">
        <v>7602</v>
      </c>
      <c r="O26" s="104">
        <v>4865.28</v>
      </c>
      <c r="P26" s="103">
        <v>7350</v>
      </c>
      <c r="Q26" s="104">
        <v>4704</v>
      </c>
      <c r="R26" s="103">
        <v>9688</v>
      </c>
      <c r="S26" s="104">
        <v>6200.32</v>
      </c>
      <c r="T26" s="103">
        <v>7000</v>
      </c>
      <c r="U26" s="104">
        <v>4480</v>
      </c>
      <c r="V26" s="103">
        <v>8358</v>
      </c>
      <c r="W26" s="104">
        <v>5349.12</v>
      </c>
      <c r="X26" s="103">
        <v>6860</v>
      </c>
      <c r="Y26" s="104">
        <v>4390.4000000000005</v>
      </c>
      <c r="Z26" s="103">
        <v>7700</v>
      </c>
      <c r="AA26" s="104">
        <v>4928</v>
      </c>
      <c r="AB26" s="103">
        <v>8568</v>
      </c>
      <c r="AC26" s="104">
        <v>5483.52</v>
      </c>
      <c r="AD26" s="103">
        <v>10920</v>
      </c>
      <c r="AE26" s="104">
        <v>6988.8</v>
      </c>
      <c r="AF26" s="105">
        <v>8352.1666666666661</v>
      </c>
      <c r="AG26" s="106">
        <v>5345.3866666666663</v>
      </c>
      <c r="AH26" s="103">
        <v>12866</v>
      </c>
      <c r="AI26" s="104">
        <v>8234.24</v>
      </c>
      <c r="AJ26" s="103">
        <v>7532</v>
      </c>
      <c r="AK26" s="104">
        <v>4820.4800000000005</v>
      </c>
      <c r="AL26" s="103">
        <v>7742</v>
      </c>
      <c r="AM26" s="104">
        <v>4954.88</v>
      </c>
      <c r="AN26" s="103">
        <v>7000</v>
      </c>
      <c r="AO26" s="104">
        <v>4480</v>
      </c>
      <c r="AP26" s="103">
        <v>3780</v>
      </c>
      <c r="AQ26" s="104">
        <v>2419.2000000000003</v>
      </c>
      <c r="AR26" s="103">
        <v>4760</v>
      </c>
      <c r="AS26" s="104">
        <v>3046.4</v>
      </c>
      <c r="AT26" s="103">
        <v>8540</v>
      </c>
      <c r="AU26" s="104">
        <v>5465.6</v>
      </c>
      <c r="AV26" s="103">
        <v>7546</v>
      </c>
      <c r="AW26" s="104">
        <v>4829.4400000000005</v>
      </c>
      <c r="AX26" s="103">
        <v>7070</v>
      </c>
      <c r="AY26" s="104">
        <v>4524.8</v>
      </c>
      <c r="AZ26" s="103">
        <v>3780</v>
      </c>
      <c r="BA26" s="104">
        <v>2419.2000000000003</v>
      </c>
      <c r="BB26" s="103">
        <v>5586</v>
      </c>
      <c r="BC26" s="104">
        <v>3575.04</v>
      </c>
      <c r="BD26" s="103">
        <v>8070</v>
      </c>
      <c r="BE26" s="104">
        <v>5164.8</v>
      </c>
      <c r="BF26" s="105">
        <v>7022.666666666667</v>
      </c>
      <c r="BG26" s="106">
        <v>4494.5066666666671</v>
      </c>
      <c r="BH26" s="103">
        <v>6426</v>
      </c>
      <c r="BI26" s="104">
        <v>4112.6400000000003</v>
      </c>
      <c r="BJ26" s="103">
        <v>5473</v>
      </c>
      <c r="BK26" s="104">
        <v>3502.7200000000003</v>
      </c>
      <c r="BL26" s="103">
        <v>6440</v>
      </c>
      <c r="BM26" s="104">
        <v>4121.6000000000004</v>
      </c>
      <c r="BN26" s="103">
        <v>3542</v>
      </c>
      <c r="BO26" s="104">
        <v>2266.88</v>
      </c>
      <c r="BP26" s="103">
        <v>5124</v>
      </c>
      <c r="BQ26" s="104">
        <v>3279.36</v>
      </c>
      <c r="BR26" s="107">
        <v>5401</v>
      </c>
      <c r="BS26" s="104">
        <v>3456.6400000000003</v>
      </c>
      <c r="BT26" s="103">
        <v>6335</v>
      </c>
      <c r="BU26" s="104">
        <v>4054.4</v>
      </c>
      <c r="BV26" s="103">
        <v>5614</v>
      </c>
      <c r="BW26" s="104">
        <v>3592.96</v>
      </c>
      <c r="BX26" s="103">
        <v>8190</v>
      </c>
      <c r="BY26" s="104">
        <v>5241.6000000000004</v>
      </c>
      <c r="BZ26" s="103">
        <v>8190</v>
      </c>
      <c r="CA26" s="104">
        <v>5241.6000000000004</v>
      </c>
      <c r="CB26" s="103">
        <v>5670</v>
      </c>
      <c r="CC26" s="104">
        <v>3628.8</v>
      </c>
      <c r="CD26" s="103">
        <v>5670</v>
      </c>
      <c r="CE26" s="104">
        <v>3628.8</v>
      </c>
      <c r="CF26" s="103">
        <v>6510</v>
      </c>
      <c r="CG26" s="104">
        <v>4166.3999999999996</v>
      </c>
      <c r="CH26" s="105">
        <v>6098.666666666667</v>
      </c>
      <c r="CI26" s="106">
        <v>3903.146666666667</v>
      </c>
      <c r="CJ26" s="108">
        <v>6099</v>
      </c>
      <c r="CK26" s="104">
        <v>3903.36</v>
      </c>
      <c r="CL26" s="109">
        <v>6650</v>
      </c>
      <c r="CM26" s="104">
        <v>4256</v>
      </c>
      <c r="CN26" s="109">
        <v>3500</v>
      </c>
      <c r="CO26" s="110">
        <v>2240</v>
      </c>
      <c r="CP26" s="109">
        <v>6762</v>
      </c>
      <c r="CQ26" s="110">
        <v>4327.68</v>
      </c>
      <c r="CR26" s="109">
        <v>3514</v>
      </c>
      <c r="CS26" s="110">
        <v>2248.96</v>
      </c>
      <c r="CT26" s="109">
        <v>4410</v>
      </c>
      <c r="CU26" s="110">
        <v>2822.4</v>
      </c>
      <c r="CV26" s="109"/>
      <c r="CW26" s="110">
        <v>0</v>
      </c>
      <c r="CX26" s="109"/>
      <c r="CY26" s="110">
        <v>0</v>
      </c>
      <c r="CZ26" s="109"/>
      <c r="DA26" s="110">
        <v>0</v>
      </c>
      <c r="DB26" s="109"/>
      <c r="DC26" s="110">
        <v>0</v>
      </c>
      <c r="DD26" s="109"/>
      <c r="DE26" s="110">
        <v>0</v>
      </c>
      <c r="DF26" s="109"/>
      <c r="DG26" s="110">
        <v>0</v>
      </c>
      <c r="DH26" s="109"/>
      <c r="DI26" s="110">
        <v>0</v>
      </c>
      <c r="DJ26" s="110">
        <v>0.69240875798114665</v>
      </c>
      <c r="DK26" s="110">
        <v>0.69</v>
      </c>
      <c r="DL26" s="111">
        <v>24836</v>
      </c>
      <c r="DM26" s="112">
        <v>15895.039999999999</v>
      </c>
      <c r="DN26" s="113">
        <v>4967.2</v>
      </c>
      <c r="DO26" s="113">
        <v>3179.0079999999998</v>
      </c>
      <c r="DP26" s="114">
        <v>0.53885074974240166</v>
      </c>
      <c r="DQ26" s="115">
        <v>-0.15355800823874499</v>
      </c>
      <c r="DR26" s="116">
        <v>-8.0318459544529048</v>
      </c>
      <c r="DS26" s="116">
        <v>-18.552689112374296</v>
      </c>
      <c r="DT26" s="117">
        <v>-724.13866666666718</v>
      </c>
      <c r="DU26" s="117">
        <v>-277.63200000000052</v>
      </c>
      <c r="DV26" s="117">
        <v>-51.724190476190515</v>
      </c>
      <c r="DW26" s="117">
        <v>-19.83085714285718</v>
      </c>
      <c r="DX26" s="117">
        <v>-99.154285714285905</v>
      </c>
    </row>
    <row r="27" spans="1:128" s="125" customFormat="1" ht="20.399999999999999" thickBot="1">
      <c r="A27" s="119"/>
      <c r="B27" s="120"/>
      <c r="C27" s="120"/>
      <c r="D27" s="121"/>
      <c r="E27" s="121"/>
      <c r="F27" s="121"/>
      <c r="G27" s="121"/>
      <c r="H27" s="122"/>
      <c r="I27" s="123"/>
      <c r="J27" s="122"/>
      <c r="K27" s="123"/>
      <c r="L27" s="122"/>
      <c r="M27" s="123"/>
      <c r="N27" s="122"/>
      <c r="O27" s="123"/>
      <c r="P27" s="122"/>
      <c r="Q27" s="123"/>
      <c r="R27" s="122"/>
      <c r="S27" s="123"/>
      <c r="T27" s="122"/>
      <c r="U27" s="123"/>
      <c r="V27" s="122"/>
      <c r="W27" s="123"/>
      <c r="X27" s="122"/>
      <c r="Y27" s="123"/>
      <c r="Z27" s="122"/>
      <c r="AA27" s="123"/>
      <c r="AB27" s="122"/>
      <c r="AC27" s="123"/>
      <c r="AD27" s="122"/>
      <c r="AE27" s="123"/>
      <c r="AF27" s="122"/>
      <c r="AG27" s="123"/>
      <c r="AH27" s="122"/>
      <c r="AI27" s="123"/>
      <c r="AJ27" s="122"/>
      <c r="AK27" s="123"/>
      <c r="AL27" s="122"/>
      <c r="AM27" s="123"/>
      <c r="AN27" s="122"/>
      <c r="AO27" s="123"/>
      <c r="AP27" s="122"/>
      <c r="AQ27" s="123"/>
      <c r="AR27" s="122"/>
      <c r="AS27" s="123"/>
      <c r="AT27" s="122"/>
      <c r="AU27" s="123"/>
      <c r="AV27" s="122"/>
      <c r="AW27" s="123"/>
      <c r="AX27" s="122"/>
      <c r="AY27" s="123"/>
      <c r="AZ27" s="122"/>
      <c r="BA27" s="123"/>
      <c r="BB27" s="122"/>
      <c r="BC27" s="123"/>
      <c r="BD27" s="122"/>
      <c r="BE27" s="123"/>
      <c r="BF27" s="122"/>
      <c r="BG27" s="123"/>
      <c r="BH27" s="122"/>
      <c r="BI27" s="123"/>
      <c r="BJ27" s="122"/>
      <c r="BK27" s="123"/>
      <c r="BL27" s="122"/>
      <c r="BM27" s="123"/>
      <c r="BN27" s="122"/>
      <c r="BO27" s="123"/>
      <c r="BP27" s="122"/>
      <c r="BQ27" s="123"/>
      <c r="BR27" s="124">
        <f>BR26</f>
        <v>5401</v>
      </c>
      <c r="BS27" s="124">
        <f t="shared" ref="BS27:DX27" si="7">BS26</f>
        <v>3456.6400000000003</v>
      </c>
      <c r="BT27" s="124">
        <f t="shared" si="7"/>
        <v>6335</v>
      </c>
      <c r="BU27" s="124">
        <f t="shared" si="7"/>
        <v>4054.4</v>
      </c>
      <c r="BV27" s="124">
        <f t="shared" si="7"/>
        <v>5614</v>
      </c>
      <c r="BW27" s="124">
        <f t="shared" si="7"/>
        <v>3592.96</v>
      </c>
      <c r="BX27" s="124">
        <f t="shared" si="7"/>
        <v>8190</v>
      </c>
      <c r="BY27" s="124">
        <f t="shared" si="7"/>
        <v>5241.6000000000004</v>
      </c>
      <c r="BZ27" s="124">
        <f t="shared" si="7"/>
        <v>8190</v>
      </c>
      <c r="CA27" s="124">
        <f t="shared" si="7"/>
        <v>5241.6000000000004</v>
      </c>
      <c r="CB27" s="124">
        <f t="shared" si="7"/>
        <v>5670</v>
      </c>
      <c r="CC27" s="124">
        <f t="shared" si="7"/>
        <v>3628.8</v>
      </c>
      <c r="CD27" s="124">
        <f t="shared" si="7"/>
        <v>5670</v>
      </c>
      <c r="CE27" s="124">
        <f t="shared" si="7"/>
        <v>3628.8</v>
      </c>
      <c r="CF27" s="124">
        <f t="shared" si="7"/>
        <v>6510</v>
      </c>
      <c r="CG27" s="124">
        <f t="shared" si="7"/>
        <v>4166.3999999999996</v>
      </c>
      <c r="CH27" s="124">
        <f t="shared" si="7"/>
        <v>6098.666666666667</v>
      </c>
      <c r="CI27" s="124">
        <f t="shared" si="7"/>
        <v>3903.146666666667</v>
      </c>
      <c r="CJ27" s="124">
        <f t="shared" si="7"/>
        <v>6099</v>
      </c>
      <c r="CK27" s="124">
        <f t="shared" si="7"/>
        <v>3903.36</v>
      </c>
      <c r="CL27" s="124">
        <f t="shared" si="7"/>
        <v>6650</v>
      </c>
      <c r="CM27" s="124">
        <f t="shared" si="7"/>
        <v>4256</v>
      </c>
      <c r="CN27" s="124">
        <f t="shared" si="7"/>
        <v>3500</v>
      </c>
      <c r="CO27" s="124">
        <f t="shared" si="7"/>
        <v>2240</v>
      </c>
      <c r="CP27" s="124">
        <f t="shared" si="7"/>
        <v>6762</v>
      </c>
      <c r="CQ27" s="124">
        <f t="shared" si="7"/>
        <v>4327.68</v>
      </c>
      <c r="CR27" s="124">
        <f t="shared" si="7"/>
        <v>3514</v>
      </c>
      <c r="CS27" s="124">
        <f t="shared" si="7"/>
        <v>2248.96</v>
      </c>
      <c r="CT27" s="124">
        <f t="shared" si="7"/>
        <v>4410</v>
      </c>
      <c r="CU27" s="124">
        <f t="shared" si="7"/>
        <v>2822.4</v>
      </c>
      <c r="CV27" s="124">
        <f t="shared" si="7"/>
        <v>0</v>
      </c>
      <c r="CW27" s="124">
        <f t="shared" si="7"/>
        <v>0</v>
      </c>
      <c r="CX27" s="124">
        <f t="shared" si="7"/>
        <v>0</v>
      </c>
      <c r="CY27" s="124">
        <f t="shared" si="7"/>
        <v>0</v>
      </c>
      <c r="CZ27" s="124">
        <f t="shared" si="7"/>
        <v>0</v>
      </c>
      <c r="DA27" s="124">
        <f t="shared" si="7"/>
        <v>0</v>
      </c>
      <c r="DB27" s="124">
        <f t="shared" si="7"/>
        <v>0</v>
      </c>
      <c r="DC27" s="124">
        <f t="shared" si="7"/>
        <v>0</v>
      </c>
      <c r="DD27" s="124">
        <f t="shared" si="7"/>
        <v>0</v>
      </c>
      <c r="DE27" s="124">
        <f t="shared" si="7"/>
        <v>0</v>
      </c>
      <c r="DF27" s="124">
        <f t="shared" si="7"/>
        <v>0</v>
      </c>
      <c r="DG27" s="124">
        <f t="shared" si="7"/>
        <v>0</v>
      </c>
      <c r="DH27" s="124">
        <f t="shared" si="7"/>
        <v>0</v>
      </c>
      <c r="DI27" s="124">
        <f t="shared" si="7"/>
        <v>0</v>
      </c>
      <c r="DJ27" s="214">
        <f t="shared" si="7"/>
        <v>0.69240875798114665</v>
      </c>
      <c r="DK27" s="214">
        <f t="shared" si="7"/>
        <v>0.69</v>
      </c>
      <c r="DL27" s="124">
        <f t="shared" si="7"/>
        <v>24836</v>
      </c>
      <c r="DM27" s="124">
        <f t="shared" si="7"/>
        <v>15895.039999999999</v>
      </c>
      <c r="DN27" s="124">
        <f t="shared" si="7"/>
        <v>4967.2</v>
      </c>
      <c r="DO27" s="124">
        <f t="shared" si="7"/>
        <v>3179.0079999999998</v>
      </c>
      <c r="DP27" s="214">
        <f t="shared" si="7"/>
        <v>0.53885074974240166</v>
      </c>
      <c r="DQ27" s="214">
        <f t="shared" si="7"/>
        <v>-0.15355800823874499</v>
      </c>
      <c r="DR27" s="124">
        <f t="shared" si="7"/>
        <v>-8.0318459544529048</v>
      </c>
      <c r="DS27" s="124">
        <f t="shared" si="7"/>
        <v>-18.552689112374296</v>
      </c>
      <c r="DT27" s="124">
        <f t="shared" si="7"/>
        <v>-724.13866666666718</v>
      </c>
      <c r="DU27" s="124">
        <f t="shared" si="7"/>
        <v>-277.63200000000052</v>
      </c>
      <c r="DV27" s="124">
        <f t="shared" si="7"/>
        <v>-51.724190476190515</v>
      </c>
      <c r="DW27" s="124">
        <f t="shared" si="7"/>
        <v>-19.83085714285718</v>
      </c>
      <c r="DX27" s="215">
        <f t="shared" si="7"/>
        <v>-99.154285714285905</v>
      </c>
    </row>
    <row r="28" spans="1:128" ht="20.399999999999999" thickBot="1">
      <c r="A28" s="101">
        <v>53</v>
      </c>
      <c r="B28" s="102" t="s">
        <v>32</v>
      </c>
      <c r="C28" s="102" t="s">
        <v>14</v>
      </c>
      <c r="D28" s="101">
        <v>26</v>
      </c>
      <c r="E28" s="101">
        <v>0.64</v>
      </c>
      <c r="F28" s="101" t="s">
        <v>20</v>
      </c>
      <c r="G28" s="101">
        <v>1180</v>
      </c>
      <c r="H28" s="103"/>
      <c r="I28" s="104">
        <v>0</v>
      </c>
      <c r="J28" s="103"/>
      <c r="K28" s="104">
        <v>0</v>
      </c>
      <c r="L28" s="103"/>
      <c r="M28" s="104">
        <v>0</v>
      </c>
      <c r="N28" s="103"/>
      <c r="O28" s="104">
        <v>0</v>
      </c>
      <c r="P28" s="103"/>
      <c r="Q28" s="104">
        <v>0</v>
      </c>
      <c r="R28" s="103"/>
      <c r="S28" s="104">
        <v>0</v>
      </c>
      <c r="T28" s="103"/>
      <c r="U28" s="104">
        <v>0</v>
      </c>
      <c r="V28" s="103"/>
      <c r="W28" s="104">
        <v>0</v>
      </c>
      <c r="X28" s="103"/>
      <c r="Y28" s="104">
        <v>0</v>
      </c>
      <c r="Z28" s="103"/>
      <c r="AA28" s="104">
        <v>0</v>
      </c>
      <c r="AB28" s="103"/>
      <c r="AC28" s="104">
        <v>0</v>
      </c>
      <c r="AD28" s="103"/>
      <c r="AE28" s="104">
        <v>0</v>
      </c>
      <c r="AF28" s="105">
        <v>0</v>
      </c>
      <c r="AG28" s="106">
        <v>0</v>
      </c>
      <c r="AH28" s="103"/>
      <c r="AI28" s="104">
        <v>0</v>
      </c>
      <c r="AJ28" s="103"/>
      <c r="AK28" s="104">
        <v>0</v>
      </c>
      <c r="AL28" s="103"/>
      <c r="AM28" s="104">
        <v>0</v>
      </c>
      <c r="AN28" s="103"/>
      <c r="AO28" s="104">
        <v>0</v>
      </c>
      <c r="AP28" s="103"/>
      <c r="AQ28" s="104">
        <v>0</v>
      </c>
      <c r="AR28" s="103"/>
      <c r="AS28" s="104">
        <v>0</v>
      </c>
      <c r="AT28" s="103"/>
      <c r="AU28" s="104">
        <v>0</v>
      </c>
      <c r="AV28" s="103"/>
      <c r="AW28" s="104">
        <v>0</v>
      </c>
      <c r="AX28" s="103"/>
      <c r="AY28" s="104">
        <v>0</v>
      </c>
      <c r="AZ28" s="103"/>
      <c r="BA28" s="104">
        <v>0</v>
      </c>
      <c r="BB28" s="103"/>
      <c r="BC28" s="104">
        <v>0</v>
      </c>
      <c r="BD28" s="103"/>
      <c r="BE28" s="104">
        <v>0</v>
      </c>
      <c r="BF28" s="105">
        <v>0</v>
      </c>
      <c r="BG28" s="106">
        <v>0</v>
      </c>
      <c r="BH28" s="103"/>
      <c r="BI28" s="104">
        <v>0</v>
      </c>
      <c r="BJ28" s="103"/>
      <c r="BK28" s="104">
        <v>0</v>
      </c>
      <c r="BL28" s="103">
        <v>2942</v>
      </c>
      <c r="BM28" s="104">
        <v>1882.88</v>
      </c>
      <c r="BN28" s="103">
        <v>651</v>
      </c>
      <c r="BO28" s="104">
        <v>416.64</v>
      </c>
      <c r="BP28" s="103">
        <v>2143</v>
      </c>
      <c r="BQ28" s="104">
        <v>1371.52</v>
      </c>
      <c r="BR28" s="107">
        <v>1147.2</v>
      </c>
      <c r="BS28" s="104">
        <v>734.20799999999997</v>
      </c>
      <c r="BT28" s="103">
        <v>1267</v>
      </c>
      <c r="BU28" s="104">
        <v>810.88</v>
      </c>
      <c r="BV28" s="103">
        <v>371</v>
      </c>
      <c r="BW28" s="104">
        <v>237.44</v>
      </c>
      <c r="BX28" s="103">
        <v>336</v>
      </c>
      <c r="BY28" s="104">
        <v>215.04</v>
      </c>
      <c r="BZ28" s="103">
        <v>770</v>
      </c>
      <c r="CA28" s="104">
        <v>492.8</v>
      </c>
      <c r="CB28" s="103">
        <v>3164</v>
      </c>
      <c r="CC28" s="104">
        <v>2024.96</v>
      </c>
      <c r="CD28" s="103">
        <v>196</v>
      </c>
      <c r="CE28" s="104">
        <v>125.44</v>
      </c>
      <c r="CF28" s="103">
        <v>280</v>
      </c>
      <c r="CG28" s="104">
        <v>179.20000000000002</v>
      </c>
      <c r="CH28" s="105">
        <v>1010</v>
      </c>
      <c r="CI28" s="106">
        <v>646.4</v>
      </c>
      <c r="CJ28" s="108">
        <v>1010</v>
      </c>
      <c r="CK28" s="104">
        <v>646.4</v>
      </c>
      <c r="CL28" s="109">
        <v>210</v>
      </c>
      <c r="CM28" s="104">
        <v>134.4</v>
      </c>
      <c r="CN28" s="109">
        <v>168</v>
      </c>
      <c r="CO28" s="110">
        <v>107.52</v>
      </c>
      <c r="CP28" s="109">
        <v>686</v>
      </c>
      <c r="CQ28" s="110">
        <v>439.04</v>
      </c>
      <c r="CR28" s="109">
        <v>112</v>
      </c>
      <c r="CS28" s="110">
        <v>71.680000000000007</v>
      </c>
      <c r="CT28" s="109">
        <v>294</v>
      </c>
      <c r="CU28" s="110">
        <v>188.16</v>
      </c>
      <c r="CV28" s="109"/>
      <c r="CW28" s="110">
        <v>0</v>
      </c>
      <c r="CX28" s="109"/>
      <c r="CY28" s="110">
        <v>0</v>
      </c>
      <c r="CZ28" s="109"/>
      <c r="DA28" s="110">
        <v>0</v>
      </c>
      <c r="DB28" s="109"/>
      <c r="DC28" s="110">
        <v>0</v>
      </c>
      <c r="DD28" s="109"/>
      <c r="DE28" s="110">
        <v>0</v>
      </c>
      <c r="DF28" s="109"/>
      <c r="DG28" s="110">
        <v>0</v>
      </c>
      <c r="DH28" s="109"/>
      <c r="DI28" s="110">
        <v>0</v>
      </c>
      <c r="DJ28" s="110">
        <v>0.11466979321616058</v>
      </c>
      <c r="DK28" s="110">
        <v>0.11</v>
      </c>
      <c r="DL28" s="111">
        <v>1470</v>
      </c>
      <c r="DM28" s="112">
        <v>940.80000000000007</v>
      </c>
      <c r="DN28" s="113">
        <v>294</v>
      </c>
      <c r="DO28" s="113">
        <v>188.16000000000003</v>
      </c>
      <c r="DP28" s="114">
        <v>3.1893646405271807E-2</v>
      </c>
      <c r="DQ28" s="115">
        <v>-8.2776146810888768E-2</v>
      </c>
      <c r="DR28" s="116">
        <v>-74.372384937238493</v>
      </c>
      <c r="DS28" s="116">
        <v>-70.89108910891089</v>
      </c>
      <c r="DT28" s="117">
        <v>-458.23999999999995</v>
      </c>
      <c r="DU28" s="117">
        <v>-546.048</v>
      </c>
      <c r="DV28" s="117">
        <v>-32.731428571428566</v>
      </c>
      <c r="DW28" s="117">
        <v>-39.003428571428572</v>
      </c>
      <c r="DX28" s="117">
        <v>-195.01714285714286</v>
      </c>
    </row>
    <row r="29" spans="1:128" s="125" customFormat="1" ht="20.399999999999999" thickBot="1">
      <c r="A29" s="119"/>
      <c r="B29" s="120"/>
      <c r="C29" s="120"/>
      <c r="D29" s="121"/>
      <c r="E29" s="121"/>
      <c r="F29" s="121"/>
      <c r="G29" s="121"/>
      <c r="H29" s="122"/>
      <c r="I29" s="123"/>
      <c r="J29" s="122"/>
      <c r="K29" s="123"/>
      <c r="L29" s="122"/>
      <c r="M29" s="123"/>
      <c r="N29" s="122"/>
      <c r="O29" s="123"/>
      <c r="P29" s="122"/>
      <c r="Q29" s="123"/>
      <c r="R29" s="122"/>
      <c r="S29" s="123"/>
      <c r="T29" s="122"/>
      <c r="U29" s="123"/>
      <c r="V29" s="122"/>
      <c r="W29" s="123"/>
      <c r="X29" s="122"/>
      <c r="Y29" s="123"/>
      <c r="Z29" s="122"/>
      <c r="AA29" s="123"/>
      <c r="AB29" s="122"/>
      <c r="AC29" s="123"/>
      <c r="AD29" s="122"/>
      <c r="AE29" s="123"/>
      <c r="AF29" s="122"/>
      <c r="AG29" s="123"/>
      <c r="AH29" s="122"/>
      <c r="AI29" s="123"/>
      <c r="AJ29" s="122"/>
      <c r="AK29" s="123"/>
      <c r="AL29" s="122"/>
      <c r="AM29" s="123"/>
      <c r="AN29" s="122"/>
      <c r="AO29" s="123"/>
      <c r="AP29" s="122"/>
      <c r="AQ29" s="123"/>
      <c r="AR29" s="122"/>
      <c r="AS29" s="123"/>
      <c r="AT29" s="122"/>
      <c r="AU29" s="123"/>
      <c r="AV29" s="122"/>
      <c r="AW29" s="123"/>
      <c r="AX29" s="122"/>
      <c r="AY29" s="123"/>
      <c r="AZ29" s="122"/>
      <c r="BA29" s="123"/>
      <c r="BB29" s="122"/>
      <c r="BC29" s="123"/>
      <c r="BD29" s="122"/>
      <c r="BE29" s="123"/>
      <c r="BF29" s="122"/>
      <c r="BG29" s="123"/>
      <c r="BH29" s="122"/>
      <c r="BI29" s="123"/>
      <c r="BJ29" s="122"/>
      <c r="BK29" s="123"/>
      <c r="BL29" s="122"/>
      <c r="BM29" s="123"/>
      <c r="BN29" s="122"/>
      <c r="BO29" s="123"/>
      <c r="BP29" s="122"/>
      <c r="BQ29" s="123"/>
      <c r="BR29" s="124">
        <f>BR28</f>
        <v>1147.2</v>
      </c>
      <c r="BS29" s="124">
        <f t="shared" ref="BS29:DX29" si="8">BS28</f>
        <v>734.20799999999997</v>
      </c>
      <c r="BT29" s="124">
        <f t="shared" si="8"/>
        <v>1267</v>
      </c>
      <c r="BU29" s="124">
        <f t="shared" si="8"/>
        <v>810.88</v>
      </c>
      <c r="BV29" s="124">
        <f t="shared" si="8"/>
        <v>371</v>
      </c>
      <c r="BW29" s="124">
        <f t="shared" si="8"/>
        <v>237.44</v>
      </c>
      <c r="BX29" s="124">
        <f t="shared" si="8"/>
        <v>336</v>
      </c>
      <c r="BY29" s="124">
        <f t="shared" si="8"/>
        <v>215.04</v>
      </c>
      <c r="BZ29" s="124">
        <f t="shared" si="8"/>
        <v>770</v>
      </c>
      <c r="CA29" s="124">
        <f t="shared" si="8"/>
        <v>492.8</v>
      </c>
      <c r="CB29" s="124">
        <f t="shared" si="8"/>
        <v>3164</v>
      </c>
      <c r="CC29" s="124">
        <f t="shared" si="8"/>
        <v>2024.96</v>
      </c>
      <c r="CD29" s="124">
        <f t="shared" si="8"/>
        <v>196</v>
      </c>
      <c r="CE29" s="124">
        <f t="shared" si="8"/>
        <v>125.44</v>
      </c>
      <c r="CF29" s="124">
        <f t="shared" si="8"/>
        <v>280</v>
      </c>
      <c r="CG29" s="124">
        <f t="shared" si="8"/>
        <v>179.20000000000002</v>
      </c>
      <c r="CH29" s="124">
        <f t="shared" si="8"/>
        <v>1010</v>
      </c>
      <c r="CI29" s="124">
        <f t="shared" si="8"/>
        <v>646.4</v>
      </c>
      <c r="CJ29" s="124">
        <f t="shared" si="8"/>
        <v>1010</v>
      </c>
      <c r="CK29" s="124">
        <f t="shared" si="8"/>
        <v>646.4</v>
      </c>
      <c r="CL29" s="124">
        <f t="shared" si="8"/>
        <v>210</v>
      </c>
      <c r="CM29" s="124">
        <f t="shared" si="8"/>
        <v>134.4</v>
      </c>
      <c r="CN29" s="124">
        <f t="shared" si="8"/>
        <v>168</v>
      </c>
      <c r="CO29" s="124">
        <f t="shared" si="8"/>
        <v>107.52</v>
      </c>
      <c r="CP29" s="124">
        <f t="shared" si="8"/>
        <v>686</v>
      </c>
      <c r="CQ29" s="124">
        <f t="shared" si="8"/>
        <v>439.04</v>
      </c>
      <c r="CR29" s="124">
        <f t="shared" si="8"/>
        <v>112</v>
      </c>
      <c r="CS29" s="124">
        <f t="shared" si="8"/>
        <v>71.680000000000007</v>
      </c>
      <c r="CT29" s="124">
        <f t="shared" si="8"/>
        <v>294</v>
      </c>
      <c r="CU29" s="124">
        <f t="shared" si="8"/>
        <v>188.16</v>
      </c>
      <c r="CV29" s="124">
        <f t="shared" si="8"/>
        <v>0</v>
      </c>
      <c r="CW29" s="124">
        <f t="shared" si="8"/>
        <v>0</v>
      </c>
      <c r="CX29" s="124">
        <f t="shared" si="8"/>
        <v>0</v>
      </c>
      <c r="CY29" s="124">
        <f t="shared" si="8"/>
        <v>0</v>
      </c>
      <c r="CZ29" s="124">
        <f t="shared" si="8"/>
        <v>0</v>
      </c>
      <c r="DA29" s="124">
        <f t="shared" si="8"/>
        <v>0</v>
      </c>
      <c r="DB29" s="124">
        <f t="shared" si="8"/>
        <v>0</v>
      </c>
      <c r="DC29" s="124">
        <f t="shared" si="8"/>
        <v>0</v>
      </c>
      <c r="DD29" s="124">
        <f t="shared" si="8"/>
        <v>0</v>
      </c>
      <c r="DE29" s="124">
        <f t="shared" si="8"/>
        <v>0</v>
      </c>
      <c r="DF29" s="124">
        <f t="shared" si="8"/>
        <v>0</v>
      </c>
      <c r="DG29" s="124">
        <f t="shared" si="8"/>
        <v>0</v>
      </c>
      <c r="DH29" s="124">
        <f t="shared" si="8"/>
        <v>0</v>
      </c>
      <c r="DI29" s="124">
        <f t="shared" si="8"/>
        <v>0</v>
      </c>
      <c r="DJ29" s="214">
        <f t="shared" si="8"/>
        <v>0.11466979321616058</v>
      </c>
      <c r="DK29" s="214">
        <f t="shared" si="8"/>
        <v>0.11</v>
      </c>
      <c r="DL29" s="124">
        <f t="shared" si="8"/>
        <v>1470</v>
      </c>
      <c r="DM29" s="124">
        <f t="shared" si="8"/>
        <v>940.80000000000007</v>
      </c>
      <c r="DN29" s="124">
        <f t="shared" si="8"/>
        <v>294</v>
      </c>
      <c r="DO29" s="124">
        <f t="shared" si="8"/>
        <v>188.16000000000003</v>
      </c>
      <c r="DP29" s="214">
        <f t="shared" si="8"/>
        <v>3.1893646405271807E-2</v>
      </c>
      <c r="DQ29" s="214">
        <f t="shared" si="8"/>
        <v>-8.2776146810888768E-2</v>
      </c>
      <c r="DR29" s="124">
        <f t="shared" si="8"/>
        <v>-74.372384937238493</v>
      </c>
      <c r="DS29" s="124">
        <f t="shared" si="8"/>
        <v>-70.89108910891089</v>
      </c>
      <c r="DT29" s="124">
        <f t="shared" si="8"/>
        <v>-458.23999999999995</v>
      </c>
      <c r="DU29" s="124">
        <f t="shared" si="8"/>
        <v>-546.048</v>
      </c>
      <c r="DV29" s="124">
        <f t="shared" si="8"/>
        <v>-32.731428571428566</v>
      </c>
      <c r="DW29" s="124">
        <f t="shared" si="8"/>
        <v>-39.003428571428572</v>
      </c>
      <c r="DX29" s="215">
        <f t="shared" si="8"/>
        <v>-195.01714285714286</v>
      </c>
    </row>
    <row r="30" spans="1:128" ht="20.399999999999999" thickBot="1">
      <c r="A30" s="101">
        <v>61</v>
      </c>
      <c r="B30" s="102" t="s">
        <v>33</v>
      </c>
      <c r="C30" s="102" t="s">
        <v>14</v>
      </c>
      <c r="D30" s="101">
        <v>12</v>
      </c>
      <c r="E30" s="101">
        <v>0.64</v>
      </c>
      <c r="F30" s="101" t="s">
        <v>18</v>
      </c>
      <c r="G30" s="101">
        <v>1230</v>
      </c>
      <c r="H30" s="103">
        <v>12312</v>
      </c>
      <c r="I30" s="104">
        <v>7879.68</v>
      </c>
      <c r="J30" s="103">
        <v>9552</v>
      </c>
      <c r="K30" s="104">
        <v>6113.28</v>
      </c>
      <c r="L30" s="103">
        <v>17280</v>
      </c>
      <c r="M30" s="104">
        <v>11059.2</v>
      </c>
      <c r="N30" s="103">
        <v>8328</v>
      </c>
      <c r="O30" s="104">
        <v>5329.92</v>
      </c>
      <c r="P30" s="103">
        <v>8640</v>
      </c>
      <c r="Q30" s="104">
        <v>5529.6</v>
      </c>
      <c r="R30" s="103">
        <v>15312</v>
      </c>
      <c r="S30" s="104">
        <v>9799.68</v>
      </c>
      <c r="T30" s="103">
        <v>10944</v>
      </c>
      <c r="U30" s="104">
        <v>7004.16</v>
      </c>
      <c r="V30" s="103">
        <v>12888</v>
      </c>
      <c r="W30" s="104">
        <v>8248.32</v>
      </c>
      <c r="X30" s="103">
        <v>11496</v>
      </c>
      <c r="Y30" s="104">
        <v>7357.4400000000005</v>
      </c>
      <c r="Z30" s="103">
        <v>8736</v>
      </c>
      <c r="AA30" s="104">
        <v>5591.04</v>
      </c>
      <c r="AB30" s="103">
        <v>5760</v>
      </c>
      <c r="AC30" s="104">
        <v>3686.4</v>
      </c>
      <c r="AD30" s="103">
        <v>13536</v>
      </c>
      <c r="AE30" s="104">
        <v>8663.0400000000009</v>
      </c>
      <c r="AF30" s="105">
        <v>11232</v>
      </c>
      <c r="AG30" s="106">
        <v>7188.4800000000005</v>
      </c>
      <c r="AH30" s="103">
        <v>15072</v>
      </c>
      <c r="AI30" s="104">
        <v>9646.08</v>
      </c>
      <c r="AJ30" s="103">
        <v>5352</v>
      </c>
      <c r="AK30" s="104">
        <v>3425.28</v>
      </c>
      <c r="AL30" s="103">
        <v>11496</v>
      </c>
      <c r="AM30" s="104">
        <v>7357.4400000000005</v>
      </c>
      <c r="AN30" s="103">
        <v>10296</v>
      </c>
      <c r="AO30" s="104">
        <v>6589.4400000000005</v>
      </c>
      <c r="AP30" s="103">
        <v>9336</v>
      </c>
      <c r="AQ30" s="104">
        <v>5975.04</v>
      </c>
      <c r="AR30" s="103">
        <v>11016</v>
      </c>
      <c r="AS30" s="104">
        <v>7050.24</v>
      </c>
      <c r="AT30" s="103">
        <v>13056</v>
      </c>
      <c r="AU30" s="104">
        <v>8355.84</v>
      </c>
      <c r="AV30" s="103">
        <v>14400</v>
      </c>
      <c r="AW30" s="104">
        <v>9216</v>
      </c>
      <c r="AX30" s="103">
        <v>12576</v>
      </c>
      <c r="AY30" s="104">
        <v>8048.64</v>
      </c>
      <c r="AZ30" s="103">
        <v>10680</v>
      </c>
      <c r="BA30" s="104">
        <v>6835.2</v>
      </c>
      <c r="BB30" s="103">
        <v>6942</v>
      </c>
      <c r="BC30" s="104">
        <v>4442.88</v>
      </c>
      <c r="BD30" s="103">
        <v>17568</v>
      </c>
      <c r="BE30" s="104">
        <v>11243.52</v>
      </c>
      <c r="BF30" s="105">
        <v>11482.5</v>
      </c>
      <c r="BG30" s="106">
        <v>7348.8</v>
      </c>
      <c r="BH30" s="103">
        <v>5832</v>
      </c>
      <c r="BI30" s="104">
        <v>3732.48</v>
      </c>
      <c r="BJ30" s="103">
        <v>7320</v>
      </c>
      <c r="BK30" s="104">
        <v>4684.8</v>
      </c>
      <c r="BL30" s="103">
        <v>12024</v>
      </c>
      <c r="BM30" s="104">
        <v>7695.3600000000006</v>
      </c>
      <c r="BN30" s="103">
        <v>6528</v>
      </c>
      <c r="BO30" s="104">
        <v>4177.92</v>
      </c>
      <c r="BP30" s="103">
        <v>7944</v>
      </c>
      <c r="BQ30" s="104">
        <v>5084.16</v>
      </c>
      <c r="BR30" s="107">
        <v>7929.6</v>
      </c>
      <c r="BS30" s="104">
        <v>5074.9440000000004</v>
      </c>
      <c r="BT30" s="103">
        <v>9492</v>
      </c>
      <c r="BU30" s="104">
        <v>6074.88</v>
      </c>
      <c r="BV30" s="103">
        <v>11832</v>
      </c>
      <c r="BW30" s="104">
        <v>7572.4800000000005</v>
      </c>
      <c r="BX30" s="103">
        <v>12852</v>
      </c>
      <c r="BY30" s="104">
        <v>8225.2800000000007</v>
      </c>
      <c r="BZ30" s="103">
        <v>10104</v>
      </c>
      <c r="CA30" s="104">
        <v>6466.56</v>
      </c>
      <c r="CB30" s="103">
        <v>12240</v>
      </c>
      <c r="CC30" s="104">
        <v>7833.6</v>
      </c>
      <c r="CD30" s="103">
        <v>8880</v>
      </c>
      <c r="CE30" s="104">
        <v>5683.2</v>
      </c>
      <c r="CF30" s="103">
        <v>12951</v>
      </c>
      <c r="CG30" s="104">
        <v>8288.64</v>
      </c>
      <c r="CH30" s="105">
        <v>9833.25</v>
      </c>
      <c r="CI30" s="106">
        <v>6293.28</v>
      </c>
      <c r="CJ30" s="108">
        <v>9833</v>
      </c>
      <c r="CK30" s="104">
        <v>6293.12</v>
      </c>
      <c r="CL30" s="109">
        <v>10968</v>
      </c>
      <c r="CM30" s="104">
        <v>7019.52</v>
      </c>
      <c r="CN30" s="109">
        <v>10200</v>
      </c>
      <c r="CO30" s="110">
        <v>6528</v>
      </c>
      <c r="CP30" s="109">
        <v>14808</v>
      </c>
      <c r="CQ30" s="110">
        <v>9477.1200000000008</v>
      </c>
      <c r="CR30" s="109">
        <v>8928</v>
      </c>
      <c r="CS30" s="110">
        <v>5713.92</v>
      </c>
      <c r="CT30" s="109">
        <v>13152</v>
      </c>
      <c r="CU30" s="110">
        <v>8417.2800000000007</v>
      </c>
      <c r="CV30" s="109"/>
      <c r="CW30" s="110">
        <v>0</v>
      </c>
      <c r="CX30" s="109"/>
      <c r="CY30" s="110">
        <v>0</v>
      </c>
      <c r="CZ30" s="109"/>
      <c r="DA30" s="110">
        <v>0</v>
      </c>
      <c r="DB30" s="109"/>
      <c r="DC30" s="110">
        <v>0</v>
      </c>
      <c r="DD30" s="109"/>
      <c r="DE30" s="110">
        <v>0</v>
      </c>
      <c r="DF30" s="109"/>
      <c r="DG30" s="110">
        <v>0</v>
      </c>
      <c r="DH30" s="109"/>
      <c r="DI30" s="110">
        <v>0</v>
      </c>
      <c r="DJ30" s="110">
        <v>1.1164126179631793</v>
      </c>
      <c r="DK30" s="110">
        <v>1.1200000000000001</v>
      </c>
      <c r="DL30" s="111">
        <v>58056</v>
      </c>
      <c r="DM30" s="112">
        <v>37155.839999999997</v>
      </c>
      <c r="DN30" s="113">
        <v>11611.2</v>
      </c>
      <c r="DO30" s="113">
        <v>7431.1679999999997</v>
      </c>
      <c r="DP30" s="114">
        <v>1.2596037657853467</v>
      </c>
      <c r="DQ30" s="115">
        <v>0.14319114782216746</v>
      </c>
      <c r="DR30" s="116">
        <v>46.428571428571416</v>
      </c>
      <c r="DS30" s="116">
        <v>18.081000686446487</v>
      </c>
      <c r="DT30" s="117">
        <v>1137.8879999999999</v>
      </c>
      <c r="DU30" s="117">
        <v>2356.2239999999993</v>
      </c>
      <c r="DV30" s="117">
        <v>81.277714285714282</v>
      </c>
      <c r="DW30" s="117">
        <v>168.30171428571424</v>
      </c>
      <c r="DX30" s="117">
        <v>841.50857142857126</v>
      </c>
    </row>
    <row r="31" spans="1:128" s="125" customFormat="1" ht="20.399999999999999" thickBot="1">
      <c r="A31" s="119"/>
      <c r="B31" s="120"/>
      <c r="C31" s="120"/>
      <c r="D31" s="121"/>
      <c r="E31" s="121"/>
      <c r="F31" s="121"/>
      <c r="G31" s="121"/>
      <c r="H31" s="122"/>
      <c r="I31" s="123"/>
      <c r="J31" s="122"/>
      <c r="K31" s="123"/>
      <c r="L31" s="122"/>
      <c r="M31" s="123"/>
      <c r="N31" s="122"/>
      <c r="O31" s="123"/>
      <c r="P31" s="122"/>
      <c r="Q31" s="123"/>
      <c r="R31" s="122"/>
      <c r="S31" s="123"/>
      <c r="T31" s="122"/>
      <c r="U31" s="123"/>
      <c r="V31" s="122"/>
      <c r="W31" s="123"/>
      <c r="X31" s="122"/>
      <c r="Y31" s="123"/>
      <c r="Z31" s="122"/>
      <c r="AA31" s="123"/>
      <c r="AB31" s="122"/>
      <c r="AC31" s="123"/>
      <c r="AD31" s="122"/>
      <c r="AE31" s="123"/>
      <c r="AF31" s="122"/>
      <c r="AG31" s="123"/>
      <c r="AH31" s="122"/>
      <c r="AI31" s="123"/>
      <c r="AJ31" s="122"/>
      <c r="AK31" s="123"/>
      <c r="AL31" s="122"/>
      <c r="AM31" s="123"/>
      <c r="AN31" s="122"/>
      <c r="AO31" s="123"/>
      <c r="AP31" s="122"/>
      <c r="AQ31" s="123"/>
      <c r="AR31" s="122"/>
      <c r="AS31" s="123"/>
      <c r="AT31" s="122"/>
      <c r="AU31" s="123"/>
      <c r="AV31" s="122"/>
      <c r="AW31" s="123"/>
      <c r="AX31" s="122"/>
      <c r="AY31" s="123"/>
      <c r="AZ31" s="122"/>
      <c r="BA31" s="123"/>
      <c r="BB31" s="122"/>
      <c r="BC31" s="123"/>
      <c r="BD31" s="122"/>
      <c r="BE31" s="123"/>
      <c r="BF31" s="122"/>
      <c r="BG31" s="123"/>
      <c r="BH31" s="122"/>
      <c r="BI31" s="123"/>
      <c r="BJ31" s="122"/>
      <c r="BK31" s="123"/>
      <c r="BL31" s="122"/>
      <c r="BM31" s="123"/>
      <c r="BN31" s="122"/>
      <c r="BO31" s="123"/>
      <c r="BP31" s="122"/>
      <c r="BQ31" s="123"/>
      <c r="BR31" s="124">
        <f>BR30</f>
        <v>7929.6</v>
      </c>
      <c r="BS31" s="124">
        <f t="shared" ref="BS31:DX31" si="9">BS30</f>
        <v>5074.9440000000004</v>
      </c>
      <c r="BT31" s="124">
        <f t="shared" si="9"/>
        <v>9492</v>
      </c>
      <c r="BU31" s="124">
        <f t="shared" si="9"/>
        <v>6074.88</v>
      </c>
      <c r="BV31" s="124">
        <f t="shared" si="9"/>
        <v>11832</v>
      </c>
      <c r="BW31" s="124">
        <f t="shared" si="9"/>
        <v>7572.4800000000005</v>
      </c>
      <c r="BX31" s="124">
        <f t="shared" si="9"/>
        <v>12852</v>
      </c>
      <c r="BY31" s="124">
        <f t="shared" si="9"/>
        <v>8225.2800000000007</v>
      </c>
      <c r="BZ31" s="124">
        <f t="shared" si="9"/>
        <v>10104</v>
      </c>
      <c r="CA31" s="124">
        <f t="shared" si="9"/>
        <v>6466.56</v>
      </c>
      <c r="CB31" s="124">
        <f t="shared" si="9"/>
        <v>12240</v>
      </c>
      <c r="CC31" s="124">
        <f t="shared" si="9"/>
        <v>7833.6</v>
      </c>
      <c r="CD31" s="124">
        <f t="shared" si="9"/>
        <v>8880</v>
      </c>
      <c r="CE31" s="124">
        <f t="shared" si="9"/>
        <v>5683.2</v>
      </c>
      <c r="CF31" s="124">
        <f t="shared" si="9"/>
        <v>12951</v>
      </c>
      <c r="CG31" s="124">
        <f t="shared" si="9"/>
        <v>8288.64</v>
      </c>
      <c r="CH31" s="124">
        <f t="shared" si="9"/>
        <v>9833.25</v>
      </c>
      <c r="CI31" s="124">
        <f t="shared" si="9"/>
        <v>6293.28</v>
      </c>
      <c r="CJ31" s="124">
        <f t="shared" si="9"/>
        <v>9833</v>
      </c>
      <c r="CK31" s="124">
        <f t="shared" si="9"/>
        <v>6293.12</v>
      </c>
      <c r="CL31" s="124">
        <f t="shared" si="9"/>
        <v>10968</v>
      </c>
      <c r="CM31" s="124">
        <f t="shared" si="9"/>
        <v>7019.52</v>
      </c>
      <c r="CN31" s="124">
        <f t="shared" si="9"/>
        <v>10200</v>
      </c>
      <c r="CO31" s="124">
        <f t="shared" si="9"/>
        <v>6528</v>
      </c>
      <c r="CP31" s="124">
        <f t="shared" si="9"/>
        <v>14808</v>
      </c>
      <c r="CQ31" s="124">
        <f t="shared" si="9"/>
        <v>9477.1200000000008</v>
      </c>
      <c r="CR31" s="124">
        <f t="shared" si="9"/>
        <v>8928</v>
      </c>
      <c r="CS31" s="124">
        <f t="shared" si="9"/>
        <v>5713.92</v>
      </c>
      <c r="CT31" s="124">
        <f t="shared" si="9"/>
        <v>13152</v>
      </c>
      <c r="CU31" s="124">
        <f t="shared" si="9"/>
        <v>8417.2800000000007</v>
      </c>
      <c r="CV31" s="124">
        <f t="shared" si="9"/>
        <v>0</v>
      </c>
      <c r="CW31" s="124">
        <f t="shared" si="9"/>
        <v>0</v>
      </c>
      <c r="CX31" s="124">
        <f t="shared" si="9"/>
        <v>0</v>
      </c>
      <c r="CY31" s="124">
        <f t="shared" si="9"/>
        <v>0</v>
      </c>
      <c r="CZ31" s="124">
        <f t="shared" si="9"/>
        <v>0</v>
      </c>
      <c r="DA31" s="124">
        <f t="shared" si="9"/>
        <v>0</v>
      </c>
      <c r="DB31" s="124">
        <f t="shared" si="9"/>
        <v>0</v>
      </c>
      <c r="DC31" s="124">
        <f t="shared" si="9"/>
        <v>0</v>
      </c>
      <c r="DD31" s="124">
        <f t="shared" si="9"/>
        <v>0</v>
      </c>
      <c r="DE31" s="124">
        <f t="shared" si="9"/>
        <v>0</v>
      </c>
      <c r="DF31" s="124">
        <f t="shared" si="9"/>
        <v>0</v>
      </c>
      <c r="DG31" s="124">
        <f t="shared" si="9"/>
        <v>0</v>
      </c>
      <c r="DH31" s="124">
        <f t="shared" si="9"/>
        <v>0</v>
      </c>
      <c r="DI31" s="124">
        <f t="shared" si="9"/>
        <v>0</v>
      </c>
      <c r="DJ31" s="214">
        <f t="shared" si="9"/>
        <v>1.1164126179631793</v>
      </c>
      <c r="DK31" s="214">
        <f t="shared" si="9"/>
        <v>1.1200000000000001</v>
      </c>
      <c r="DL31" s="124">
        <f t="shared" si="9"/>
        <v>58056</v>
      </c>
      <c r="DM31" s="124">
        <f t="shared" si="9"/>
        <v>37155.839999999997</v>
      </c>
      <c r="DN31" s="124">
        <f t="shared" si="9"/>
        <v>11611.2</v>
      </c>
      <c r="DO31" s="124">
        <f t="shared" si="9"/>
        <v>7431.1679999999997</v>
      </c>
      <c r="DP31" s="214">
        <f t="shared" si="9"/>
        <v>1.2596037657853467</v>
      </c>
      <c r="DQ31" s="214">
        <f t="shared" si="9"/>
        <v>0.14319114782216746</v>
      </c>
      <c r="DR31" s="124">
        <f t="shared" si="9"/>
        <v>46.428571428571416</v>
      </c>
      <c r="DS31" s="124">
        <f t="shared" si="9"/>
        <v>18.081000686446487</v>
      </c>
      <c r="DT31" s="124">
        <f t="shared" si="9"/>
        <v>1137.8879999999999</v>
      </c>
      <c r="DU31" s="124">
        <f t="shared" si="9"/>
        <v>2356.2239999999993</v>
      </c>
      <c r="DV31" s="124">
        <f t="shared" si="9"/>
        <v>81.277714285714282</v>
      </c>
      <c r="DW31" s="124">
        <f t="shared" si="9"/>
        <v>168.30171428571424</v>
      </c>
      <c r="DX31" s="215">
        <f t="shared" si="9"/>
        <v>841.50857142857126</v>
      </c>
    </row>
    <row r="32" spans="1:128">
      <c r="A32" s="92">
        <v>72</v>
      </c>
      <c r="B32" s="93" t="s">
        <v>34</v>
      </c>
      <c r="C32" s="93" t="s">
        <v>16</v>
      </c>
      <c r="D32" s="92">
        <v>8</v>
      </c>
      <c r="E32" s="92">
        <v>0.6</v>
      </c>
      <c r="F32" s="92" t="s">
        <v>18</v>
      </c>
      <c r="G32" s="92">
        <v>900</v>
      </c>
      <c r="H32" s="56"/>
      <c r="I32" s="57">
        <v>0</v>
      </c>
      <c r="J32" s="56"/>
      <c r="K32" s="57">
        <v>0</v>
      </c>
      <c r="L32" s="56"/>
      <c r="M32" s="57">
        <v>0</v>
      </c>
      <c r="N32" s="56"/>
      <c r="O32" s="57">
        <v>0</v>
      </c>
      <c r="P32" s="56"/>
      <c r="Q32" s="57">
        <v>0</v>
      </c>
      <c r="R32" s="56"/>
      <c r="S32" s="57">
        <v>0</v>
      </c>
      <c r="T32" s="56"/>
      <c r="U32" s="57">
        <v>0</v>
      </c>
      <c r="V32" s="56"/>
      <c r="W32" s="57">
        <v>0</v>
      </c>
      <c r="X32" s="56"/>
      <c r="Y32" s="57">
        <v>0</v>
      </c>
      <c r="Z32" s="56"/>
      <c r="AA32" s="57">
        <v>0</v>
      </c>
      <c r="AB32" s="56"/>
      <c r="AC32" s="57">
        <v>0</v>
      </c>
      <c r="AD32" s="56"/>
      <c r="AE32" s="57">
        <v>0</v>
      </c>
      <c r="AF32" s="58">
        <v>0</v>
      </c>
      <c r="AG32" s="59">
        <v>0</v>
      </c>
      <c r="AH32" s="56"/>
      <c r="AI32" s="57">
        <v>0</v>
      </c>
      <c r="AJ32" s="56"/>
      <c r="AK32" s="57">
        <v>0</v>
      </c>
      <c r="AL32" s="56"/>
      <c r="AM32" s="57">
        <v>0</v>
      </c>
      <c r="AN32" s="56"/>
      <c r="AO32" s="57">
        <v>0</v>
      </c>
      <c r="AP32" s="56"/>
      <c r="AQ32" s="57">
        <v>0</v>
      </c>
      <c r="AR32" s="56"/>
      <c r="AS32" s="57">
        <v>0</v>
      </c>
      <c r="AT32" s="56"/>
      <c r="AU32" s="57">
        <v>0</v>
      </c>
      <c r="AV32" s="56"/>
      <c r="AW32" s="57">
        <v>0</v>
      </c>
      <c r="AX32" s="56"/>
      <c r="AY32" s="57">
        <v>0</v>
      </c>
      <c r="AZ32" s="56"/>
      <c r="BA32" s="57">
        <v>0</v>
      </c>
      <c r="BB32" s="56"/>
      <c r="BC32" s="57">
        <v>0</v>
      </c>
      <c r="BD32" s="56"/>
      <c r="BE32" s="57">
        <v>0</v>
      </c>
      <c r="BF32" s="58">
        <v>0</v>
      </c>
      <c r="BG32" s="59">
        <v>0</v>
      </c>
      <c r="BH32" s="56"/>
      <c r="BI32" s="57">
        <v>0</v>
      </c>
      <c r="BJ32" s="56"/>
      <c r="BK32" s="57">
        <v>0</v>
      </c>
      <c r="BL32" s="56"/>
      <c r="BM32" s="57">
        <v>0</v>
      </c>
      <c r="BN32" s="56"/>
      <c r="BO32" s="57">
        <v>0</v>
      </c>
      <c r="BP32" s="56">
        <v>12608</v>
      </c>
      <c r="BQ32" s="57">
        <v>7564.7999999999993</v>
      </c>
      <c r="BR32" s="60">
        <v>2521.6</v>
      </c>
      <c r="BS32" s="57">
        <v>1512.9599999999998</v>
      </c>
      <c r="BT32" s="56">
        <v>6380</v>
      </c>
      <c r="BU32" s="57">
        <v>3828</v>
      </c>
      <c r="BV32" s="56">
        <v>18960</v>
      </c>
      <c r="BW32" s="57">
        <v>11376</v>
      </c>
      <c r="BX32" s="56">
        <v>12922</v>
      </c>
      <c r="BY32" s="57">
        <v>7753.2</v>
      </c>
      <c r="BZ32" s="56">
        <v>27118</v>
      </c>
      <c r="CA32" s="57">
        <v>16270.8</v>
      </c>
      <c r="CB32" s="56">
        <v>29069</v>
      </c>
      <c r="CC32" s="57">
        <v>17441.399999999998</v>
      </c>
      <c r="CD32" s="56">
        <v>28498</v>
      </c>
      <c r="CE32" s="57">
        <v>17098.8</v>
      </c>
      <c r="CF32" s="56">
        <v>30810</v>
      </c>
      <c r="CG32" s="57">
        <v>18486</v>
      </c>
      <c r="CH32" s="58">
        <v>13863.75</v>
      </c>
      <c r="CI32" s="59">
        <v>8318.25</v>
      </c>
      <c r="CJ32" s="94">
        <v>20795</v>
      </c>
      <c r="CK32" s="57">
        <v>12477</v>
      </c>
      <c r="CL32" s="118">
        <v>42798</v>
      </c>
      <c r="CM32" s="57">
        <v>25678.799999999999</v>
      </c>
      <c r="CN32" s="61">
        <v>32991</v>
      </c>
      <c r="CO32" s="95">
        <v>19794.599999999999</v>
      </c>
      <c r="CP32" s="61">
        <v>26400</v>
      </c>
      <c r="CQ32" s="95">
        <v>15840</v>
      </c>
      <c r="CR32" s="61">
        <v>39264</v>
      </c>
      <c r="CS32" s="95">
        <v>23558.399999999998</v>
      </c>
      <c r="CT32" s="61">
        <v>37848</v>
      </c>
      <c r="CU32" s="95">
        <v>22708.799999999999</v>
      </c>
      <c r="CV32" s="61"/>
      <c r="CW32" s="95">
        <v>0</v>
      </c>
      <c r="CX32" s="61"/>
      <c r="CY32" s="95">
        <v>0</v>
      </c>
      <c r="CZ32" s="61"/>
      <c r="DA32" s="95">
        <v>0</v>
      </c>
      <c r="DB32" s="61"/>
      <c r="DC32" s="95">
        <v>0</v>
      </c>
      <c r="DD32" s="61"/>
      <c r="DE32" s="95">
        <v>0</v>
      </c>
      <c r="DF32" s="61"/>
      <c r="DG32" s="95">
        <v>0</v>
      </c>
      <c r="DH32" s="61"/>
      <c r="DI32" s="95">
        <v>0</v>
      </c>
      <c r="DJ32" s="95">
        <v>1.4756373877170912</v>
      </c>
      <c r="DK32" s="95"/>
      <c r="DL32" s="63">
        <v>179301</v>
      </c>
      <c r="DM32" s="62">
        <v>107580.59999999999</v>
      </c>
      <c r="DN32" s="96">
        <v>35860.199999999997</v>
      </c>
      <c r="DO32" s="96">
        <v>21516.12</v>
      </c>
      <c r="DP32" s="97">
        <v>3.647042534509974</v>
      </c>
      <c r="DQ32" s="98">
        <v>2.1714051467928828</v>
      </c>
      <c r="DR32" s="99">
        <v>1322.1208756345179</v>
      </c>
      <c r="DS32" s="99">
        <v>158.66161752772518</v>
      </c>
      <c r="DT32" s="100">
        <v>13197.869999999999</v>
      </c>
      <c r="DU32" s="100">
        <v>20003.16</v>
      </c>
      <c r="DV32" s="100">
        <v>942.70499999999993</v>
      </c>
      <c r="DW32" s="100">
        <v>1428.7971428571429</v>
      </c>
      <c r="DX32" s="100">
        <v>7143.9857142857145</v>
      </c>
    </row>
    <row r="33" spans="1:128">
      <c r="A33" s="7">
        <v>73</v>
      </c>
      <c r="B33" s="8" t="s">
        <v>35</v>
      </c>
      <c r="C33" s="8" t="s">
        <v>14</v>
      </c>
      <c r="D33" s="7">
        <v>25</v>
      </c>
      <c r="E33" s="7">
        <v>0.64</v>
      </c>
      <c r="F33" s="7" t="s">
        <v>20</v>
      </c>
      <c r="G33" s="7">
        <v>1230</v>
      </c>
      <c r="H33" s="9"/>
      <c r="I33" s="10">
        <v>0</v>
      </c>
      <c r="J33" s="9"/>
      <c r="K33" s="10">
        <v>0</v>
      </c>
      <c r="L33" s="9"/>
      <c r="M33" s="10">
        <v>0</v>
      </c>
      <c r="N33" s="9"/>
      <c r="O33" s="10">
        <v>0</v>
      </c>
      <c r="P33" s="9"/>
      <c r="Q33" s="10">
        <v>0</v>
      </c>
      <c r="R33" s="9"/>
      <c r="S33" s="10">
        <v>0</v>
      </c>
      <c r="T33" s="9"/>
      <c r="U33" s="10">
        <v>0</v>
      </c>
      <c r="V33" s="9"/>
      <c r="W33" s="10">
        <v>0</v>
      </c>
      <c r="X33" s="9"/>
      <c r="Y33" s="10">
        <v>0</v>
      </c>
      <c r="Z33" s="9"/>
      <c r="AA33" s="10">
        <v>0</v>
      </c>
      <c r="AB33" s="9"/>
      <c r="AC33" s="10">
        <v>0</v>
      </c>
      <c r="AD33" s="9"/>
      <c r="AE33" s="10">
        <v>0</v>
      </c>
      <c r="AF33" s="11">
        <v>0</v>
      </c>
      <c r="AG33" s="12">
        <v>0</v>
      </c>
      <c r="AH33" s="9"/>
      <c r="AI33" s="10">
        <v>0</v>
      </c>
      <c r="AJ33" s="9"/>
      <c r="AK33" s="10">
        <v>0</v>
      </c>
      <c r="AL33" s="9"/>
      <c r="AM33" s="10">
        <v>0</v>
      </c>
      <c r="AN33" s="9"/>
      <c r="AO33" s="10">
        <v>0</v>
      </c>
      <c r="AP33" s="9"/>
      <c r="AQ33" s="10">
        <v>0</v>
      </c>
      <c r="AR33" s="9"/>
      <c r="AS33" s="10">
        <v>0</v>
      </c>
      <c r="AT33" s="9"/>
      <c r="AU33" s="10">
        <v>0</v>
      </c>
      <c r="AV33" s="9"/>
      <c r="AW33" s="10">
        <v>0</v>
      </c>
      <c r="AX33" s="9"/>
      <c r="AY33" s="10">
        <v>0</v>
      </c>
      <c r="AZ33" s="9"/>
      <c r="BA33" s="10">
        <v>0</v>
      </c>
      <c r="BB33" s="9"/>
      <c r="BC33" s="10">
        <v>0</v>
      </c>
      <c r="BD33" s="9"/>
      <c r="BE33" s="10">
        <v>0</v>
      </c>
      <c r="BF33" s="11">
        <v>0</v>
      </c>
      <c r="BG33" s="12">
        <v>0</v>
      </c>
      <c r="BH33" s="9"/>
      <c r="BI33" s="10">
        <v>0</v>
      </c>
      <c r="BJ33" s="9"/>
      <c r="BK33" s="10">
        <v>0</v>
      </c>
      <c r="BL33" s="9">
        <v>5419</v>
      </c>
      <c r="BM33" s="10">
        <v>3468.16</v>
      </c>
      <c r="BN33" s="9">
        <v>840</v>
      </c>
      <c r="BO33" s="10">
        <v>537.6</v>
      </c>
      <c r="BP33" s="9">
        <v>2533</v>
      </c>
      <c r="BQ33" s="10">
        <v>1621.1200000000001</v>
      </c>
      <c r="BR33" s="19">
        <v>1758.4</v>
      </c>
      <c r="BS33" s="10">
        <v>1125.376</v>
      </c>
      <c r="BT33" s="9">
        <v>2394</v>
      </c>
      <c r="BU33" s="10">
        <v>1532.16</v>
      </c>
      <c r="BV33" s="9">
        <v>623</v>
      </c>
      <c r="BW33" s="10">
        <v>398.72</v>
      </c>
      <c r="BX33" s="9">
        <v>504</v>
      </c>
      <c r="BY33" s="10">
        <v>322.56</v>
      </c>
      <c r="BZ33" s="9">
        <v>322</v>
      </c>
      <c r="CA33" s="10">
        <v>206.08</v>
      </c>
      <c r="CB33" s="9">
        <v>373</v>
      </c>
      <c r="CC33" s="10">
        <v>238.72</v>
      </c>
      <c r="CD33" s="9">
        <v>1512</v>
      </c>
      <c r="CE33" s="10">
        <v>967.68000000000006</v>
      </c>
      <c r="CF33" s="9">
        <v>168</v>
      </c>
      <c r="CG33" s="10">
        <v>107.52</v>
      </c>
      <c r="CH33" s="11">
        <v>1224</v>
      </c>
      <c r="CI33" s="12">
        <v>783.36</v>
      </c>
      <c r="CJ33" s="13">
        <v>1224</v>
      </c>
      <c r="CK33" s="10">
        <v>783.36</v>
      </c>
      <c r="CL33" s="18">
        <v>98</v>
      </c>
      <c r="CM33" s="10">
        <v>62.72</v>
      </c>
      <c r="CN33" s="14">
        <v>2380</v>
      </c>
      <c r="CO33" s="15">
        <v>1523.2</v>
      </c>
      <c r="CP33" s="14"/>
      <c r="CQ33" s="15">
        <v>0</v>
      </c>
      <c r="CR33" s="14"/>
      <c r="CS33" s="15">
        <v>0</v>
      </c>
      <c r="CT33" s="14"/>
      <c r="CU33" s="15">
        <v>0</v>
      </c>
      <c r="CV33" s="14"/>
      <c r="CW33" s="15">
        <v>0</v>
      </c>
      <c r="CX33" s="14"/>
      <c r="CY33" s="15">
        <v>0</v>
      </c>
      <c r="CZ33" s="14"/>
      <c r="DA33" s="15">
        <v>0</v>
      </c>
      <c r="DB33" s="14"/>
      <c r="DC33" s="15">
        <v>0</v>
      </c>
      <c r="DD33" s="14"/>
      <c r="DE33" s="15">
        <v>0</v>
      </c>
      <c r="DF33" s="14"/>
      <c r="DG33" s="15">
        <v>0</v>
      </c>
      <c r="DH33" s="14"/>
      <c r="DI33" s="15">
        <v>0</v>
      </c>
      <c r="DJ33" s="15">
        <v>0.13896616524413916</v>
      </c>
      <c r="DK33" s="15"/>
      <c r="DL33" s="16">
        <v>2478</v>
      </c>
      <c r="DM33" s="17">
        <v>1585.92</v>
      </c>
      <c r="DN33" s="68">
        <v>495.6</v>
      </c>
      <c r="DO33" s="68">
        <v>317.18400000000003</v>
      </c>
      <c r="DP33" s="69">
        <v>5.3763575368886755E-2</v>
      </c>
      <c r="DQ33" s="70">
        <v>-8.5202589875252394E-2</v>
      </c>
      <c r="DR33" s="71">
        <v>-71.815286624203821</v>
      </c>
      <c r="DS33" s="71">
        <v>-59.509803921568626</v>
      </c>
      <c r="DT33" s="72">
        <v>-466.17599999999999</v>
      </c>
      <c r="DU33" s="72">
        <v>-808.19200000000001</v>
      </c>
      <c r="DV33" s="72">
        <v>-33.298285714285711</v>
      </c>
      <c r="DW33" s="72">
        <v>-57.728000000000002</v>
      </c>
      <c r="DX33" s="72">
        <v>-288.64</v>
      </c>
    </row>
    <row r="34" spans="1:128">
      <c r="A34" s="7">
        <v>75</v>
      </c>
      <c r="B34" s="8" t="s">
        <v>36</v>
      </c>
      <c r="C34" s="8" t="s">
        <v>16</v>
      </c>
      <c r="D34" s="7">
        <v>14</v>
      </c>
      <c r="E34" s="7">
        <v>1</v>
      </c>
      <c r="F34" s="7" t="s">
        <v>15</v>
      </c>
      <c r="G34" s="7">
        <v>1220</v>
      </c>
      <c r="H34" s="9"/>
      <c r="I34" s="10">
        <v>0</v>
      </c>
      <c r="J34" s="9"/>
      <c r="K34" s="10">
        <v>0</v>
      </c>
      <c r="L34" s="9"/>
      <c r="M34" s="10">
        <v>0</v>
      </c>
      <c r="N34" s="9"/>
      <c r="O34" s="10">
        <v>0</v>
      </c>
      <c r="P34" s="9"/>
      <c r="Q34" s="10">
        <v>0</v>
      </c>
      <c r="R34" s="9"/>
      <c r="S34" s="10">
        <v>0</v>
      </c>
      <c r="T34" s="9"/>
      <c r="U34" s="10">
        <v>0</v>
      </c>
      <c r="V34" s="9"/>
      <c r="W34" s="10">
        <v>0</v>
      </c>
      <c r="X34" s="9"/>
      <c r="Y34" s="10">
        <v>0</v>
      </c>
      <c r="Z34" s="9"/>
      <c r="AA34" s="10">
        <v>0</v>
      </c>
      <c r="AB34" s="9"/>
      <c r="AC34" s="10">
        <v>0</v>
      </c>
      <c r="AD34" s="9"/>
      <c r="AE34" s="10">
        <v>0</v>
      </c>
      <c r="AF34" s="11">
        <v>0</v>
      </c>
      <c r="AG34" s="12">
        <v>0</v>
      </c>
      <c r="AH34" s="9"/>
      <c r="AI34" s="10">
        <v>0</v>
      </c>
      <c r="AJ34" s="9"/>
      <c r="AK34" s="10">
        <v>0</v>
      </c>
      <c r="AL34" s="9"/>
      <c r="AM34" s="10">
        <v>0</v>
      </c>
      <c r="AN34" s="9"/>
      <c r="AO34" s="10">
        <v>0</v>
      </c>
      <c r="AP34" s="9"/>
      <c r="AQ34" s="10">
        <v>0</v>
      </c>
      <c r="AR34" s="9"/>
      <c r="AS34" s="10">
        <v>0</v>
      </c>
      <c r="AT34" s="9"/>
      <c r="AU34" s="10">
        <v>0</v>
      </c>
      <c r="AV34" s="9"/>
      <c r="AW34" s="10">
        <v>0</v>
      </c>
      <c r="AX34" s="9"/>
      <c r="AY34" s="10">
        <v>0</v>
      </c>
      <c r="AZ34" s="9"/>
      <c r="BA34" s="10">
        <v>0</v>
      </c>
      <c r="BB34" s="9"/>
      <c r="BC34" s="10">
        <v>0</v>
      </c>
      <c r="BD34" s="9"/>
      <c r="BE34" s="10">
        <v>0</v>
      </c>
      <c r="BF34" s="11">
        <v>0</v>
      </c>
      <c r="BG34" s="12">
        <v>0</v>
      </c>
      <c r="BH34" s="9"/>
      <c r="BI34" s="10">
        <v>0</v>
      </c>
      <c r="BJ34" s="9"/>
      <c r="BK34" s="10">
        <v>0</v>
      </c>
      <c r="BL34" s="9"/>
      <c r="BM34" s="10">
        <v>0</v>
      </c>
      <c r="BN34" s="9"/>
      <c r="BO34" s="10">
        <v>0</v>
      </c>
      <c r="BP34" s="9"/>
      <c r="BQ34" s="10">
        <v>0</v>
      </c>
      <c r="BR34" s="19">
        <v>0</v>
      </c>
      <c r="BS34" s="10">
        <v>0</v>
      </c>
      <c r="BT34" s="9"/>
      <c r="BU34" s="10">
        <v>0</v>
      </c>
      <c r="BV34" s="9"/>
      <c r="BW34" s="10">
        <v>0</v>
      </c>
      <c r="BX34" s="9"/>
      <c r="BY34" s="10">
        <v>0</v>
      </c>
      <c r="BZ34" s="9">
        <v>1800</v>
      </c>
      <c r="CA34" s="10">
        <v>1800</v>
      </c>
      <c r="CB34" s="9">
        <v>1225</v>
      </c>
      <c r="CC34" s="10">
        <v>1225</v>
      </c>
      <c r="CD34" s="9">
        <v>2352</v>
      </c>
      <c r="CE34" s="10">
        <v>2352</v>
      </c>
      <c r="CF34" s="9">
        <v>3829</v>
      </c>
      <c r="CG34" s="10">
        <v>3829</v>
      </c>
      <c r="CH34" s="11">
        <v>767.16666666666663</v>
      </c>
      <c r="CI34" s="12">
        <v>767.16666666666663</v>
      </c>
      <c r="CJ34" s="13">
        <v>767</v>
      </c>
      <c r="CK34" s="10">
        <v>767</v>
      </c>
      <c r="CL34" s="18">
        <v>8591</v>
      </c>
      <c r="CM34" s="10">
        <v>8591</v>
      </c>
      <c r="CN34" s="14">
        <v>7187</v>
      </c>
      <c r="CO34" s="15">
        <v>7187</v>
      </c>
      <c r="CP34" s="14">
        <v>4257</v>
      </c>
      <c r="CQ34" s="15">
        <v>4257</v>
      </c>
      <c r="CR34" s="14">
        <v>4920</v>
      </c>
      <c r="CS34" s="15">
        <v>4920</v>
      </c>
      <c r="CT34" s="14">
        <v>7955</v>
      </c>
      <c r="CU34" s="15">
        <v>7955</v>
      </c>
      <c r="CV34" s="14"/>
      <c r="CW34" s="15">
        <v>0</v>
      </c>
      <c r="CX34" s="14"/>
      <c r="CY34" s="15">
        <v>0</v>
      </c>
      <c r="CZ34" s="14"/>
      <c r="DA34" s="15">
        <v>0</v>
      </c>
      <c r="DB34" s="14"/>
      <c r="DC34" s="15">
        <v>0</v>
      </c>
      <c r="DD34" s="14"/>
      <c r="DE34" s="15">
        <v>0</v>
      </c>
      <c r="DF34" s="14"/>
      <c r="DG34" s="15">
        <v>0</v>
      </c>
      <c r="DH34" s="14"/>
      <c r="DI34" s="15">
        <v>0</v>
      </c>
      <c r="DJ34" s="15">
        <v>0.13609350716119717</v>
      </c>
      <c r="DK34" s="15"/>
      <c r="DL34" s="16">
        <v>32910</v>
      </c>
      <c r="DM34" s="17">
        <v>32910</v>
      </c>
      <c r="DN34" s="68">
        <v>6582</v>
      </c>
      <c r="DO34" s="68">
        <v>6582</v>
      </c>
      <c r="DP34" s="69">
        <v>1.1156674141129836</v>
      </c>
      <c r="DQ34" s="70">
        <v>0.97957390695178648</v>
      </c>
      <c r="DR34" s="71" t="e">
        <v>#DIV/0!</v>
      </c>
      <c r="DS34" s="71">
        <v>757.96219856615255</v>
      </c>
      <c r="DT34" s="72">
        <v>5814.833333333333</v>
      </c>
      <c r="DU34" s="72">
        <v>6582</v>
      </c>
      <c r="DV34" s="72">
        <v>415.34523809523807</v>
      </c>
      <c r="DW34" s="72">
        <v>470.14285714285717</v>
      </c>
      <c r="DX34" s="72">
        <v>2350.7142857142858</v>
      </c>
    </row>
    <row r="35" spans="1:128" ht="20.399999999999999" thickBot="1">
      <c r="A35" s="73">
        <v>76</v>
      </c>
      <c r="B35" s="74" t="s">
        <v>37</v>
      </c>
      <c r="C35" s="74" t="s">
        <v>16</v>
      </c>
      <c r="D35" s="73">
        <v>20</v>
      </c>
      <c r="E35" s="73">
        <v>0.6</v>
      </c>
      <c r="F35" s="73" t="s">
        <v>18</v>
      </c>
      <c r="G35" s="73">
        <v>915</v>
      </c>
      <c r="H35" s="75"/>
      <c r="I35" s="76">
        <v>0</v>
      </c>
      <c r="J35" s="75"/>
      <c r="K35" s="76">
        <v>0</v>
      </c>
      <c r="L35" s="75"/>
      <c r="M35" s="76">
        <v>0</v>
      </c>
      <c r="N35" s="75"/>
      <c r="O35" s="76">
        <v>0</v>
      </c>
      <c r="P35" s="75"/>
      <c r="Q35" s="76">
        <v>0</v>
      </c>
      <c r="R35" s="75"/>
      <c r="S35" s="76">
        <v>0</v>
      </c>
      <c r="T35" s="75"/>
      <c r="U35" s="76">
        <v>0</v>
      </c>
      <c r="V35" s="75"/>
      <c r="W35" s="76">
        <v>0</v>
      </c>
      <c r="X35" s="75"/>
      <c r="Y35" s="76">
        <v>0</v>
      </c>
      <c r="Z35" s="75"/>
      <c r="AA35" s="76">
        <v>0</v>
      </c>
      <c r="AB35" s="75"/>
      <c r="AC35" s="76">
        <v>0</v>
      </c>
      <c r="AD35" s="75"/>
      <c r="AE35" s="76">
        <v>0</v>
      </c>
      <c r="AF35" s="77">
        <v>0</v>
      </c>
      <c r="AG35" s="78">
        <v>0</v>
      </c>
      <c r="AH35" s="75"/>
      <c r="AI35" s="76">
        <v>0</v>
      </c>
      <c r="AJ35" s="75"/>
      <c r="AK35" s="76">
        <v>0</v>
      </c>
      <c r="AL35" s="75"/>
      <c r="AM35" s="76">
        <v>0</v>
      </c>
      <c r="AN35" s="75"/>
      <c r="AO35" s="76">
        <v>0</v>
      </c>
      <c r="AP35" s="75"/>
      <c r="AQ35" s="76">
        <v>0</v>
      </c>
      <c r="AR35" s="75"/>
      <c r="AS35" s="76">
        <v>0</v>
      </c>
      <c r="AT35" s="75"/>
      <c r="AU35" s="76">
        <v>0</v>
      </c>
      <c r="AV35" s="75"/>
      <c r="AW35" s="76">
        <v>0</v>
      </c>
      <c r="AX35" s="75"/>
      <c r="AY35" s="76">
        <v>0</v>
      </c>
      <c r="AZ35" s="75"/>
      <c r="BA35" s="76">
        <v>0</v>
      </c>
      <c r="BB35" s="75"/>
      <c r="BC35" s="76">
        <v>0</v>
      </c>
      <c r="BD35" s="75"/>
      <c r="BE35" s="76">
        <v>0</v>
      </c>
      <c r="BF35" s="77">
        <v>0</v>
      </c>
      <c r="BG35" s="78">
        <v>0</v>
      </c>
      <c r="BH35" s="75"/>
      <c r="BI35" s="76">
        <v>0</v>
      </c>
      <c r="BJ35" s="75"/>
      <c r="BK35" s="76">
        <v>0</v>
      </c>
      <c r="BL35" s="75"/>
      <c r="BM35" s="76">
        <v>0</v>
      </c>
      <c r="BN35" s="75"/>
      <c r="BO35" s="76">
        <v>0</v>
      </c>
      <c r="BP35" s="75"/>
      <c r="BQ35" s="76">
        <v>0</v>
      </c>
      <c r="BR35" s="79">
        <v>0</v>
      </c>
      <c r="BS35" s="76">
        <v>0</v>
      </c>
      <c r="BT35" s="75"/>
      <c r="BU35" s="76">
        <v>0</v>
      </c>
      <c r="BV35" s="75"/>
      <c r="BW35" s="76">
        <v>0</v>
      </c>
      <c r="BX35" s="75"/>
      <c r="BY35" s="76">
        <v>0</v>
      </c>
      <c r="BZ35" s="75">
        <v>3192</v>
      </c>
      <c r="CA35" s="76">
        <v>1915.1999999999998</v>
      </c>
      <c r="CB35" s="75">
        <v>3095</v>
      </c>
      <c r="CC35" s="76">
        <v>1857</v>
      </c>
      <c r="CD35" s="75">
        <v>2112</v>
      </c>
      <c r="CE35" s="76">
        <v>1267.2</v>
      </c>
      <c r="CF35" s="75">
        <v>3870</v>
      </c>
      <c r="CG35" s="76">
        <v>2322</v>
      </c>
      <c r="CH35" s="77">
        <v>1022.4166666666666</v>
      </c>
      <c r="CI35" s="78">
        <v>613.44999999999993</v>
      </c>
      <c r="CJ35" s="80">
        <v>1022</v>
      </c>
      <c r="CK35" s="76">
        <v>613.19999999999993</v>
      </c>
      <c r="CL35" s="91">
        <v>3756</v>
      </c>
      <c r="CM35" s="76">
        <v>2253.6</v>
      </c>
      <c r="CN35" s="82">
        <v>2577</v>
      </c>
      <c r="CO35" s="83">
        <v>1546.2</v>
      </c>
      <c r="CP35" s="82">
        <v>2112</v>
      </c>
      <c r="CQ35" s="83">
        <v>1267.2</v>
      </c>
      <c r="CR35" s="82">
        <v>1992</v>
      </c>
      <c r="CS35" s="83">
        <v>1195.2</v>
      </c>
      <c r="CT35" s="82">
        <v>1296</v>
      </c>
      <c r="CU35" s="83">
        <v>777.6</v>
      </c>
      <c r="CV35" s="82"/>
      <c r="CW35" s="83">
        <v>0</v>
      </c>
      <c r="CX35" s="82"/>
      <c r="CY35" s="83">
        <v>0</v>
      </c>
      <c r="CZ35" s="82"/>
      <c r="DA35" s="83">
        <v>0</v>
      </c>
      <c r="DB35" s="82"/>
      <c r="DC35" s="83">
        <v>0</v>
      </c>
      <c r="DD35" s="82"/>
      <c r="DE35" s="83">
        <v>0</v>
      </c>
      <c r="DF35" s="82"/>
      <c r="DG35" s="83">
        <v>0</v>
      </c>
      <c r="DH35" s="82"/>
      <c r="DI35" s="83">
        <v>0</v>
      </c>
      <c r="DJ35" s="83">
        <v>0.10882454308238507</v>
      </c>
      <c r="DK35" s="83">
        <v>1.86</v>
      </c>
      <c r="DL35" s="84">
        <v>11733</v>
      </c>
      <c r="DM35" s="85">
        <v>7039.8</v>
      </c>
      <c r="DN35" s="86">
        <v>2346.6</v>
      </c>
      <c r="DO35" s="86">
        <v>1407.96</v>
      </c>
      <c r="DP35" s="87">
        <v>0.23865315897516201</v>
      </c>
      <c r="DQ35" s="88">
        <v>0.12982861589277694</v>
      </c>
      <c r="DR35" s="89" t="e">
        <v>#DIV/0!</v>
      </c>
      <c r="DS35" s="89">
        <v>129.51503790039939</v>
      </c>
      <c r="DT35" s="90">
        <v>794.5100000000001</v>
      </c>
      <c r="DU35" s="90">
        <v>1407.96</v>
      </c>
      <c r="DV35" s="90">
        <v>56.750714285714295</v>
      </c>
      <c r="DW35" s="90">
        <v>100.56857142857143</v>
      </c>
      <c r="DX35" s="90">
        <v>502.84285714285716</v>
      </c>
    </row>
    <row r="36" spans="1:128" s="125" customFormat="1" ht="20.399999999999999" thickBot="1">
      <c r="A36" s="119"/>
      <c r="B36" s="120"/>
      <c r="C36" s="120"/>
      <c r="D36" s="121"/>
      <c r="E36" s="121"/>
      <c r="F36" s="121"/>
      <c r="G36" s="121"/>
      <c r="H36" s="122"/>
      <c r="I36" s="123"/>
      <c r="J36" s="122"/>
      <c r="K36" s="123"/>
      <c r="L36" s="122"/>
      <c r="M36" s="123"/>
      <c r="N36" s="122"/>
      <c r="O36" s="123"/>
      <c r="P36" s="122"/>
      <c r="Q36" s="123"/>
      <c r="R36" s="122"/>
      <c r="S36" s="123"/>
      <c r="T36" s="122"/>
      <c r="U36" s="123"/>
      <c r="V36" s="122"/>
      <c r="W36" s="123"/>
      <c r="X36" s="122"/>
      <c r="Y36" s="123"/>
      <c r="Z36" s="122"/>
      <c r="AA36" s="123"/>
      <c r="AB36" s="122"/>
      <c r="AC36" s="123"/>
      <c r="AD36" s="122"/>
      <c r="AE36" s="123"/>
      <c r="AF36" s="122"/>
      <c r="AG36" s="123"/>
      <c r="AH36" s="122"/>
      <c r="AI36" s="123"/>
      <c r="AJ36" s="122"/>
      <c r="AK36" s="123"/>
      <c r="AL36" s="122"/>
      <c r="AM36" s="123"/>
      <c r="AN36" s="122"/>
      <c r="AO36" s="123"/>
      <c r="AP36" s="122"/>
      <c r="AQ36" s="123"/>
      <c r="AR36" s="122"/>
      <c r="AS36" s="123"/>
      <c r="AT36" s="122"/>
      <c r="AU36" s="123"/>
      <c r="AV36" s="122"/>
      <c r="AW36" s="123"/>
      <c r="AX36" s="122"/>
      <c r="AY36" s="123"/>
      <c r="AZ36" s="122"/>
      <c r="BA36" s="123"/>
      <c r="BB36" s="122"/>
      <c r="BC36" s="123"/>
      <c r="BD36" s="122"/>
      <c r="BE36" s="123"/>
      <c r="BF36" s="122"/>
      <c r="BG36" s="123"/>
      <c r="BH36" s="122"/>
      <c r="BI36" s="123"/>
      <c r="BJ36" s="122"/>
      <c r="BK36" s="123"/>
      <c r="BL36" s="122"/>
      <c r="BM36" s="123"/>
      <c r="BN36" s="122"/>
      <c r="BO36" s="123"/>
      <c r="BP36" s="122"/>
      <c r="BQ36" s="123"/>
      <c r="BR36" s="124">
        <f>BR32+BR33+BR34+BR35</f>
        <v>4280</v>
      </c>
      <c r="BS36" s="124">
        <f t="shared" ref="BS36:DX36" si="10">BS32+BS33+BS34+BS35</f>
        <v>2638.3359999999998</v>
      </c>
      <c r="BT36" s="124">
        <f t="shared" si="10"/>
        <v>8774</v>
      </c>
      <c r="BU36" s="124">
        <f t="shared" si="10"/>
        <v>5360.16</v>
      </c>
      <c r="BV36" s="124">
        <f t="shared" si="10"/>
        <v>19583</v>
      </c>
      <c r="BW36" s="124">
        <f t="shared" si="10"/>
        <v>11774.72</v>
      </c>
      <c r="BX36" s="124">
        <f t="shared" si="10"/>
        <v>13426</v>
      </c>
      <c r="BY36" s="124">
        <f t="shared" si="10"/>
        <v>8075.76</v>
      </c>
      <c r="BZ36" s="124">
        <f t="shared" si="10"/>
        <v>32432</v>
      </c>
      <c r="CA36" s="124">
        <f t="shared" si="10"/>
        <v>20192.080000000002</v>
      </c>
      <c r="CB36" s="124">
        <f t="shared" si="10"/>
        <v>33762</v>
      </c>
      <c r="CC36" s="124">
        <f t="shared" si="10"/>
        <v>20762.12</v>
      </c>
      <c r="CD36" s="124">
        <f t="shared" si="10"/>
        <v>34474</v>
      </c>
      <c r="CE36" s="124">
        <f t="shared" si="10"/>
        <v>21685.68</v>
      </c>
      <c r="CF36" s="124">
        <f t="shared" si="10"/>
        <v>38677</v>
      </c>
      <c r="CG36" s="124">
        <f t="shared" si="10"/>
        <v>24744.52</v>
      </c>
      <c r="CH36" s="124">
        <f t="shared" si="10"/>
        <v>16877.333333333332</v>
      </c>
      <c r="CI36" s="124">
        <f t="shared" si="10"/>
        <v>10482.226666666667</v>
      </c>
      <c r="CJ36" s="124">
        <f t="shared" si="10"/>
        <v>23808</v>
      </c>
      <c r="CK36" s="124">
        <f t="shared" si="10"/>
        <v>14640.560000000001</v>
      </c>
      <c r="CL36" s="124">
        <f t="shared" si="10"/>
        <v>55243</v>
      </c>
      <c r="CM36" s="124">
        <f t="shared" si="10"/>
        <v>36586.120000000003</v>
      </c>
      <c r="CN36" s="124">
        <f t="shared" si="10"/>
        <v>45135</v>
      </c>
      <c r="CO36" s="124">
        <f t="shared" si="10"/>
        <v>30051</v>
      </c>
      <c r="CP36" s="124">
        <f t="shared" si="10"/>
        <v>32769</v>
      </c>
      <c r="CQ36" s="124">
        <f t="shared" si="10"/>
        <v>21364.2</v>
      </c>
      <c r="CR36" s="124">
        <f t="shared" si="10"/>
        <v>46176</v>
      </c>
      <c r="CS36" s="124">
        <f t="shared" si="10"/>
        <v>29673.599999999999</v>
      </c>
      <c r="CT36" s="124">
        <f t="shared" si="10"/>
        <v>47099</v>
      </c>
      <c r="CU36" s="124">
        <f t="shared" si="10"/>
        <v>31441.399999999998</v>
      </c>
      <c r="CV36" s="124">
        <f t="shared" si="10"/>
        <v>0</v>
      </c>
      <c r="CW36" s="124">
        <f t="shared" si="10"/>
        <v>0</v>
      </c>
      <c r="CX36" s="124">
        <f t="shared" si="10"/>
        <v>0</v>
      </c>
      <c r="CY36" s="124">
        <f t="shared" si="10"/>
        <v>0</v>
      </c>
      <c r="CZ36" s="124">
        <f t="shared" si="10"/>
        <v>0</v>
      </c>
      <c r="DA36" s="124">
        <f t="shared" si="10"/>
        <v>0</v>
      </c>
      <c r="DB36" s="124">
        <f t="shared" si="10"/>
        <v>0</v>
      </c>
      <c r="DC36" s="124">
        <f t="shared" si="10"/>
        <v>0</v>
      </c>
      <c r="DD36" s="124">
        <f t="shared" si="10"/>
        <v>0</v>
      </c>
      <c r="DE36" s="124">
        <f t="shared" si="10"/>
        <v>0</v>
      </c>
      <c r="DF36" s="124">
        <f t="shared" si="10"/>
        <v>0</v>
      </c>
      <c r="DG36" s="124">
        <f t="shared" si="10"/>
        <v>0</v>
      </c>
      <c r="DH36" s="124">
        <f t="shared" si="10"/>
        <v>0</v>
      </c>
      <c r="DI36" s="124">
        <f t="shared" si="10"/>
        <v>0</v>
      </c>
      <c r="DJ36" s="214">
        <f t="shared" si="10"/>
        <v>1.8595216032048127</v>
      </c>
      <c r="DK36" s="214">
        <f t="shared" si="10"/>
        <v>1.86</v>
      </c>
      <c r="DL36" s="124">
        <f t="shared" si="10"/>
        <v>226422</v>
      </c>
      <c r="DM36" s="124">
        <f t="shared" si="10"/>
        <v>149116.31999999998</v>
      </c>
      <c r="DN36" s="124">
        <f t="shared" si="10"/>
        <v>45284.399999999994</v>
      </c>
      <c r="DO36" s="124">
        <f t="shared" si="10"/>
        <v>29823.263999999999</v>
      </c>
      <c r="DP36" s="214">
        <f t="shared" si="10"/>
        <v>5.0551266829670061</v>
      </c>
      <c r="DQ36" s="214">
        <f t="shared" si="10"/>
        <v>3.1956050797621938</v>
      </c>
      <c r="DR36" s="124" t="e">
        <f t="shared" si="10"/>
        <v>#DIV/0!</v>
      </c>
      <c r="DS36" s="124">
        <f t="shared" si="10"/>
        <v>986.62905007270854</v>
      </c>
      <c r="DT36" s="124">
        <f t="shared" si="10"/>
        <v>19341.03733333333</v>
      </c>
      <c r="DU36" s="124">
        <f t="shared" si="10"/>
        <v>27184.928</v>
      </c>
      <c r="DV36" s="124">
        <f t="shared" si="10"/>
        <v>1381.5026666666668</v>
      </c>
      <c r="DW36" s="124">
        <f t="shared" si="10"/>
        <v>1941.7805714285714</v>
      </c>
      <c r="DX36" s="215">
        <f t="shared" si="10"/>
        <v>9708.9028571428571</v>
      </c>
    </row>
    <row r="37" spans="1:128">
      <c r="A37" s="92">
        <v>80</v>
      </c>
      <c r="B37" s="93" t="s">
        <v>40</v>
      </c>
      <c r="C37" s="93" t="s">
        <v>14</v>
      </c>
      <c r="D37" s="92">
        <v>10</v>
      </c>
      <c r="E37" s="92">
        <v>0.64</v>
      </c>
      <c r="F37" s="92" t="s">
        <v>18</v>
      </c>
      <c r="G37" s="92">
        <v>800</v>
      </c>
      <c r="H37" s="56"/>
      <c r="I37" s="57">
        <v>0</v>
      </c>
      <c r="J37" s="56"/>
      <c r="K37" s="57">
        <v>0</v>
      </c>
      <c r="L37" s="56"/>
      <c r="M37" s="57">
        <v>0</v>
      </c>
      <c r="N37" s="56"/>
      <c r="O37" s="57">
        <v>0</v>
      </c>
      <c r="P37" s="56"/>
      <c r="Q37" s="57">
        <v>0</v>
      </c>
      <c r="R37" s="56"/>
      <c r="S37" s="57">
        <v>0</v>
      </c>
      <c r="T37" s="56"/>
      <c r="U37" s="57">
        <v>0</v>
      </c>
      <c r="V37" s="56"/>
      <c r="W37" s="57">
        <v>0</v>
      </c>
      <c r="X37" s="56"/>
      <c r="Y37" s="57">
        <v>0</v>
      </c>
      <c r="Z37" s="56"/>
      <c r="AA37" s="57">
        <v>0</v>
      </c>
      <c r="AB37" s="56"/>
      <c r="AC37" s="57">
        <v>0</v>
      </c>
      <c r="AD37" s="56"/>
      <c r="AE37" s="57">
        <v>0</v>
      </c>
      <c r="AF37" s="58">
        <v>0</v>
      </c>
      <c r="AG37" s="59">
        <v>0</v>
      </c>
      <c r="AH37" s="56"/>
      <c r="AI37" s="57">
        <v>0</v>
      </c>
      <c r="AJ37" s="56"/>
      <c r="AK37" s="57">
        <v>0</v>
      </c>
      <c r="AL37" s="56"/>
      <c r="AM37" s="57">
        <v>0</v>
      </c>
      <c r="AN37" s="56">
        <v>5029</v>
      </c>
      <c r="AO37" s="57">
        <v>3218.56</v>
      </c>
      <c r="AP37" s="56">
        <v>520</v>
      </c>
      <c r="AQ37" s="57">
        <v>332.8</v>
      </c>
      <c r="AR37" s="56">
        <v>192</v>
      </c>
      <c r="AS37" s="57">
        <v>122.88</v>
      </c>
      <c r="AT37" s="56">
        <v>192</v>
      </c>
      <c r="AU37" s="57">
        <v>122.88</v>
      </c>
      <c r="AV37" s="56">
        <v>72</v>
      </c>
      <c r="AW37" s="57">
        <v>46.08</v>
      </c>
      <c r="AX37" s="56">
        <v>576</v>
      </c>
      <c r="AY37" s="57">
        <v>368.64</v>
      </c>
      <c r="AZ37" s="56">
        <v>24</v>
      </c>
      <c r="BA37" s="57">
        <v>15.36</v>
      </c>
      <c r="BB37" s="56">
        <v>264</v>
      </c>
      <c r="BC37" s="57">
        <v>168.96</v>
      </c>
      <c r="BD37" s="56">
        <v>120</v>
      </c>
      <c r="BE37" s="57">
        <v>76.8</v>
      </c>
      <c r="BF37" s="58">
        <v>582.41666666666663</v>
      </c>
      <c r="BG37" s="59">
        <v>372.74666666666667</v>
      </c>
      <c r="BH37" s="56"/>
      <c r="BI37" s="57">
        <v>0</v>
      </c>
      <c r="BJ37" s="56">
        <v>144</v>
      </c>
      <c r="BK37" s="57">
        <v>92.16</v>
      </c>
      <c r="BL37" s="56">
        <v>4149</v>
      </c>
      <c r="BM37" s="57">
        <v>2655.36</v>
      </c>
      <c r="BN37" s="56">
        <v>18550</v>
      </c>
      <c r="BO37" s="57">
        <v>11872</v>
      </c>
      <c r="BP37" s="56">
        <v>20986</v>
      </c>
      <c r="BQ37" s="57">
        <v>13431.04</v>
      </c>
      <c r="BR37" s="60">
        <v>8765.7999999999993</v>
      </c>
      <c r="BS37" s="57">
        <v>5610.1120000000001</v>
      </c>
      <c r="BT37" s="56">
        <v>17002</v>
      </c>
      <c r="BU37" s="57">
        <v>10881.28</v>
      </c>
      <c r="BV37" s="56">
        <v>21224</v>
      </c>
      <c r="BW37" s="57">
        <v>13583.36</v>
      </c>
      <c r="BX37" s="56">
        <v>18204</v>
      </c>
      <c r="BY37" s="57">
        <v>11650.56</v>
      </c>
      <c r="BZ37" s="56">
        <v>17136</v>
      </c>
      <c r="CA37" s="57">
        <v>10967.04</v>
      </c>
      <c r="CB37" s="56">
        <v>20256</v>
      </c>
      <c r="CC37" s="57">
        <v>12963.84</v>
      </c>
      <c r="CD37" s="56">
        <v>18185</v>
      </c>
      <c r="CE37" s="57">
        <v>11638.4</v>
      </c>
      <c r="CF37" s="56">
        <v>11232</v>
      </c>
      <c r="CG37" s="57">
        <v>7188.4800000000005</v>
      </c>
      <c r="CH37" s="58">
        <v>13922.333333333334</v>
      </c>
      <c r="CI37" s="59">
        <v>8910.2933333333331</v>
      </c>
      <c r="CJ37" s="94">
        <v>13922</v>
      </c>
      <c r="CK37" s="57">
        <v>8910.08</v>
      </c>
      <c r="CL37" s="61">
        <v>14112</v>
      </c>
      <c r="CM37" s="57">
        <v>9031.68</v>
      </c>
      <c r="CN37" s="61">
        <v>17376</v>
      </c>
      <c r="CO37" s="95">
        <v>11120.64</v>
      </c>
      <c r="CP37" s="61">
        <v>20266</v>
      </c>
      <c r="CQ37" s="95">
        <v>12970.24</v>
      </c>
      <c r="CR37" s="61">
        <v>21648</v>
      </c>
      <c r="CS37" s="95">
        <v>13854.720000000001</v>
      </c>
      <c r="CT37" s="61">
        <v>31114</v>
      </c>
      <c r="CU37" s="95">
        <v>19912.96</v>
      </c>
      <c r="CV37" s="61"/>
      <c r="CW37" s="95">
        <v>0</v>
      </c>
      <c r="CX37" s="61"/>
      <c r="CY37" s="95">
        <v>0</v>
      </c>
      <c r="CZ37" s="61"/>
      <c r="DA37" s="95">
        <v>0</v>
      </c>
      <c r="DB37" s="61"/>
      <c r="DC37" s="95">
        <v>0</v>
      </c>
      <c r="DD37" s="61"/>
      <c r="DE37" s="95">
        <v>0</v>
      </c>
      <c r="DF37" s="61"/>
      <c r="DG37" s="95">
        <v>0</v>
      </c>
      <c r="DH37" s="61"/>
      <c r="DI37" s="95">
        <v>0</v>
      </c>
      <c r="DJ37" s="95">
        <v>1.5806644400195971</v>
      </c>
      <c r="DK37" s="95"/>
      <c r="DL37" s="63">
        <v>104516</v>
      </c>
      <c r="DM37" s="62">
        <v>66890.239999999991</v>
      </c>
      <c r="DN37" s="96">
        <v>20903.2</v>
      </c>
      <c r="DO37" s="96">
        <v>13378.047999999999</v>
      </c>
      <c r="DP37" s="97">
        <v>2.267616563056726</v>
      </c>
      <c r="DQ37" s="98">
        <v>0.68695212303712894</v>
      </c>
      <c r="DR37" s="99">
        <v>138.46311802687717</v>
      </c>
      <c r="DS37" s="99">
        <v>50.141499269758413</v>
      </c>
      <c r="DT37" s="100">
        <v>4467.7546666666658</v>
      </c>
      <c r="DU37" s="100">
        <v>7767.9359999999988</v>
      </c>
      <c r="DV37" s="100">
        <v>319.12533333333329</v>
      </c>
      <c r="DW37" s="100">
        <v>554.85257142857131</v>
      </c>
      <c r="DX37" s="100">
        <v>2774.2628571428568</v>
      </c>
    </row>
    <row r="38" spans="1:128" ht="20.399999999999999" thickBot="1">
      <c r="A38" s="73">
        <v>81</v>
      </c>
      <c r="B38" s="74" t="s">
        <v>64</v>
      </c>
      <c r="C38" s="74" t="s">
        <v>14</v>
      </c>
      <c r="D38" s="73"/>
      <c r="E38" s="73">
        <v>0.64</v>
      </c>
      <c r="F38" s="73" t="s">
        <v>63</v>
      </c>
      <c r="G38" s="73">
        <v>830</v>
      </c>
      <c r="H38" s="75"/>
      <c r="I38" s="76"/>
      <c r="J38" s="75"/>
      <c r="K38" s="76"/>
      <c r="L38" s="75"/>
      <c r="M38" s="76"/>
      <c r="N38" s="75"/>
      <c r="O38" s="76"/>
      <c r="P38" s="75"/>
      <c r="Q38" s="76"/>
      <c r="R38" s="75"/>
      <c r="S38" s="76"/>
      <c r="T38" s="75"/>
      <c r="U38" s="76"/>
      <c r="V38" s="75"/>
      <c r="W38" s="76"/>
      <c r="X38" s="75"/>
      <c r="Y38" s="76"/>
      <c r="Z38" s="75"/>
      <c r="AA38" s="76"/>
      <c r="AB38" s="75"/>
      <c r="AC38" s="76"/>
      <c r="AD38" s="75"/>
      <c r="AE38" s="76"/>
      <c r="AF38" s="77"/>
      <c r="AG38" s="78"/>
      <c r="AH38" s="75"/>
      <c r="AI38" s="76"/>
      <c r="AJ38" s="75"/>
      <c r="AK38" s="76"/>
      <c r="AL38" s="75"/>
      <c r="AM38" s="76"/>
      <c r="AN38" s="75"/>
      <c r="AO38" s="76"/>
      <c r="AP38" s="75"/>
      <c r="AQ38" s="76"/>
      <c r="AR38" s="75"/>
      <c r="AS38" s="76"/>
      <c r="AT38" s="75"/>
      <c r="AU38" s="76"/>
      <c r="AV38" s="75"/>
      <c r="AW38" s="76"/>
      <c r="AX38" s="75"/>
      <c r="AY38" s="76"/>
      <c r="AZ38" s="75"/>
      <c r="BA38" s="76"/>
      <c r="BB38" s="75"/>
      <c r="BC38" s="76"/>
      <c r="BD38" s="75"/>
      <c r="BE38" s="76"/>
      <c r="BF38" s="77"/>
      <c r="BG38" s="78"/>
      <c r="BH38" s="75"/>
      <c r="BI38" s="76"/>
      <c r="BJ38" s="75"/>
      <c r="BK38" s="76"/>
      <c r="BL38" s="75"/>
      <c r="BM38" s="76"/>
      <c r="BN38" s="75"/>
      <c r="BO38" s="76"/>
      <c r="BP38" s="75"/>
      <c r="BQ38" s="76"/>
      <c r="BR38" s="79">
        <v>0</v>
      </c>
      <c r="BS38" s="76">
        <v>0</v>
      </c>
      <c r="BT38" s="75"/>
      <c r="BU38" s="76"/>
      <c r="BV38" s="75"/>
      <c r="BW38" s="76"/>
      <c r="BX38" s="75"/>
      <c r="BY38" s="76"/>
      <c r="BZ38" s="75"/>
      <c r="CA38" s="76"/>
      <c r="CB38" s="75"/>
      <c r="CC38" s="76"/>
      <c r="CD38" s="75"/>
      <c r="CE38" s="76"/>
      <c r="CF38" s="75"/>
      <c r="CG38" s="76"/>
      <c r="CH38" s="77">
        <v>0</v>
      </c>
      <c r="CI38" s="78">
        <v>0</v>
      </c>
      <c r="CJ38" s="80"/>
      <c r="CK38" s="76"/>
      <c r="CL38" s="82"/>
      <c r="CM38" s="76"/>
      <c r="CN38" s="82"/>
      <c r="CO38" s="83"/>
      <c r="CP38" s="82"/>
      <c r="CQ38" s="83"/>
      <c r="CR38" s="82">
        <v>4158</v>
      </c>
      <c r="CS38" s="83">
        <v>2661.12</v>
      </c>
      <c r="CT38" s="82">
        <v>10876</v>
      </c>
      <c r="CU38" s="83">
        <v>6960.64</v>
      </c>
      <c r="CV38" s="82"/>
      <c r="CW38" s="83">
        <v>0</v>
      </c>
      <c r="CX38" s="82"/>
      <c r="CY38" s="83">
        <v>0</v>
      </c>
      <c r="CZ38" s="82"/>
      <c r="DA38" s="83">
        <v>0</v>
      </c>
      <c r="DB38" s="82"/>
      <c r="DC38" s="83">
        <v>0</v>
      </c>
      <c r="DD38" s="82"/>
      <c r="DE38" s="83">
        <v>0</v>
      </c>
      <c r="DF38" s="82"/>
      <c r="DG38" s="83">
        <v>0</v>
      </c>
      <c r="DH38" s="82"/>
      <c r="DI38" s="83">
        <v>0</v>
      </c>
      <c r="DJ38" s="83">
        <v>0</v>
      </c>
      <c r="DK38" s="83">
        <v>1.58</v>
      </c>
      <c r="DL38" s="84">
        <v>15034</v>
      </c>
      <c r="DM38" s="85">
        <v>9621.76</v>
      </c>
      <c r="DN38" s="86">
        <v>3006.8</v>
      </c>
      <c r="DO38" s="86">
        <v>1924.3520000000001</v>
      </c>
      <c r="DP38" s="87">
        <v>0.32618304765772538</v>
      </c>
      <c r="DQ38" s="88">
        <v>0.32618304765772538</v>
      </c>
      <c r="DR38" s="89" t="e">
        <v>#DIV/0!</v>
      </c>
      <c r="DS38" s="89" t="e">
        <v>#DIV/0!</v>
      </c>
      <c r="DT38" s="90">
        <v>1924.3520000000001</v>
      </c>
      <c r="DU38" s="90">
        <v>1924.3520000000001</v>
      </c>
      <c r="DV38" s="90">
        <v>137.45371428571428</v>
      </c>
      <c r="DW38" s="90">
        <v>137.45371428571428</v>
      </c>
      <c r="DX38" s="90">
        <v>687.26857142857148</v>
      </c>
    </row>
    <row r="39" spans="1:128" s="125" customFormat="1" ht="20.399999999999999" thickBot="1">
      <c r="A39" s="119"/>
      <c r="B39" s="120"/>
      <c r="C39" s="120"/>
      <c r="D39" s="121"/>
      <c r="E39" s="121"/>
      <c r="F39" s="121"/>
      <c r="G39" s="121"/>
      <c r="H39" s="122"/>
      <c r="I39" s="123"/>
      <c r="J39" s="122"/>
      <c r="K39" s="123"/>
      <c r="L39" s="122"/>
      <c r="M39" s="123"/>
      <c r="N39" s="122"/>
      <c r="O39" s="123"/>
      <c r="P39" s="122"/>
      <c r="Q39" s="123"/>
      <c r="R39" s="122"/>
      <c r="S39" s="123"/>
      <c r="T39" s="122"/>
      <c r="U39" s="123"/>
      <c r="V39" s="122"/>
      <c r="W39" s="123"/>
      <c r="X39" s="122"/>
      <c r="Y39" s="123"/>
      <c r="Z39" s="122"/>
      <c r="AA39" s="123"/>
      <c r="AB39" s="122"/>
      <c r="AC39" s="123"/>
      <c r="AD39" s="122"/>
      <c r="AE39" s="123"/>
      <c r="AF39" s="122"/>
      <c r="AG39" s="123"/>
      <c r="AH39" s="122"/>
      <c r="AI39" s="123"/>
      <c r="AJ39" s="122"/>
      <c r="AK39" s="123"/>
      <c r="AL39" s="122"/>
      <c r="AM39" s="123"/>
      <c r="AN39" s="122"/>
      <c r="AO39" s="123"/>
      <c r="AP39" s="122"/>
      <c r="AQ39" s="123"/>
      <c r="AR39" s="122"/>
      <c r="AS39" s="123"/>
      <c r="AT39" s="122"/>
      <c r="AU39" s="123"/>
      <c r="AV39" s="122"/>
      <c r="AW39" s="123"/>
      <c r="AX39" s="122"/>
      <c r="AY39" s="123"/>
      <c r="AZ39" s="122"/>
      <c r="BA39" s="123"/>
      <c r="BB39" s="122"/>
      <c r="BC39" s="123"/>
      <c r="BD39" s="122"/>
      <c r="BE39" s="123"/>
      <c r="BF39" s="122"/>
      <c r="BG39" s="123"/>
      <c r="BH39" s="122"/>
      <c r="BI39" s="123"/>
      <c r="BJ39" s="122"/>
      <c r="BK39" s="123"/>
      <c r="BL39" s="122"/>
      <c r="BM39" s="123"/>
      <c r="BN39" s="122"/>
      <c r="BO39" s="123"/>
      <c r="BP39" s="122"/>
      <c r="BQ39" s="123"/>
      <c r="BR39" s="124">
        <f>BR37+BR38</f>
        <v>8765.7999999999993</v>
      </c>
      <c r="BS39" s="124">
        <f t="shared" ref="BS39:DX39" si="11">BS37+BS38</f>
        <v>5610.1120000000001</v>
      </c>
      <c r="BT39" s="124">
        <f t="shared" si="11"/>
        <v>17002</v>
      </c>
      <c r="BU39" s="124">
        <f t="shared" si="11"/>
        <v>10881.28</v>
      </c>
      <c r="BV39" s="124">
        <f t="shared" si="11"/>
        <v>21224</v>
      </c>
      <c r="BW39" s="124">
        <f t="shared" si="11"/>
        <v>13583.36</v>
      </c>
      <c r="BX39" s="124">
        <f t="shared" si="11"/>
        <v>18204</v>
      </c>
      <c r="BY39" s="124">
        <f t="shared" si="11"/>
        <v>11650.56</v>
      </c>
      <c r="BZ39" s="124">
        <f t="shared" si="11"/>
        <v>17136</v>
      </c>
      <c r="CA39" s="124">
        <f t="shared" si="11"/>
        <v>10967.04</v>
      </c>
      <c r="CB39" s="124">
        <f t="shared" si="11"/>
        <v>20256</v>
      </c>
      <c r="CC39" s="124">
        <f t="shared" si="11"/>
        <v>12963.84</v>
      </c>
      <c r="CD39" s="124">
        <f t="shared" si="11"/>
        <v>18185</v>
      </c>
      <c r="CE39" s="124">
        <f t="shared" si="11"/>
        <v>11638.4</v>
      </c>
      <c r="CF39" s="124">
        <f t="shared" si="11"/>
        <v>11232</v>
      </c>
      <c r="CG39" s="124">
        <f t="shared" si="11"/>
        <v>7188.4800000000005</v>
      </c>
      <c r="CH39" s="124">
        <f t="shared" si="11"/>
        <v>13922.333333333334</v>
      </c>
      <c r="CI39" s="124">
        <f t="shared" si="11"/>
        <v>8910.2933333333331</v>
      </c>
      <c r="CJ39" s="124">
        <f t="shared" si="11"/>
        <v>13922</v>
      </c>
      <c r="CK39" s="124">
        <f t="shared" si="11"/>
        <v>8910.08</v>
      </c>
      <c r="CL39" s="124">
        <f t="shared" si="11"/>
        <v>14112</v>
      </c>
      <c r="CM39" s="124">
        <f t="shared" si="11"/>
        <v>9031.68</v>
      </c>
      <c r="CN39" s="124">
        <f t="shared" si="11"/>
        <v>17376</v>
      </c>
      <c r="CO39" s="124">
        <f t="shared" si="11"/>
        <v>11120.64</v>
      </c>
      <c r="CP39" s="124">
        <f t="shared" si="11"/>
        <v>20266</v>
      </c>
      <c r="CQ39" s="124">
        <f t="shared" si="11"/>
        <v>12970.24</v>
      </c>
      <c r="CR39" s="124">
        <f t="shared" si="11"/>
        <v>25806</v>
      </c>
      <c r="CS39" s="124">
        <f t="shared" si="11"/>
        <v>16515.84</v>
      </c>
      <c r="CT39" s="124">
        <f t="shared" si="11"/>
        <v>41990</v>
      </c>
      <c r="CU39" s="124">
        <f t="shared" si="11"/>
        <v>26873.599999999999</v>
      </c>
      <c r="CV39" s="124">
        <f t="shared" si="11"/>
        <v>0</v>
      </c>
      <c r="CW39" s="124">
        <f t="shared" si="11"/>
        <v>0</v>
      </c>
      <c r="CX39" s="124">
        <f t="shared" si="11"/>
        <v>0</v>
      </c>
      <c r="CY39" s="124">
        <f t="shared" si="11"/>
        <v>0</v>
      </c>
      <c r="CZ39" s="124">
        <f t="shared" si="11"/>
        <v>0</v>
      </c>
      <c r="DA39" s="124">
        <f t="shared" si="11"/>
        <v>0</v>
      </c>
      <c r="DB39" s="124">
        <f t="shared" si="11"/>
        <v>0</v>
      </c>
      <c r="DC39" s="124">
        <f t="shared" si="11"/>
        <v>0</v>
      </c>
      <c r="DD39" s="124">
        <f t="shared" si="11"/>
        <v>0</v>
      </c>
      <c r="DE39" s="124">
        <f t="shared" si="11"/>
        <v>0</v>
      </c>
      <c r="DF39" s="124">
        <f t="shared" si="11"/>
        <v>0</v>
      </c>
      <c r="DG39" s="124">
        <f t="shared" si="11"/>
        <v>0</v>
      </c>
      <c r="DH39" s="124">
        <f t="shared" si="11"/>
        <v>0</v>
      </c>
      <c r="DI39" s="124">
        <f t="shared" si="11"/>
        <v>0</v>
      </c>
      <c r="DJ39" s="214">
        <f t="shared" si="11"/>
        <v>1.5806644400195971</v>
      </c>
      <c r="DK39" s="214">
        <f t="shared" si="11"/>
        <v>1.58</v>
      </c>
      <c r="DL39" s="124">
        <f t="shared" si="11"/>
        <v>119550</v>
      </c>
      <c r="DM39" s="124">
        <f t="shared" si="11"/>
        <v>76511.999999999985</v>
      </c>
      <c r="DN39" s="124">
        <f t="shared" si="11"/>
        <v>23910</v>
      </c>
      <c r="DO39" s="124">
        <f t="shared" si="11"/>
        <v>15302.4</v>
      </c>
      <c r="DP39" s="214">
        <f t="shared" si="11"/>
        <v>2.5937996107144512</v>
      </c>
      <c r="DQ39" s="214">
        <f t="shared" si="11"/>
        <v>1.0131351706948544</v>
      </c>
      <c r="DR39" s="124" t="e">
        <f t="shared" si="11"/>
        <v>#DIV/0!</v>
      </c>
      <c r="DS39" s="124" t="e">
        <f t="shared" si="11"/>
        <v>#DIV/0!</v>
      </c>
      <c r="DT39" s="124">
        <f t="shared" si="11"/>
        <v>6392.1066666666657</v>
      </c>
      <c r="DU39" s="124">
        <f t="shared" si="11"/>
        <v>9692.2879999999986</v>
      </c>
      <c r="DV39" s="124">
        <f t="shared" si="11"/>
        <v>456.57904761904757</v>
      </c>
      <c r="DW39" s="124">
        <f t="shared" si="11"/>
        <v>692.30628571428565</v>
      </c>
      <c r="DX39" s="215">
        <f t="shared" si="11"/>
        <v>3461.5314285714285</v>
      </c>
    </row>
    <row r="40" spans="1:128">
      <c r="A40" s="92">
        <v>91</v>
      </c>
      <c r="B40" s="93" t="s">
        <v>38</v>
      </c>
      <c r="C40" s="93" t="s">
        <v>14</v>
      </c>
      <c r="D40" s="92">
        <v>28</v>
      </c>
      <c r="E40" s="92">
        <v>0.7</v>
      </c>
      <c r="F40" s="92" t="s">
        <v>15</v>
      </c>
      <c r="G40" s="92">
        <v>3600</v>
      </c>
      <c r="H40" s="56">
        <v>404</v>
      </c>
      <c r="I40" s="57">
        <v>282.79999999999995</v>
      </c>
      <c r="J40" s="56">
        <v>592</v>
      </c>
      <c r="K40" s="57">
        <v>414.4</v>
      </c>
      <c r="L40" s="56">
        <v>866</v>
      </c>
      <c r="M40" s="57">
        <v>606.19999999999993</v>
      </c>
      <c r="N40" s="56">
        <v>636</v>
      </c>
      <c r="O40" s="57">
        <v>445.2</v>
      </c>
      <c r="P40" s="56">
        <v>977</v>
      </c>
      <c r="Q40" s="57">
        <v>683.9</v>
      </c>
      <c r="R40" s="56">
        <v>468</v>
      </c>
      <c r="S40" s="57">
        <v>327.59999999999997</v>
      </c>
      <c r="T40" s="56">
        <v>96</v>
      </c>
      <c r="U40" s="57">
        <v>67.199999999999989</v>
      </c>
      <c r="V40" s="56">
        <v>396</v>
      </c>
      <c r="W40" s="57">
        <v>277.2</v>
      </c>
      <c r="X40" s="56">
        <v>24</v>
      </c>
      <c r="Y40" s="57">
        <v>16.799999999999997</v>
      </c>
      <c r="Z40" s="56">
        <v>845</v>
      </c>
      <c r="AA40" s="57">
        <v>591.5</v>
      </c>
      <c r="AB40" s="56">
        <v>1146</v>
      </c>
      <c r="AC40" s="57">
        <v>802.19999999999993</v>
      </c>
      <c r="AD40" s="56">
        <v>759</v>
      </c>
      <c r="AE40" s="57">
        <v>531.29999999999995</v>
      </c>
      <c r="AF40" s="58">
        <v>600.75</v>
      </c>
      <c r="AG40" s="59">
        <v>420.52499999999998</v>
      </c>
      <c r="AH40" s="56">
        <v>910</v>
      </c>
      <c r="AI40" s="57">
        <v>637</v>
      </c>
      <c r="AJ40" s="56">
        <v>517</v>
      </c>
      <c r="AK40" s="57">
        <v>361.9</v>
      </c>
      <c r="AL40" s="56">
        <v>250</v>
      </c>
      <c r="AM40" s="57">
        <v>175</v>
      </c>
      <c r="AN40" s="56">
        <v>515</v>
      </c>
      <c r="AO40" s="57">
        <v>360.5</v>
      </c>
      <c r="AP40" s="56">
        <v>738</v>
      </c>
      <c r="AQ40" s="57">
        <v>516.6</v>
      </c>
      <c r="AR40" s="56">
        <v>352</v>
      </c>
      <c r="AS40" s="57">
        <v>246.39999999999998</v>
      </c>
      <c r="AT40" s="56">
        <v>415</v>
      </c>
      <c r="AU40" s="57">
        <v>290.5</v>
      </c>
      <c r="AV40" s="56">
        <v>305</v>
      </c>
      <c r="AW40" s="57">
        <v>213.5</v>
      </c>
      <c r="AX40" s="56">
        <v>840</v>
      </c>
      <c r="AY40" s="57">
        <v>588</v>
      </c>
      <c r="AZ40" s="56">
        <v>446</v>
      </c>
      <c r="BA40" s="57">
        <v>312.2</v>
      </c>
      <c r="BB40" s="56">
        <v>180</v>
      </c>
      <c r="BC40" s="57">
        <v>125.99999999999999</v>
      </c>
      <c r="BD40" s="56">
        <v>1272</v>
      </c>
      <c r="BE40" s="57">
        <v>890.4</v>
      </c>
      <c r="BF40" s="58">
        <v>561.66666666666663</v>
      </c>
      <c r="BG40" s="59">
        <v>393.16666666666663</v>
      </c>
      <c r="BH40" s="56">
        <v>372</v>
      </c>
      <c r="BI40" s="57">
        <v>260.39999999999998</v>
      </c>
      <c r="BJ40" s="56">
        <v>1045</v>
      </c>
      <c r="BK40" s="57">
        <v>731.5</v>
      </c>
      <c r="BL40" s="56">
        <v>2335</v>
      </c>
      <c r="BM40" s="57">
        <v>1634.5</v>
      </c>
      <c r="BN40" s="56">
        <v>252</v>
      </c>
      <c r="BO40" s="57">
        <v>176.39999999999998</v>
      </c>
      <c r="BP40" s="56">
        <v>870</v>
      </c>
      <c r="BQ40" s="57">
        <v>609</v>
      </c>
      <c r="BR40" s="60">
        <v>974.8</v>
      </c>
      <c r="BS40" s="57">
        <v>682.36</v>
      </c>
      <c r="BT40" s="56">
        <v>448</v>
      </c>
      <c r="BU40" s="57">
        <v>313.59999999999997</v>
      </c>
      <c r="BV40" s="56">
        <v>2144</v>
      </c>
      <c r="BW40" s="57">
        <v>1500.8</v>
      </c>
      <c r="BX40" s="56">
        <v>1209</v>
      </c>
      <c r="BY40" s="57">
        <v>846.3</v>
      </c>
      <c r="BZ40" s="56">
        <v>324</v>
      </c>
      <c r="CA40" s="57">
        <v>226.79999999999998</v>
      </c>
      <c r="CB40" s="56">
        <v>772</v>
      </c>
      <c r="CC40" s="57">
        <v>540.4</v>
      </c>
      <c r="CD40" s="56">
        <v>948</v>
      </c>
      <c r="CE40" s="57">
        <v>663.59999999999991</v>
      </c>
      <c r="CF40" s="56">
        <v>12</v>
      </c>
      <c r="CG40" s="57">
        <v>8.3999999999999986</v>
      </c>
      <c r="CH40" s="58">
        <v>894.25</v>
      </c>
      <c r="CI40" s="59">
        <v>625.97499999999991</v>
      </c>
      <c r="CJ40" s="94">
        <v>894</v>
      </c>
      <c r="CK40" s="57">
        <v>625.79999999999995</v>
      </c>
      <c r="CL40" s="118">
        <v>121</v>
      </c>
      <c r="CM40" s="57">
        <v>84.699999999999989</v>
      </c>
      <c r="CN40" s="61">
        <v>141</v>
      </c>
      <c r="CO40" s="95">
        <v>98.699999999999989</v>
      </c>
      <c r="CP40" s="61">
        <v>234</v>
      </c>
      <c r="CQ40" s="95">
        <v>163.79999999999998</v>
      </c>
      <c r="CR40" s="61">
        <v>51</v>
      </c>
      <c r="CS40" s="95">
        <v>35.699999999999996</v>
      </c>
      <c r="CT40" s="61">
        <v>540</v>
      </c>
      <c r="CU40" s="95">
        <v>378</v>
      </c>
      <c r="CV40" s="61"/>
      <c r="CW40" s="95">
        <v>0</v>
      </c>
      <c r="CX40" s="61"/>
      <c r="CY40" s="95">
        <v>0</v>
      </c>
      <c r="CZ40" s="61"/>
      <c r="DA40" s="95">
        <v>0</v>
      </c>
      <c r="DB40" s="61"/>
      <c r="DC40" s="95">
        <v>0</v>
      </c>
      <c r="DD40" s="61"/>
      <c r="DE40" s="95">
        <v>0</v>
      </c>
      <c r="DF40" s="61"/>
      <c r="DG40" s="95">
        <v>0</v>
      </c>
      <c r="DH40" s="61"/>
      <c r="DI40" s="95">
        <v>0</v>
      </c>
      <c r="DJ40" s="95">
        <v>0.1110464477235243</v>
      </c>
      <c r="DK40" s="95"/>
      <c r="DL40" s="63">
        <v>1087</v>
      </c>
      <c r="DM40" s="62">
        <v>760.89999999999986</v>
      </c>
      <c r="DN40" s="96">
        <v>217.4</v>
      </c>
      <c r="DO40" s="96">
        <v>152.17999999999998</v>
      </c>
      <c r="DP40" s="97">
        <v>2.5794935745930388E-2</v>
      </c>
      <c r="DQ40" s="98">
        <v>-8.5251511977593911E-2</v>
      </c>
      <c r="DR40" s="99">
        <v>-77.697989331144854</v>
      </c>
      <c r="DS40" s="99">
        <v>-75.689124965054518</v>
      </c>
      <c r="DT40" s="100">
        <v>-473.79499999999996</v>
      </c>
      <c r="DU40" s="100">
        <v>-530.18000000000006</v>
      </c>
      <c r="DV40" s="100">
        <v>-33.842499999999994</v>
      </c>
      <c r="DW40" s="100">
        <v>-37.870000000000005</v>
      </c>
      <c r="DX40" s="100">
        <v>-189.35000000000002</v>
      </c>
    </row>
    <row r="41" spans="1:128" ht="20.399999999999999" thickBot="1">
      <c r="A41" s="73">
        <v>92</v>
      </c>
      <c r="B41" s="74" t="s">
        <v>39</v>
      </c>
      <c r="C41" s="74" t="s">
        <v>14</v>
      </c>
      <c r="D41" s="73">
        <v>27</v>
      </c>
      <c r="E41" s="73">
        <v>0.35</v>
      </c>
      <c r="F41" s="73" t="s">
        <v>18</v>
      </c>
      <c r="G41" s="73">
        <v>2100</v>
      </c>
      <c r="H41" s="75"/>
      <c r="I41" s="76">
        <v>0</v>
      </c>
      <c r="J41" s="75"/>
      <c r="K41" s="76">
        <v>0</v>
      </c>
      <c r="L41" s="75"/>
      <c r="M41" s="76">
        <v>0</v>
      </c>
      <c r="N41" s="75"/>
      <c r="O41" s="76">
        <v>0</v>
      </c>
      <c r="P41" s="75"/>
      <c r="Q41" s="76">
        <v>0</v>
      </c>
      <c r="R41" s="75"/>
      <c r="S41" s="76">
        <v>0</v>
      </c>
      <c r="T41" s="75"/>
      <c r="U41" s="76">
        <v>0</v>
      </c>
      <c r="V41" s="75">
        <v>372</v>
      </c>
      <c r="W41" s="76">
        <v>130.19999999999999</v>
      </c>
      <c r="X41" s="75"/>
      <c r="Y41" s="76">
        <v>0</v>
      </c>
      <c r="Z41" s="75">
        <v>1379</v>
      </c>
      <c r="AA41" s="76">
        <v>482.65</v>
      </c>
      <c r="AB41" s="75">
        <v>476</v>
      </c>
      <c r="AC41" s="76">
        <v>166.6</v>
      </c>
      <c r="AD41" s="75">
        <v>427</v>
      </c>
      <c r="AE41" s="76">
        <v>149.44999999999999</v>
      </c>
      <c r="AF41" s="77">
        <v>221.16666666666666</v>
      </c>
      <c r="AG41" s="78">
        <v>77.408333333333331</v>
      </c>
      <c r="AH41" s="75">
        <v>339</v>
      </c>
      <c r="AI41" s="76">
        <v>118.64999999999999</v>
      </c>
      <c r="AJ41" s="75">
        <v>98</v>
      </c>
      <c r="AK41" s="76">
        <v>34.299999999999997</v>
      </c>
      <c r="AL41" s="75">
        <v>185</v>
      </c>
      <c r="AM41" s="76">
        <v>64.75</v>
      </c>
      <c r="AN41" s="75">
        <v>65</v>
      </c>
      <c r="AO41" s="76">
        <v>22.75</v>
      </c>
      <c r="AP41" s="75">
        <v>67</v>
      </c>
      <c r="AQ41" s="76">
        <v>23.45</v>
      </c>
      <c r="AR41" s="75">
        <v>34</v>
      </c>
      <c r="AS41" s="76">
        <v>11.899999999999999</v>
      </c>
      <c r="AT41" s="75">
        <v>39</v>
      </c>
      <c r="AU41" s="76">
        <v>13.649999999999999</v>
      </c>
      <c r="AV41" s="75">
        <v>30</v>
      </c>
      <c r="AW41" s="76">
        <v>10.5</v>
      </c>
      <c r="AX41" s="75">
        <v>195</v>
      </c>
      <c r="AY41" s="76">
        <v>68.25</v>
      </c>
      <c r="AZ41" s="75">
        <v>30</v>
      </c>
      <c r="BA41" s="76">
        <v>10.5</v>
      </c>
      <c r="BB41" s="75">
        <v>60</v>
      </c>
      <c r="BC41" s="76">
        <v>21</v>
      </c>
      <c r="BD41" s="75">
        <v>342</v>
      </c>
      <c r="BE41" s="76">
        <v>119.69999999999999</v>
      </c>
      <c r="BF41" s="77">
        <v>123.66666666666667</v>
      </c>
      <c r="BG41" s="78">
        <v>43.283333333333331</v>
      </c>
      <c r="BH41" s="75">
        <v>24</v>
      </c>
      <c r="BI41" s="76">
        <v>8.3999999999999986</v>
      </c>
      <c r="BJ41" s="75">
        <v>234</v>
      </c>
      <c r="BK41" s="76">
        <v>81.899999999999991</v>
      </c>
      <c r="BL41" s="75">
        <v>474</v>
      </c>
      <c r="BM41" s="76">
        <v>165.89999999999998</v>
      </c>
      <c r="BN41" s="75">
        <v>412</v>
      </c>
      <c r="BO41" s="76">
        <v>144.19999999999999</v>
      </c>
      <c r="BP41" s="75">
        <v>510</v>
      </c>
      <c r="BQ41" s="76">
        <v>178.5</v>
      </c>
      <c r="BR41" s="79">
        <v>330.8</v>
      </c>
      <c r="BS41" s="76">
        <v>115.77999999999997</v>
      </c>
      <c r="BT41" s="75">
        <v>399</v>
      </c>
      <c r="BU41" s="76">
        <v>139.64999999999998</v>
      </c>
      <c r="BV41" s="75">
        <v>1270</v>
      </c>
      <c r="BW41" s="76">
        <v>444.5</v>
      </c>
      <c r="BX41" s="75">
        <v>966</v>
      </c>
      <c r="BY41" s="76">
        <v>338.09999999999997</v>
      </c>
      <c r="BZ41" s="75">
        <v>330</v>
      </c>
      <c r="CA41" s="76">
        <v>115.49999999999999</v>
      </c>
      <c r="CB41" s="75">
        <v>899</v>
      </c>
      <c r="CC41" s="76">
        <v>314.64999999999998</v>
      </c>
      <c r="CD41" s="75">
        <v>810</v>
      </c>
      <c r="CE41" s="76">
        <v>283.5</v>
      </c>
      <c r="CF41" s="75">
        <v>12</v>
      </c>
      <c r="CG41" s="76">
        <v>4.1999999999999993</v>
      </c>
      <c r="CH41" s="77">
        <v>528.33333333333337</v>
      </c>
      <c r="CI41" s="78">
        <v>184.91666666666666</v>
      </c>
      <c r="CJ41" s="80">
        <v>528</v>
      </c>
      <c r="CK41" s="76">
        <v>184.79999999999998</v>
      </c>
      <c r="CL41" s="91">
        <v>26</v>
      </c>
      <c r="CM41" s="76">
        <v>9.1</v>
      </c>
      <c r="CN41" s="82">
        <v>90</v>
      </c>
      <c r="CO41" s="83">
        <v>31.499999999999996</v>
      </c>
      <c r="CP41" s="82">
        <v>264</v>
      </c>
      <c r="CQ41" s="83">
        <v>92.399999999999991</v>
      </c>
      <c r="CR41" s="82">
        <v>481</v>
      </c>
      <c r="CS41" s="83">
        <v>168.35</v>
      </c>
      <c r="CT41" s="82">
        <v>331</v>
      </c>
      <c r="CU41" s="83">
        <v>115.85</v>
      </c>
      <c r="CV41" s="82"/>
      <c r="CW41" s="83">
        <v>0</v>
      </c>
      <c r="CX41" s="82"/>
      <c r="CY41" s="83">
        <v>0</v>
      </c>
      <c r="CZ41" s="82"/>
      <c r="DA41" s="83">
        <v>0</v>
      </c>
      <c r="DB41" s="82"/>
      <c r="DC41" s="83">
        <v>0</v>
      </c>
      <c r="DD41" s="82"/>
      <c r="DE41" s="83">
        <v>0</v>
      </c>
      <c r="DF41" s="82"/>
      <c r="DG41" s="83">
        <v>0</v>
      </c>
      <c r="DH41" s="82"/>
      <c r="DI41" s="83">
        <v>0</v>
      </c>
      <c r="DJ41" s="83">
        <v>3.2803768454344615E-2</v>
      </c>
      <c r="DK41" s="83">
        <v>0.14000000000000001</v>
      </c>
      <c r="DL41" s="84">
        <v>1192</v>
      </c>
      <c r="DM41" s="85">
        <v>417.20000000000005</v>
      </c>
      <c r="DN41" s="86">
        <v>238.4</v>
      </c>
      <c r="DO41" s="86">
        <v>83.440000000000012</v>
      </c>
      <c r="DP41" s="87">
        <v>1.4143313435671129E-2</v>
      </c>
      <c r="DQ41" s="88">
        <v>-1.8660455018673486E-2</v>
      </c>
      <c r="DR41" s="89">
        <v>-27.93228536880288</v>
      </c>
      <c r="DS41" s="89">
        <v>-54.876971608832797</v>
      </c>
      <c r="DT41" s="90">
        <v>-101.47666666666665</v>
      </c>
      <c r="DU41" s="90">
        <v>-32.339999999999961</v>
      </c>
      <c r="DV41" s="90">
        <v>-7.2483333333333322</v>
      </c>
      <c r="DW41" s="90">
        <v>-2.3099999999999974</v>
      </c>
      <c r="DX41" s="90">
        <v>-11.549999999999986</v>
      </c>
    </row>
    <row r="42" spans="1:128" s="125" customFormat="1" ht="20.399999999999999" thickBot="1">
      <c r="A42" s="119"/>
      <c r="B42" s="120"/>
      <c r="C42" s="120"/>
      <c r="D42" s="121"/>
      <c r="E42" s="121"/>
      <c r="F42" s="121"/>
      <c r="G42" s="121"/>
      <c r="H42" s="122"/>
      <c r="I42" s="123"/>
      <c r="J42" s="122"/>
      <c r="K42" s="123"/>
      <c r="L42" s="122"/>
      <c r="M42" s="123"/>
      <c r="N42" s="122"/>
      <c r="O42" s="123"/>
      <c r="P42" s="122"/>
      <c r="Q42" s="123"/>
      <c r="R42" s="122"/>
      <c r="S42" s="123"/>
      <c r="T42" s="122"/>
      <c r="U42" s="123"/>
      <c r="V42" s="122"/>
      <c r="W42" s="123"/>
      <c r="X42" s="122"/>
      <c r="Y42" s="123"/>
      <c r="Z42" s="122"/>
      <c r="AA42" s="123"/>
      <c r="AB42" s="122"/>
      <c r="AC42" s="123"/>
      <c r="AD42" s="122"/>
      <c r="AE42" s="123"/>
      <c r="AF42" s="122"/>
      <c r="AG42" s="123"/>
      <c r="AH42" s="122"/>
      <c r="AI42" s="123"/>
      <c r="AJ42" s="122"/>
      <c r="AK42" s="123"/>
      <c r="AL42" s="122"/>
      <c r="AM42" s="123"/>
      <c r="AN42" s="122"/>
      <c r="AO42" s="123"/>
      <c r="AP42" s="122"/>
      <c r="AQ42" s="123"/>
      <c r="AR42" s="122"/>
      <c r="AS42" s="123"/>
      <c r="AT42" s="122"/>
      <c r="AU42" s="123"/>
      <c r="AV42" s="122"/>
      <c r="AW42" s="123"/>
      <c r="AX42" s="122"/>
      <c r="AY42" s="123"/>
      <c r="AZ42" s="122"/>
      <c r="BA42" s="123"/>
      <c r="BB42" s="122"/>
      <c r="BC42" s="123"/>
      <c r="BD42" s="122"/>
      <c r="BE42" s="123"/>
      <c r="BF42" s="122"/>
      <c r="BG42" s="123"/>
      <c r="BH42" s="122"/>
      <c r="BI42" s="123"/>
      <c r="BJ42" s="122"/>
      <c r="BK42" s="123"/>
      <c r="BL42" s="122"/>
      <c r="BM42" s="123"/>
      <c r="BN42" s="122"/>
      <c r="BO42" s="123"/>
      <c r="BP42" s="122"/>
      <c r="BQ42" s="123"/>
      <c r="BR42" s="124">
        <f>BR40+BR41</f>
        <v>1305.5999999999999</v>
      </c>
      <c r="BS42" s="124">
        <f t="shared" ref="BS42:DX42" si="12">BS40+BS41</f>
        <v>798.14</v>
      </c>
      <c r="BT42" s="124">
        <f t="shared" si="12"/>
        <v>847</v>
      </c>
      <c r="BU42" s="124">
        <f t="shared" si="12"/>
        <v>453.24999999999994</v>
      </c>
      <c r="BV42" s="124">
        <f t="shared" si="12"/>
        <v>3414</v>
      </c>
      <c r="BW42" s="124">
        <f t="shared" si="12"/>
        <v>1945.3</v>
      </c>
      <c r="BX42" s="124">
        <f t="shared" si="12"/>
        <v>2175</v>
      </c>
      <c r="BY42" s="124">
        <f t="shared" si="12"/>
        <v>1184.3999999999999</v>
      </c>
      <c r="BZ42" s="124">
        <f t="shared" si="12"/>
        <v>654</v>
      </c>
      <c r="CA42" s="124">
        <f t="shared" si="12"/>
        <v>342.29999999999995</v>
      </c>
      <c r="CB42" s="124">
        <f t="shared" si="12"/>
        <v>1671</v>
      </c>
      <c r="CC42" s="124">
        <f t="shared" si="12"/>
        <v>855.05</v>
      </c>
      <c r="CD42" s="124">
        <f t="shared" si="12"/>
        <v>1758</v>
      </c>
      <c r="CE42" s="124">
        <f t="shared" si="12"/>
        <v>947.09999999999991</v>
      </c>
      <c r="CF42" s="124">
        <f t="shared" si="12"/>
        <v>24</v>
      </c>
      <c r="CG42" s="124">
        <f t="shared" si="12"/>
        <v>12.599999999999998</v>
      </c>
      <c r="CH42" s="124">
        <f t="shared" si="12"/>
        <v>1422.5833333333335</v>
      </c>
      <c r="CI42" s="124">
        <f t="shared" si="12"/>
        <v>810.89166666666654</v>
      </c>
      <c r="CJ42" s="124">
        <f t="shared" si="12"/>
        <v>1422</v>
      </c>
      <c r="CK42" s="124">
        <f t="shared" si="12"/>
        <v>810.59999999999991</v>
      </c>
      <c r="CL42" s="124">
        <f t="shared" si="12"/>
        <v>147</v>
      </c>
      <c r="CM42" s="124">
        <f t="shared" si="12"/>
        <v>93.799999999999983</v>
      </c>
      <c r="CN42" s="124">
        <f t="shared" si="12"/>
        <v>231</v>
      </c>
      <c r="CO42" s="124">
        <f t="shared" si="12"/>
        <v>130.19999999999999</v>
      </c>
      <c r="CP42" s="124">
        <f t="shared" si="12"/>
        <v>498</v>
      </c>
      <c r="CQ42" s="124">
        <f t="shared" si="12"/>
        <v>256.2</v>
      </c>
      <c r="CR42" s="124">
        <f t="shared" si="12"/>
        <v>532</v>
      </c>
      <c r="CS42" s="124">
        <f t="shared" si="12"/>
        <v>204.04999999999998</v>
      </c>
      <c r="CT42" s="124">
        <f t="shared" si="12"/>
        <v>871</v>
      </c>
      <c r="CU42" s="124">
        <f t="shared" si="12"/>
        <v>493.85</v>
      </c>
      <c r="CV42" s="124">
        <f t="shared" si="12"/>
        <v>0</v>
      </c>
      <c r="CW42" s="124">
        <f t="shared" si="12"/>
        <v>0</v>
      </c>
      <c r="CX42" s="124">
        <f t="shared" si="12"/>
        <v>0</v>
      </c>
      <c r="CY42" s="124">
        <f t="shared" si="12"/>
        <v>0</v>
      </c>
      <c r="CZ42" s="124">
        <f t="shared" si="12"/>
        <v>0</v>
      </c>
      <c r="DA42" s="124">
        <f t="shared" si="12"/>
        <v>0</v>
      </c>
      <c r="DB42" s="124">
        <f t="shared" si="12"/>
        <v>0</v>
      </c>
      <c r="DC42" s="124">
        <f t="shared" si="12"/>
        <v>0</v>
      </c>
      <c r="DD42" s="124">
        <f t="shared" si="12"/>
        <v>0</v>
      </c>
      <c r="DE42" s="124">
        <f t="shared" si="12"/>
        <v>0</v>
      </c>
      <c r="DF42" s="124">
        <f t="shared" si="12"/>
        <v>0</v>
      </c>
      <c r="DG42" s="124">
        <f t="shared" si="12"/>
        <v>0</v>
      </c>
      <c r="DH42" s="124">
        <f t="shared" si="12"/>
        <v>0</v>
      </c>
      <c r="DI42" s="124">
        <f t="shared" si="12"/>
        <v>0</v>
      </c>
      <c r="DJ42" s="214">
        <f t="shared" si="12"/>
        <v>0.14385021617786892</v>
      </c>
      <c r="DK42" s="214">
        <f t="shared" si="12"/>
        <v>0.14000000000000001</v>
      </c>
      <c r="DL42" s="124">
        <f t="shared" si="12"/>
        <v>2279</v>
      </c>
      <c r="DM42" s="124">
        <f t="shared" si="12"/>
        <v>1178.0999999999999</v>
      </c>
      <c r="DN42" s="124">
        <f t="shared" si="12"/>
        <v>455.8</v>
      </c>
      <c r="DO42" s="124">
        <f t="shared" si="12"/>
        <v>235.62</v>
      </c>
      <c r="DP42" s="214">
        <f t="shared" si="12"/>
        <v>3.9938249181601521E-2</v>
      </c>
      <c r="DQ42" s="214">
        <f t="shared" si="12"/>
        <v>-0.1039119669962674</v>
      </c>
      <c r="DR42" s="124">
        <f t="shared" si="12"/>
        <v>-105.63027469994773</v>
      </c>
      <c r="DS42" s="124">
        <f t="shared" si="12"/>
        <v>-130.56609657388731</v>
      </c>
      <c r="DT42" s="124">
        <f t="shared" si="12"/>
        <v>-575.27166666666665</v>
      </c>
      <c r="DU42" s="124">
        <f t="shared" si="12"/>
        <v>-562.52</v>
      </c>
      <c r="DV42" s="124">
        <f t="shared" si="12"/>
        <v>-41.090833333333329</v>
      </c>
      <c r="DW42" s="124">
        <f t="shared" si="12"/>
        <v>-40.18</v>
      </c>
      <c r="DX42" s="215">
        <f t="shared" si="12"/>
        <v>-200.9</v>
      </c>
    </row>
    <row r="43" spans="1:128" ht="20.399999999999999" thickBot="1">
      <c r="A43" s="101">
        <v>98</v>
      </c>
      <c r="B43" s="102" t="s">
        <v>41</v>
      </c>
      <c r="C43" s="102" t="s">
        <v>14</v>
      </c>
      <c r="D43" s="101">
        <v>1</v>
      </c>
      <c r="E43" s="101">
        <v>0.64</v>
      </c>
      <c r="F43" s="101" t="s">
        <v>18</v>
      </c>
      <c r="G43" s="101">
        <v>1230</v>
      </c>
      <c r="H43" s="103">
        <v>201961</v>
      </c>
      <c r="I43" s="104">
        <v>129255.04000000001</v>
      </c>
      <c r="J43" s="103">
        <v>171588</v>
      </c>
      <c r="K43" s="104">
        <v>109816.32000000001</v>
      </c>
      <c r="L43" s="103">
        <v>193632</v>
      </c>
      <c r="M43" s="104">
        <v>123924.48</v>
      </c>
      <c r="N43" s="103">
        <v>167880</v>
      </c>
      <c r="O43" s="104">
        <v>107443.2</v>
      </c>
      <c r="P43" s="103">
        <v>178684</v>
      </c>
      <c r="Q43" s="104">
        <v>114357.76000000001</v>
      </c>
      <c r="R43" s="103">
        <v>175704</v>
      </c>
      <c r="S43" s="104">
        <v>112450.56</v>
      </c>
      <c r="T43" s="103">
        <v>171550</v>
      </c>
      <c r="U43" s="104">
        <v>109792</v>
      </c>
      <c r="V43" s="103">
        <v>188352</v>
      </c>
      <c r="W43" s="104">
        <v>120545.28</v>
      </c>
      <c r="X43" s="103">
        <v>185043</v>
      </c>
      <c r="Y43" s="104">
        <v>118427.52</v>
      </c>
      <c r="Z43" s="103">
        <v>197568</v>
      </c>
      <c r="AA43" s="104">
        <v>126443.52</v>
      </c>
      <c r="AB43" s="103">
        <v>212496</v>
      </c>
      <c r="AC43" s="104">
        <v>135997.44</v>
      </c>
      <c r="AD43" s="103">
        <v>210283</v>
      </c>
      <c r="AE43" s="104">
        <v>134581.12</v>
      </c>
      <c r="AF43" s="105">
        <v>187895.08333333334</v>
      </c>
      <c r="AG43" s="106">
        <v>120252.85333333335</v>
      </c>
      <c r="AH43" s="103">
        <v>186336</v>
      </c>
      <c r="AI43" s="104">
        <v>119255.04000000001</v>
      </c>
      <c r="AJ43" s="103">
        <v>172130</v>
      </c>
      <c r="AK43" s="104">
        <v>110163.2</v>
      </c>
      <c r="AL43" s="103">
        <v>170904</v>
      </c>
      <c r="AM43" s="104">
        <v>109378.56</v>
      </c>
      <c r="AN43" s="103">
        <v>168240</v>
      </c>
      <c r="AO43" s="104">
        <v>107673.60000000001</v>
      </c>
      <c r="AP43" s="103">
        <v>135120</v>
      </c>
      <c r="AQ43" s="104">
        <v>86476.800000000003</v>
      </c>
      <c r="AR43" s="103">
        <v>178344</v>
      </c>
      <c r="AS43" s="104">
        <v>114140.16</v>
      </c>
      <c r="AT43" s="103">
        <v>180288</v>
      </c>
      <c r="AU43" s="104">
        <v>115384.32000000001</v>
      </c>
      <c r="AV43" s="103">
        <v>190538</v>
      </c>
      <c r="AW43" s="104">
        <v>121944.32000000001</v>
      </c>
      <c r="AX43" s="103">
        <v>179088</v>
      </c>
      <c r="AY43" s="104">
        <v>114616.32000000001</v>
      </c>
      <c r="AZ43" s="103">
        <v>213576</v>
      </c>
      <c r="BA43" s="104">
        <v>136688.64000000001</v>
      </c>
      <c r="BB43" s="103">
        <v>201456</v>
      </c>
      <c r="BC43" s="104">
        <v>128931.84</v>
      </c>
      <c r="BD43" s="103">
        <v>221976</v>
      </c>
      <c r="BE43" s="104">
        <v>142064.64000000001</v>
      </c>
      <c r="BF43" s="105">
        <v>183166.33333333334</v>
      </c>
      <c r="BG43" s="106">
        <v>117226.45333333334</v>
      </c>
      <c r="BH43" s="103">
        <v>205104</v>
      </c>
      <c r="BI43" s="104">
        <v>131266.56</v>
      </c>
      <c r="BJ43" s="103">
        <v>188737</v>
      </c>
      <c r="BK43" s="104">
        <v>120791.68000000001</v>
      </c>
      <c r="BL43" s="103">
        <v>178271</v>
      </c>
      <c r="BM43" s="104">
        <v>114093.44</v>
      </c>
      <c r="BN43" s="103">
        <v>172056</v>
      </c>
      <c r="BO43" s="104">
        <v>110115.84</v>
      </c>
      <c r="BP43" s="103">
        <v>191772</v>
      </c>
      <c r="BQ43" s="104">
        <v>122734.08</v>
      </c>
      <c r="BR43" s="107">
        <v>187188</v>
      </c>
      <c r="BS43" s="104">
        <v>119800.31999999999</v>
      </c>
      <c r="BT43" s="103">
        <v>175896</v>
      </c>
      <c r="BU43" s="104">
        <v>112573.44</v>
      </c>
      <c r="BV43" s="103">
        <v>189492</v>
      </c>
      <c r="BW43" s="104">
        <v>121274.88</v>
      </c>
      <c r="BX43" s="103">
        <v>192528</v>
      </c>
      <c r="BY43" s="104">
        <v>123217.92</v>
      </c>
      <c r="BZ43" s="103">
        <v>203688</v>
      </c>
      <c r="CA43" s="104">
        <v>130360.32000000001</v>
      </c>
      <c r="CB43" s="103">
        <v>209141</v>
      </c>
      <c r="CC43" s="104">
        <v>133850.23999999999</v>
      </c>
      <c r="CD43" s="103">
        <v>227352</v>
      </c>
      <c r="CE43" s="104">
        <v>145505.28</v>
      </c>
      <c r="CF43" s="103">
        <v>225907</v>
      </c>
      <c r="CG43" s="104">
        <v>144580.48000000001</v>
      </c>
      <c r="CH43" s="105">
        <v>196662</v>
      </c>
      <c r="CI43" s="106">
        <v>125863.68000000001</v>
      </c>
      <c r="CJ43" s="108">
        <v>196662</v>
      </c>
      <c r="CK43" s="104">
        <v>125863.68000000001</v>
      </c>
      <c r="CL43" s="109">
        <v>209448</v>
      </c>
      <c r="CM43" s="104">
        <v>134046.72</v>
      </c>
      <c r="CN43" s="109">
        <v>178916</v>
      </c>
      <c r="CO43" s="110">
        <v>114506.24000000001</v>
      </c>
      <c r="CP43" s="109">
        <v>223786</v>
      </c>
      <c r="CQ43" s="110">
        <v>143223.04000000001</v>
      </c>
      <c r="CR43" s="109">
        <v>178440</v>
      </c>
      <c r="CS43" s="110">
        <v>114201.60000000001</v>
      </c>
      <c r="CT43" s="109">
        <v>177984</v>
      </c>
      <c r="CU43" s="110">
        <v>113909.76000000001</v>
      </c>
      <c r="CV43" s="109"/>
      <c r="CW43" s="110">
        <v>0</v>
      </c>
      <c r="CX43" s="109"/>
      <c r="CY43" s="110">
        <v>0</v>
      </c>
      <c r="CZ43" s="109"/>
      <c r="DA43" s="110">
        <v>0</v>
      </c>
      <c r="DB43" s="109"/>
      <c r="DC43" s="110">
        <v>0</v>
      </c>
      <c r="DD43" s="109"/>
      <c r="DE43" s="110">
        <v>0</v>
      </c>
      <c r="DF43" s="109"/>
      <c r="DG43" s="110">
        <v>0</v>
      </c>
      <c r="DH43" s="109"/>
      <c r="DI43" s="110">
        <v>0</v>
      </c>
      <c r="DJ43" s="110">
        <v>22.327911755917402</v>
      </c>
      <c r="DK43" s="110">
        <v>22.33</v>
      </c>
      <c r="DL43" s="111">
        <v>968574</v>
      </c>
      <c r="DM43" s="112">
        <v>619887.35999999999</v>
      </c>
      <c r="DN43" s="113">
        <v>193714.8</v>
      </c>
      <c r="DO43" s="113">
        <v>123977.47199999999</v>
      </c>
      <c r="DP43" s="114">
        <v>21.0145283492107</v>
      </c>
      <c r="DQ43" s="115">
        <v>-1.3133834067067021</v>
      </c>
      <c r="DR43" s="116">
        <v>3.4867619719212826</v>
      </c>
      <c r="DS43" s="116">
        <v>-1.4986118314672012</v>
      </c>
      <c r="DT43" s="117">
        <v>-1886.2080000000133</v>
      </c>
      <c r="DU43" s="117">
        <v>4177.1520000000019</v>
      </c>
      <c r="DV43" s="117">
        <v>-134.72914285714381</v>
      </c>
      <c r="DW43" s="117">
        <v>298.36800000000011</v>
      </c>
      <c r="DX43" s="117">
        <v>1491.8400000000006</v>
      </c>
    </row>
    <row r="44" spans="1:128" s="125" customFormat="1" ht="20.399999999999999" thickBot="1">
      <c r="A44" s="119"/>
      <c r="B44" s="120"/>
      <c r="C44" s="120"/>
      <c r="D44" s="121"/>
      <c r="E44" s="121"/>
      <c r="F44" s="121"/>
      <c r="G44" s="121"/>
      <c r="H44" s="122"/>
      <c r="I44" s="123"/>
      <c r="J44" s="122"/>
      <c r="K44" s="123"/>
      <c r="L44" s="122"/>
      <c r="M44" s="123"/>
      <c r="N44" s="122"/>
      <c r="O44" s="123"/>
      <c r="P44" s="122"/>
      <c r="Q44" s="123"/>
      <c r="R44" s="122"/>
      <c r="S44" s="123"/>
      <c r="T44" s="122"/>
      <c r="U44" s="123"/>
      <c r="V44" s="122"/>
      <c r="W44" s="123"/>
      <c r="X44" s="122"/>
      <c r="Y44" s="123"/>
      <c r="Z44" s="122"/>
      <c r="AA44" s="123"/>
      <c r="AB44" s="122"/>
      <c r="AC44" s="123"/>
      <c r="AD44" s="122"/>
      <c r="AE44" s="123"/>
      <c r="AF44" s="122"/>
      <c r="AG44" s="123"/>
      <c r="AH44" s="122"/>
      <c r="AI44" s="123"/>
      <c r="AJ44" s="122"/>
      <c r="AK44" s="123"/>
      <c r="AL44" s="122"/>
      <c r="AM44" s="123"/>
      <c r="AN44" s="122"/>
      <c r="AO44" s="123"/>
      <c r="AP44" s="122"/>
      <c r="AQ44" s="123"/>
      <c r="AR44" s="122"/>
      <c r="AS44" s="123"/>
      <c r="AT44" s="122"/>
      <c r="AU44" s="123"/>
      <c r="AV44" s="122"/>
      <c r="AW44" s="123"/>
      <c r="AX44" s="122"/>
      <c r="AY44" s="123"/>
      <c r="AZ44" s="122"/>
      <c r="BA44" s="123"/>
      <c r="BB44" s="122"/>
      <c r="BC44" s="123"/>
      <c r="BD44" s="122"/>
      <c r="BE44" s="123"/>
      <c r="BF44" s="122"/>
      <c r="BG44" s="123"/>
      <c r="BH44" s="122"/>
      <c r="BI44" s="123"/>
      <c r="BJ44" s="122"/>
      <c r="BK44" s="123"/>
      <c r="BL44" s="122"/>
      <c r="BM44" s="123"/>
      <c r="BN44" s="122"/>
      <c r="BO44" s="123"/>
      <c r="BP44" s="122"/>
      <c r="BQ44" s="123"/>
      <c r="BR44" s="124">
        <f>BR43</f>
        <v>187188</v>
      </c>
      <c r="BS44" s="124">
        <f t="shared" ref="BS44:DX44" si="13">BS43</f>
        <v>119800.31999999999</v>
      </c>
      <c r="BT44" s="124">
        <f t="shared" si="13"/>
        <v>175896</v>
      </c>
      <c r="BU44" s="124">
        <f t="shared" si="13"/>
        <v>112573.44</v>
      </c>
      <c r="BV44" s="124">
        <f t="shared" si="13"/>
        <v>189492</v>
      </c>
      <c r="BW44" s="124">
        <f t="shared" si="13"/>
        <v>121274.88</v>
      </c>
      <c r="BX44" s="124">
        <f t="shared" si="13"/>
        <v>192528</v>
      </c>
      <c r="BY44" s="124">
        <f t="shared" si="13"/>
        <v>123217.92</v>
      </c>
      <c r="BZ44" s="124">
        <f t="shared" si="13"/>
        <v>203688</v>
      </c>
      <c r="CA44" s="124">
        <f t="shared" si="13"/>
        <v>130360.32000000001</v>
      </c>
      <c r="CB44" s="124">
        <f t="shared" si="13"/>
        <v>209141</v>
      </c>
      <c r="CC44" s="124">
        <f t="shared" si="13"/>
        <v>133850.23999999999</v>
      </c>
      <c r="CD44" s="124">
        <f t="shared" si="13"/>
        <v>227352</v>
      </c>
      <c r="CE44" s="124">
        <f t="shared" si="13"/>
        <v>145505.28</v>
      </c>
      <c r="CF44" s="124">
        <f t="shared" si="13"/>
        <v>225907</v>
      </c>
      <c r="CG44" s="124">
        <f t="shared" si="13"/>
        <v>144580.48000000001</v>
      </c>
      <c r="CH44" s="124">
        <f t="shared" si="13"/>
        <v>196662</v>
      </c>
      <c r="CI44" s="124">
        <f t="shared" si="13"/>
        <v>125863.68000000001</v>
      </c>
      <c r="CJ44" s="124">
        <f t="shared" si="13"/>
        <v>196662</v>
      </c>
      <c r="CK44" s="124">
        <f t="shared" si="13"/>
        <v>125863.68000000001</v>
      </c>
      <c r="CL44" s="124">
        <f t="shared" si="13"/>
        <v>209448</v>
      </c>
      <c r="CM44" s="124">
        <f t="shared" si="13"/>
        <v>134046.72</v>
      </c>
      <c r="CN44" s="124">
        <f t="shared" si="13"/>
        <v>178916</v>
      </c>
      <c r="CO44" s="124">
        <f t="shared" si="13"/>
        <v>114506.24000000001</v>
      </c>
      <c r="CP44" s="124">
        <f t="shared" si="13"/>
        <v>223786</v>
      </c>
      <c r="CQ44" s="124">
        <f t="shared" si="13"/>
        <v>143223.04000000001</v>
      </c>
      <c r="CR44" s="124">
        <f t="shared" si="13"/>
        <v>178440</v>
      </c>
      <c r="CS44" s="124">
        <f t="shared" si="13"/>
        <v>114201.60000000001</v>
      </c>
      <c r="CT44" s="124">
        <f t="shared" si="13"/>
        <v>177984</v>
      </c>
      <c r="CU44" s="124">
        <f t="shared" si="13"/>
        <v>113909.76000000001</v>
      </c>
      <c r="CV44" s="124">
        <f t="shared" si="13"/>
        <v>0</v>
      </c>
      <c r="CW44" s="124">
        <f t="shared" si="13"/>
        <v>0</v>
      </c>
      <c r="CX44" s="124">
        <f t="shared" si="13"/>
        <v>0</v>
      </c>
      <c r="CY44" s="124">
        <f t="shared" si="13"/>
        <v>0</v>
      </c>
      <c r="CZ44" s="124">
        <f t="shared" si="13"/>
        <v>0</v>
      </c>
      <c r="DA44" s="124">
        <f t="shared" si="13"/>
        <v>0</v>
      </c>
      <c r="DB44" s="124">
        <f t="shared" si="13"/>
        <v>0</v>
      </c>
      <c r="DC44" s="124">
        <f t="shared" si="13"/>
        <v>0</v>
      </c>
      <c r="DD44" s="124">
        <f t="shared" si="13"/>
        <v>0</v>
      </c>
      <c r="DE44" s="124">
        <f t="shared" si="13"/>
        <v>0</v>
      </c>
      <c r="DF44" s="124">
        <f t="shared" si="13"/>
        <v>0</v>
      </c>
      <c r="DG44" s="124">
        <f t="shared" si="13"/>
        <v>0</v>
      </c>
      <c r="DH44" s="124">
        <f t="shared" si="13"/>
        <v>0</v>
      </c>
      <c r="DI44" s="124">
        <f t="shared" si="13"/>
        <v>0</v>
      </c>
      <c r="DJ44" s="214">
        <f t="shared" si="13"/>
        <v>22.327911755917402</v>
      </c>
      <c r="DK44" s="214">
        <f t="shared" si="13"/>
        <v>22.33</v>
      </c>
      <c r="DL44" s="124">
        <f t="shared" si="13"/>
        <v>968574</v>
      </c>
      <c r="DM44" s="124">
        <f t="shared" si="13"/>
        <v>619887.35999999999</v>
      </c>
      <c r="DN44" s="124">
        <f t="shared" si="13"/>
        <v>193714.8</v>
      </c>
      <c r="DO44" s="124">
        <f t="shared" si="13"/>
        <v>123977.47199999999</v>
      </c>
      <c r="DP44" s="214">
        <f t="shared" si="13"/>
        <v>21.0145283492107</v>
      </c>
      <c r="DQ44" s="214">
        <f t="shared" si="13"/>
        <v>-1.3133834067067021</v>
      </c>
      <c r="DR44" s="124">
        <f t="shared" si="13"/>
        <v>3.4867619719212826</v>
      </c>
      <c r="DS44" s="124">
        <f t="shared" si="13"/>
        <v>-1.4986118314672012</v>
      </c>
      <c r="DT44" s="124">
        <f t="shared" si="13"/>
        <v>-1886.2080000000133</v>
      </c>
      <c r="DU44" s="124">
        <f t="shared" si="13"/>
        <v>4177.1520000000019</v>
      </c>
      <c r="DV44" s="124">
        <f t="shared" si="13"/>
        <v>-134.72914285714381</v>
      </c>
      <c r="DW44" s="124">
        <f t="shared" si="13"/>
        <v>298.36800000000011</v>
      </c>
      <c r="DX44" s="215">
        <f t="shared" si="13"/>
        <v>1491.8400000000006</v>
      </c>
    </row>
    <row r="45" spans="1:128" ht="20.399999999999999" thickBot="1">
      <c r="A45" s="101">
        <v>99</v>
      </c>
      <c r="B45" s="102" t="s">
        <v>42</v>
      </c>
      <c r="C45" s="102" t="s">
        <v>14</v>
      </c>
      <c r="D45" s="101">
        <v>11</v>
      </c>
      <c r="E45" s="101">
        <v>0.64</v>
      </c>
      <c r="F45" s="101" t="s">
        <v>20</v>
      </c>
      <c r="G45" s="101">
        <v>1230</v>
      </c>
      <c r="H45" s="103">
        <v>20902</v>
      </c>
      <c r="I45" s="104">
        <v>13377.28</v>
      </c>
      <c r="J45" s="103">
        <v>17052</v>
      </c>
      <c r="K45" s="104">
        <v>10913.28</v>
      </c>
      <c r="L45" s="103">
        <v>20062</v>
      </c>
      <c r="M45" s="104">
        <v>12839.68</v>
      </c>
      <c r="N45" s="103">
        <v>15960</v>
      </c>
      <c r="O45" s="104">
        <v>10214.4</v>
      </c>
      <c r="P45" s="103">
        <v>20048</v>
      </c>
      <c r="Q45" s="104">
        <v>12830.720000000001</v>
      </c>
      <c r="R45" s="103">
        <v>16450</v>
      </c>
      <c r="S45" s="104">
        <v>10528</v>
      </c>
      <c r="T45" s="103">
        <v>17010</v>
      </c>
      <c r="U45" s="104">
        <v>10886.4</v>
      </c>
      <c r="V45" s="103">
        <v>15974</v>
      </c>
      <c r="W45" s="104">
        <v>10223.36</v>
      </c>
      <c r="X45" s="103">
        <v>13356</v>
      </c>
      <c r="Y45" s="104">
        <v>8547.84</v>
      </c>
      <c r="Z45" s="103">
        <v>19488</v>
      </c>
      <c r="AA45" s="104">
        <v>12472.32</v>
      </c>
      <c r="AB45" s="103">
        <v>11046</v>
      </c>
      <c r="AC45" s="104">
        <v>7069.4400000000005</v>
      </c>
      <c r="AD45" s="103">
        <v>23226</v>
      </c>
      <c r="AE45" s="104">
        <v>14864.64</v>
      </c>
      <c r="AF45" s="105">
        <v>17547.833333333332</v>
      </c>
      <c r="AG45" s="106">
        <v>11230.613333333333</v>
      </c>
      <c r="AH45" s="103">
        <v>15862</v>
      </c>
      <c r="AI45" s="104">
        <v>10151.68</v>
      </c>
      <c r="AJ45" s="103">
        <v>16128</v>
      </c>
      <c r="AK45" s="104">
        <v>10321.92</v>
      </c>
      <c r="AL45" s="103">
        <v>15082</v>
      </c>
      <c r="AM45" s="104">
        <v>9652.48</v>
      </c>
      <c r="AN45" s="103">
        <v>17766</v>
      </c>
      <c r="AO45" s="104">
        <v>11370.24</v>
      </c>
      <c r="AP45" s="103">
        <v>11270</v>
      </c>
      <c r="AQ45" s="104">
        <v>7212.8</v>
      </c>
      <c r="AR45" s="103">
        <v>17654</v>
      </c>
      <c r="AS45" s="104">
        <v>11298.56</v>
      </c>
      <c r="AT45" s="103">
        <v>16464</v>
      </c>
      <c r="AU45" s="104">
        <v>10536.960000000001</v>
      </c>
      <c r="AV45" s="103">
        <v>14602</v>
      </c>
      <c r="AW45" s="104">
        <v>9345.2800000000007</v>
      </c>
      <c r="AX45" s="103">
        <v>16268</v>
      </c>
      <c r="AY45" s="104">
        <v>10411.52</v>
      </c>
      <c r="AZ45" s="103">
        <v>14196</v>
      </c>
      <c r="BA45" s="104">
        <v>9085.44</v>
      </c>
      <c r="BB45" s="103">
        <v>11200</v>
      </c>
      <c r="BC45" s="104">
        <v>7168</v>
      </c>
      <c r="BD45" s="103">
        <v>25116</v>
      </c>
      <c r="BE45" s="104">
        <v>16074.24</v>
      </c>
      <c r="BF45" s="105">
        <v>15967.333333333334</v>
      </c>
      <c r="BG45" s="106">
        <v>10219.093333333334</v>
      </c>
      <c r="BH45" s="103">
        <v>18844</v>
      </c>
      <c r="BI45" s="104">
        <v>12060.16</v>
      </c>
      <c r="BJ45" s="103">
        <v>11788</v>
      </c>
      <c r="BK45" s="104">
        <v>7544.32</v>
      </c>
      <c r="BL45" s="103">
        <v>16646</v>
      </c>
      <c r="BM45" s="104">
        <v>10653.44</v>
      </c>
      <c r="BN45" s="103">
        <v>15669</v>
      </c>
      <c r="BO45" s="104">
        <v>10028.16</v>
      </c>
      <c r="BP45" s="103">
        <v>14661</v>
      </c>
      <c r="BQ45" s="104">
        <v>9383.0400000000009</v>
      </c>
      <c r="BR45" s="107">
        <v>15521.6</v>
      </c>
      <c r="BS45" s="104">
        <v>9933.8240000000005</v>
      </c>
      <c r="BT45" s="103">
        <v>16002</v>
      </c>
      <c r="BU45" s="104">
        <v>10241.280000000001</v>
      </c>
      <c r="BV45" s="103">
        <v>18228</v>
      </c>
      <c r="BW45" s="104">
        <v>11665.92</v>
      </c>
      <c r="BX45" s="103">
        <v>16450</v>
      </c>
      <c r="BY45" s="104">
        <v>10528</v>
      </c>
      <c r="BZ45" s="103">
        <v>15610</v>
      </c>
      <c r="CA45" s="104">
        <v>9990.4</v>
      </c>
      <c r="CB45" s="103">
        <v>16590</v>
      </c>
      <c r="CC45" s="104">
        <v>10617.6</v>
      </c>
      <c r="CD45" s="103">
        <v>17080</v>
      </c>
      <c r="CE45" s="104">
        <v>10931.2</v>
      </c>
      <c r="CF45" s="103">
        <v>20748</v>
      </c>
      <c r="CG45" s="104">
        <v>13278.720000000001</v>
      </c>
      <c r="CH45" s="105">
        <v>16526.333333333332</v>
      </c>
      <c r="CI45" s="106">
        <v>10576.853333333333</v>
      </c>
      <c r="CJ45" s="108">
        <v>16526</v>
      </c>
      <c r="CK45" s="104">
        <v>10576.64</v>
      </c>
      <c r="CL45" s="109">
        <v>16170</v>
      </c>
      <c r="CM45" s="104">
        <v>10348.800000000001</v>
      </c>
      <c r="CN45" s="109">
        <v>16310</v>
      </c>
      <c r="CO45" s="110">
        <v>10438.4</v>
      </c>
      <c r="CP45" s="109">
        <v>17892</v>
      </c>
      <c r="CQ45" s="110">
        <v>11450.880000000001</v>
      </c>
      <c r="CR45" s="109">
        <v>24304</v>
      </c>
      <c r="CS45" s="110">
        <v>15554.56</v>
      </c>
      <c r="CT45" s="109">
        <v>12362</v>
      </c>
      <c r="CU45" s="110">
        <v>7911.68</v>
      </c>
      <c r="CV45" s="109"/>
      <c r="CW45" s="110">
        <v>0</v>
      </c>
      <c r="CX45" s="109"/>
      <c r="CY45" s="110">
        <v>0</v>
      </c>
      <c r="CZ45" s="109"/>
      <c r="DA45" s="110">
        <v>0</v>
      </c>
      <c r="DB45" s="109"/>
      <c r="DC45" s="110">
        <v>0</v>
      </c>
      <c r="DD45" s="109"/>
      <c r="DE45" s="110">
        <v>0</v>
      </c>
      <c r="DF45" s="109"/>
      <c r="DG45" s="110">
        <v>0</v>
      </c>
      <c r="DH45" s="109"/>
      <c r="DI45" s="110">
        <v>0</v>
      </c>
      <c r="DJ45" s="110">
        <v>1.8763081445095793</v>
      </c>
      <c r="DK45" s="110">
        <v>1.88</v>
      </c>
      <c r="DL45" s="111">
        <v>87038</v>
      </c>
      <c r="DM45" s="112">
        <v>55704.32</v>
      </c>
      <c r="DN45" s="113">
        <v>17407.599999999999</v>
      </c>
      <c r="DO45" s="113">
        <v>11140.864</v>
      </c>
      <c r="DP45" s="114">
        <v>1.8884076162054741</v>
      </c>
      <c r="DQ45" s="115">
        <v>1.209947169589487E-2</v>
      </c>
      <c r="DR45" s="116">
        <v>12.150809194928343</v>
      </c>
      <c r="DS45" s="116">
        <v>5.3324996470279729</v>
      </c>
      <c r="DT45" s="117">
        <v>564.01066666666702</v>
      </c>
      <c r="DU45" s="117">
        <v>1207.0399999999991</v>
      </c>
      <c r="DV45" s="117">
        <v>40.286476190476215</v>
      </c>
      <c r="DW45" s="117">
        <v>86.21714285714279</v>
      </c>
      <c r="DX45" s="117">
        <v>431.08571428571395</v>
      </c>
    </row>
    <row r="46" spans="1:128" s="125" customFormat="1" ht="20.399999999999999" thickBot="1">
      <c r="A46" s="119"/>
      <c r="B46" s="120"/>
      <c r="C46" s="120"/>
      <c r="D46" s="121"/>
      <c r="E46" s="121"/>
      <c r="F46" s="121"/>
      <c r="G46" s="121"/>
      <c r="H46" s="122"/>
      <c r="I46" s="123"/>
      <c r="J46" s="122"/>
      <c r="K46" s="123"/>
      <c r="L46" s="122"/>
      <c r="M46" s="123"/>
      <c r="N46" s="122"/>
      <c r="O46" s="123"/>
      <c r="P46" s="122"/>
      <c r="Q46" s="123"/>
      <c r="R46" s="122"/>
      <c r="S46" s="123"/>
      <c r="T46" s="122"/>
      <c r="U46" s="123"/>
      <c r="V46" s="122"/>
      <c r="W46" s="123"/>
      <c r="X46" s="122"/>
      <c r="Y46" s="123"/>
      <c r="Z46" s="122"/>
      <c r="AA46" s="123"/>
      <c r="AB46" s="122"/>
      <c r="AC46" s="123"/>
      <c r="AD46" s="122"/>
      <c r="AE46" s="123"/>
      <c r="AF46" s="122"/>
      <c r="AG46" s="123"/>
      <c r="AH46" s="122"/>
      <c r="AI46" s="123"/>
      <c r="AJ46" s="122"/>
      <c r="AK46" s="123"/>
      <c r="AL46" s="122"/>
      <c r="AM46" s="123"/>
      <c r="AN46" s="122"/>
      <c r="AO46" s="123"/>
      <c r="AP46" s="122"/>
      <c r="AQ46" s="123"/>
      <c r="AR46" s="122"/>
      <c r="AS46" s="123"/>
      <c r="AT46" s="122"/>
      <c r="AU46" s="123"/>
      <c r="AV46" s="122"/>
      <c r="AW46" s="123"/>
      <c r="AX46" s="122"/>
      <c r="AY46" s="123"/>
      <c r="AZ46" s="122"/>
      <c r="BA46" s="123"/>
      <c r="BB46" s="122"/>
      <c r="BC46" s="123"/>
      <c r="BD46" s="122"/>
      <c r="BE46" s="123"/>
      <c r="BF46" s="122"/>
      <c r="BG46" s="123"/>
      <c r="BH46" s="122"/>
      <c r="BI46" s="123"/>
      <c r="BJ46" s="122"/>
      <c r="BK46" s="123"/>
      <c r="BL46" s="122"/>
      <c r="BM46" s="123"/>
      <c r="BN46" s="122"/>
      <c r="BO46" s="123"/>
      <c r="BP46" s="122"/>
      <c r="BQ46" s="123"/>
      <c r="BR46" s="124">
        <f>BR45</f>
        <v>15521.6</v>
      </c>
      <c r="BS46" s="124">
        <f t="shared" ref="BS46:DX46" si="14">BS45</f>
        <v>9933.8240000000005</v>
      </c>
      <c r="BT46" s="124">
        <f t="shared" si="14"/>
        <v>16002</v>
      </c>
      <c r="BU46" s="124">
        <f t="shared" si="14"/>
        <v>10241.280000000001</v>
      </c>
      <c r="BV46" s="124">
        <f t="shared" si="14"/>
        <v>18228</v>
      </c>
      <c r="BW46" s="124">
        <f t="shared" si="14"/>
        <v>11665.92</v>
      </c>
      <c r="BX46" s="124">
        <f t="shared" si="14"/>
        <v>16450</v>
      </c>
      <c r="BY46" s="124">
        <f t="shared" si="14"/>
        <v>10528</v>
      </c>
      <c r="BZ46" s="124">
        <f t="shared" si="14"/>
        <v>15610</v>
      </c>
      <c r="CA46" s="124">
        <f t="shared" si="14"/>
        <v>9990.4</v>
      </c>
      <c r="CB46" s="124">
        <f t="shared" si="14"/>
        <v>16590</v>
      </c>
      <c r="CC46" s="124">
        <f t="shared" si="14"/>
        <v>10617.6</v>
      </c>
      <c r="CD46" s="124">
        <f t="shared" si="14"/>
        <v>17080</v>
      </c>
      <c r="CE46" s="124">
        <f t="shared" si="14"/>
        <v>10931.2</v>
      </c>
      <c r="CF46" s="124">
        <f t="shared" si="14"/>
        <v>20748</v>
      </c>
      <c r="CG46" s="124">
        <f t="shared" si="14"/>
        <v>13278.720000000001</v>
      </c>
      <c r="CH46" s="124">
        <f t="shared" si="14"/>
        <v>16526.333333333332</v>
      </c>
      <c r="CI46" s="124">
        <f t="shared" si="14"/>
        <v>10576.853333333333</v>
      </c>
      <c r="CJ46" s="124">
        <f t="shared" si="14"/>
        <v>16526</v>
      </c>
      <c r="CK46" s="124">
        <f t="shared" si="14"/>
        <v>10576.64</v>
      </c>
      <c r="CL46" s="124">
        <f t="shared" si="14"/>
        <v>16170</v>
      </c>
      <c r="CM46" s="124">
        <f t="shared" si="14"/>
        <v>10348.800000000001</v>
      </c>
      <c r="CN46" s="124">
        <f t="shared" si="14"/>
        <v>16310</v>
      </c>
      <c r="CO46" s="124">
        <f t="shared" si="14"/>
        <v>10438.4</v>
      </c>
      <c r="CP46" s="124">
        <f t="shared" si="14"/>
        <v>17892</v>
      </c>
      <c r="CQ46" s="124">
        <f t="shared" si="14"/>
        <v>11450.880000000001</v>
      </c>
      <c r="CR46" s="124">
        <f t="shared" si="14"/>
        <v>24304</v>
      </c>
      <c r="CS46" s="124">
        <f t="shared" si="14"/>
        <v>15554.56</v>
      </c>
      <c r="CT46" s="124">
        <f t="shared" si="14"/>
        <v>12362</v>
      </c>
      <c r="CU46" s="124">
        <f t="shared" si="14"/>
        <v>7911.68</v>
      </c>
      <c r="CV46" s="124">
        <f t="shared" si="14"/>
        <v>0</v>
      </c>
      <c r="CW46" s="124">
        <f t="shared" si="14"/>
        <v>0</v>
      </c>
      <c r="CX46" s="124">
        <f t="shared" si="14"/>
        <v>0</v>
      </c>
      <c r="CY46" s="124">
        <f t="shared" si="14"/>
        <v>0</v>
      </c>
      <c r="CZ46" s="124">
        <f t="shared" si="14"/>
        <v>0</v>
      </c>
      <c r="DA46" s="124">
        <f t="shared" si="14"/>
        <v>0</v>
      </c>
      <c r="DB46" s="124">
        <f t="shared" si="14"/>
        <v>0</v>
      </c>
      <c r="DC46" s="124">
        <f t="shared" si="14"/>
        <v>0</v>
      </c>
      <c r="DD46" s="124">
        <f t="shared" si="14"/>
        <v>0</v>
      </c>
      <c r="DE46" s="124">
        <f t="shared" si="14"/>
        <v>0</v>
      </c>
      <c r="DF46" s="124">
        <f t="shared" si="14"/>
        <v>0</v>
      </c>
      <c r="DG46" s="124">
        <f t="shared" si="14"/>
        <v>0</v>
      </c>
      <c r="DH46" s="124">
        <f t="shared" si="14"/>
        <v>0</v>
      </c>
      <c r="DI46" s="124">
        <f t="shared" si="14"/>
        <v>0</v>
      </c>
      <c r="DJ46" s="214">
        <f t="shared" si="14"/>
        <v>1.8763081445095793</v>
      </c>
      <c r="DK46" s="214">
        <f t="shared" si="14"/>
        <v>1.88</v>
      </c>
      <c r="DL46" s="124">
        <f t="shared" si="14"/>
        <v>87038</v>
      </c>
      <c r="DM46" s="124">
        <f t="shared" si="14"/>
        <v>55704.32</v>
      </c>
      <c r="DN46" s="124">
        <f t="shared" si="14"/>
        <v>17407.599999999999</v>
      </c>
      <c r="DO46" s="124">
        <f t="shared" si="14"/>
        <v>11140.864</v>
      </c>
      <c r="DP46" s="214">
        <f t="shared" si="14"/>
        <v>1.8884076162054741</v>
      </c>
      <c r="DQ46" s="214">
        <f t="shared" si="14"/>
        <v>1.209947169589487E-2</v>
      </c>
      <c r="DR46" s="124">
        <f t="shared" si="14"/>
        <v>12.150809194928343</v>
      </c>
      <c r="DS46" s="124">
        <f t="shared" si="14"/>
        <v>5.3324996470279729</v>
      </c>
      <c r="DT46" s="124">
        <f t="shared" si="14"/>
        <v>564.01066666666702</v>
      </c>
      <c r="DU46" s="124">
        <f t="shared" si="14"/>
        <v>1207.0399999999991</v>
      </c>
      <c r="DV46" s="124">
        <f t="shared" si="14"/>
        <v>40.286476190476215</v>
      </c>
      <c r="DW46" s="124">
        <f t="shared" si="14"/>
        <v>86.21714285714279</v>
      </c>
      <c r="DX46" s="215">
        <f t="shared" si="14"/>
        <v>431.08571428571395</v>
      </c>
    </row>
    <row r="47" spans="1:128" ht="20.399999999999999" thickBot="1">
      <c r="A47" s="101">
        <v>100</v>
      </c>
      <c r="B47" s="102" t="s">
        <v>43</v>
      </c>
      <c r="C47" s="102" t="s">
        <v>14</v>
      </c>
      <c r="D47" s="101">
        <v>13</v>
      </c>
      <c r="E47" s="101">
        <v>0.64</v>
      </c>
      <c r="F47" s="101" t="s">
        <v>18</v>
      </c>
      <c r="G47" s="101">
        <v>1230</v>
      </c>
      <c r="H47" s="103">
        <v>8544</v>
      </c>
      <c r="I47" s="104">
        <v>5468.16</v>
      </c>
      <c r="J47" s="103">
        <v>9480</v>
      </c>
      <c r="K47" s="104">
        <v>6067.2</v>
      </c>
      <c r="L47" s="103">
        <v>11496</v>
      </c>
      <c r="M47" s="104">
        <v>7357.4400000000005</v>
      </c>
      <c r="N47" s="103">
        <v>7848</v>
      </c>
      <c r="O47" s="104">
        <v>5022.72</v>
      </c>
      <c r="P47" s="103">
        <v>7464</v>
      </c>
      <c r="Q47" s="104">
        <v>4776.96</v>
      </c>
      <c r="R47" s="103">
        <v>8832</v>
      </c>
      <c r="S47" s="104">
        <v>5652.4800000000005</v>
      </c>
      <c r="T47" s="103">
        <v>10368</v>
      </c>
      <c r="U47" s="104">
        <v>6635.52</v>
      </c>
      <c r="V47" s="103">
        <v>10296</v>
      </c>
      <c r="W47" s="104">
        <v>6589.4400000000005</v>
      </c>
      <c r="X47" s="103">
        <v>8378</v>
      </c>
      <c r="Y47" s="104">
        <v>5361.92</v>
      </c>
      <c r="Z47" s="103">
        <v>10320</v>
      </c>
      <c r="AA47" s="104">
        <v>6604.8</v>
      </c>
      <c r="AB47" s="103">
        <v>5712</v>
      </c>
      <c r="AC47" s="104">
        <v>3655.6800000000003</v>
      </c>
      <c r="AD47" s="103">
        <v>10464</v>
      </c>
      <c r="AE47" s="104">
        <v>6696.96</v>
      </c>
      <c r="AF47" s="105">
        <v>9100.1666666666661</v>
      </c>
      <c r="AG47" s="106">
        <v>5824.1066666666666</v>
      </c>
      <c r="AH47" s="103">
        <v>13608</v>
      </c>
      <c r="AI47" s="104">
        <v>8709.1200000000008</v>
      </c>
      <c r="AJ47" s="103">
        <v>8376</v>
      </c>
      <c r="AK47" s="104">
        <v>5360.64</v>
      </c>
      <c r="AL47" s="103">
        <v>5904</v>
      </c>
      <c r="AM47" s="104">
        <v>3778.56</v>
      </c>
      <c r="AN47" s="103">
        <v>7968</v>
      </c>
      <c r="AO47" s="104">
        <v>5099.5200000000004</v>
      </c>
      <c r="AP47" s="103">
        <v>6480</v>
      </c>
      <c r="AQ47" s="104">
        <v>4147.2</v>
      </c>
      <c r="AR47" s="103">
        <v>8280</v>
      </c>
      <c r="AS47" s="104">
        <v>5299.2</v>
      </c>
      <c r="AT47" s="103">
        <v>9480</v>
      </c>
      <c r="AU47" s="104">
        <v>6067.2</v>
      </c>
      <c r="AV47" s="103">
        <v>7728</v>
      </c>
      <c r="AW47" s="104">
        <v>4945.92</v>
      </c>
      <c r="AX47" s="103">
        <v>9840</v>
      </c>
      <c r="AY47" s="104">
        <v>6297.6</v>
      </c>
      <c r="AZ47" s="103">
        <v>5688</v>
      </c>
      <c r="BA47" s="104">
        <v>3640.32</v>
      </c>
      <c r="BB47" s="103">
        <v>3552</v>
      </c>
      <c r="BC47" s="104">
        <v>2273.2800000000002</v>
      </c>
      <c r="BD47" s="103">
        <v>6360</v>
      </c>
      <c r="BE47" s="104">
        <v>4070.4</v>
      </c>
      <c r="BF47" s="105">
        <v>7772</v>
      </c>
      <c r="BG47" s="106">
        <v>4974.08</v>
      </c>
      <c r="BH47" s="103">
        <v>8088</v>
      </c>
      <c r="BI47" s="104">
        <v>5176.32</v>
      </c>
      <c r="BJ47" s="103">
        <v>4320</v>
      </c>
      <c r="BK47" s="104">
        <v>2764.8</v>
      </c>
      <c r="BL47" s="103">
        <v>7296</v>
      </c>
      <c r="BM47" s="104">
        <v>4669.4400000000005</v>
      </c>
      <c r="BN47" s="103">
        <v>5184</v>
      </c>
      <c r="BO47" s="104">
        <v>3317.76</v>
      </c>
      <c r="BP47" s="103">
        <v>6432</v>
      </c>
      <c r="BQ47" s="104">
        <v>4116.4800000000005</v>
      </c>
      <c r="BR47" s="107">
        <v>6264</v>
      </c>
      <c r="BS47" s="104">
        <v>4008.9600000000005</v>
      </c>
      <c r="BT47" s="103">
        <v>6576</v>
      </c>
      <c r="BU47" s="104">
        <v>4208.6400000000003</v>
      </c>
      <c r="BV47" s="103">
        <v>7464</v>
      </c>
      <c r="BW47" s="104">
        <v>4776.96</v>
      </c>
      <c r="BX47" s="103">
        <v>5064</v>
      </c>
      <c r="BY47" s="104">
        <v>3240.96</v>
      </c>
      <c r="BZ47" s="103">
        <v>5832</v>
      </c>
      <c r="CA47" s="104">
        <v>3732.48</v>
      </c>
      <c r="CB47" s="103">
        <v>5952</v>
      </c>
      <c r="CC47" s="104">
        <v>3809.28</v>
      </c>
      <c r="CD47" s="103">
        <v>6744</v>
      </c>
      <c r="CE47" s="104">
        <v>4316.16</v>
      </c>
      <c r="CF47" s="103">
        <v>7800</v>
      </c>
      <c r="CG47" s="104">
        <v>4992</v>
      </c>
      <c r="CH47" s="105">
        <v>6396</v>
      </c>
      <c r="CI47" s="106">
        <v>4093.44</v>
      </c>
      <c r="CJ47" s="108">
        <v>6396</v>
      </c>
      <c r="CK47" s="104">
        <v>4093.44</v>
      </c>
      <c r="CL47" s="109">
        <v>6552</v>
      </c>
      <c r="CM47" s="104">
        <v>4193.28</v>
      </c>
      <c r="CN47" s="109">
        <v>6624</v>
      </c>
      <c r="CO47" s="110">
        <v>4239.3599999999997</v>
      </c>
      <c r="CP47" s="109">
        <v>9072</v>
      </c>
      <c r="CQ47" s="110">
        <v>5806.08</v>
      </c>
      <c r="CR47" s="109">
        <v>4824</v>
      </c>
      <c r="CS47" s="110">
        <v>3087.36</v>
      </c>
      <c r="CT47" s="109">
        <v>7032</v>
      </c>
      <c r="CU47" s="110">
        <v>4500.4800000000005</v>
      </c>
      <c r="CV47" s="109"/>
      <c r="CW47" s="110">
        <v>0</v>
      </c>
      <c r="CX47" s="109"/>
      <c r="CY47" s="110">
        <v>0</v>
      </c>
      <c r="CZ47" s="109"/>
      <c r="DA47" s="110">
        <v>0</v>
      </c>
      <c r="DB47" s="109"/>
      <c r="DC47" s="110">
        <v>0</v>
      </c>
      <c r="DD47" s="109"/>
      <c r="DE47" s="110">
        <v>0</v>
      </c>
      <c r="DF47" s="109"/>
      <c r="DG47" s="110">
        <v>0</v>
      </c>
      <c r="DH47" s="109"/>
      <c r="DI47" s="110">
        <v>0</v>
      </c>
      <c r="DJ47" s="110">
        <v>0.72616633406986442</v>
      </c>
      <c r="DK47" s="110">
        <v>0.73</v>
      </c>
      <c r="DL47" s="111">
        <v>34104</v>
      </c>
      <c r="DM47" s="112">
        <v>21826.559999999998</v>
      </c>
      <c r="DN47" s="113">
        <v>6820.8</v>
      </c>
      <c r="DO47" s="113">
        <v>4365.3119999999999</v>
      </c>
      <c r="DP47" s="114">
        <v>0.73993259660230581</v>
      </c>
      <c r="DQ47" s="115">
        <v>1.3766262532441398E-2</v>
      </c>
      <c r="DR47" s="116">
        <v>8.8888888888888857</v>
      </c>
      <c r="DS47" s="116">
        <v>6.6416510318949378</v>
      </c>
      <c r="DT47" s="117">
        <v>271.87199999999984</v>
      </c>
      <c r="DU47" s="117">
        <v>356.35199999999941</v>
      </c>
      <c r="DV47" s="117">
        <v>19.419428571428561</v>
      </c>
      <c r="DW47" s="117">
        <v>25.453714285714245</v>
      </c>
      <c r="DX47" s="117">
        <v>127.26857142857122</v>
      </c>
    </row>
    <row r="48" spans="1:128" s="125" customFormat="1" ht="20.399999999999999" thickBot="1">
      <c r="A48" s="119"/>
      <c r="B48" s="120"/>
      <c r="C48" s="120"/>
      <c r="D48" s="121"/>
      <c r="E48" s="121"/>
      <c r="F48" s="121"/>
      <c r="G48" s="121"/>
      <c r="H48" s="122"/>
      <c r="I48" s="123"/>
      <c r="J48" s="122"/>
      <c r="K48" s="123"/>
      <c r="L48" s="122"/>
      <c r="M48" s="123"/>
      <c r="N48" s="122"/>
      <c r="O48" s="123"/>
      <c r="P48" s="122"/>
      <c r="Q48" s="123"/>
      <c r="R48" s="122"/>
      <c r="S48" s="123"/>
      <c r="T48" s="122"/>
      <c r="U48" s="123"/>
      <c r="V48" s="122"/>
      <c r="W48" s="123"/>
      <c r="X48" s="122"/>
      <c r="Y48" s="123"/>
      <c r="Z48" s="122"/>
      <c r="AA48" s="123"/>
      <c r="AB48" s="122"/>
      <c r="AC48" s="123"/>
      <c r="AD48" s="122"/>
      <c r="AE48" s="123"/>
      <c r="AF48" s="122"/>
      <c r="AG48" s="123"/>
      <c r="AH48" s="122"/>
      <c r="AI48" s="123"/>
      <c r="AJ48" s="122"/>
      <c r="AK48" s="123"/>
      <c r="AL48" s="122"/>
      <c r="AM48" s="123"/>
      <c r="AN48" s="122"/>
      <c r="AO48" s="123"/>
      <c r="AP48" s="122"/>
      <c r="AQ48" s="123"/>
      <c r="AR48" s="122"/>
      <c r="AS48" s="123"/>
      <c r="AT48" s="122"/>
      <c r="AU48" s="123"/>
      <c r="AV48" s="122"/>
      <c r="AW48" s="123"/>
      <c r="AX48" s="122"/>
      <c r="AY48" s="123"/>
      <c r="AZ48" s="122"/>
      <c r="BA48" s="123"/>
      <c r="BB48" s="122"/>
      <c r="BC48" s="123"/>
      <c r="BD48" s="122"/>
      <c r="BE48" s="123"/>
      <c r="BF48" s="122"/>
      <c r="BG48" s="123"/>
      <c r="BH48" s="122"/>
      <c r="BI48" s="123"/>
      <c r="BJ48" s="122"/>
      <c r="BK48" s="123"/>
      <c r="BL48" s="122"/>
      <c r="BM48" s="123"/>
      <c r="BN48" s="122"/>
      <c r="BO48" s="123"/>
      <c r="BP48" s="122"/>
      <c r="BQ48" s="123"/>
      <c r="BR48" s="124">
        <f>BR47</f>
        <v>6264</v>
      </c>
      <c r="BS48" s="124">
        <f t="shared" ref="BS48:DX48" si="15">BS47</f>
        <v>4008.9600000000005</v>
      </c>
      <c r="BT48" s="124">
        <f t="shared" si="15"/>
        <v>6576</v>
      </c>
      <c r="BU48" s="124">
        <f t="shared" si="15"/>
        <v>4208.6400000000003</v>
      </c>
      <c r="BV48" s="124">
        <f t="shared" si="15"/>
        <v>7464</v>
      </c>
      <c r="BW48" s="124">
        <f t="shared" si="15"/>
        <v>4776.96</v>
      </c>
      <c r="BX48" s="124">
        <f t="shared" si="15"/>
        <v>5064</v>
      </c>
      <c r="BY48" s="124">
        <f t="shared" si="15"/>
        <v>3240.96</v>
      </c>
      <c r="BZ48" s="124">
        <f t="shared" si="15"/>
        <v>5832</v>
      </c>
      <c r="CA48" s="124">
        <f t="shared" si="15"/>
        <v>3732.48</v>
      </c>
      <c r="CB48" s="124">
        <f t="shared" si="15"/>
        <v>5952</v>
      </c>
      <c r="CC48" s="124">
        <f t="shared" si="15"/>
        <v>3809.28</v>
      </c>
      <c r="CD48" s="124">
        <f t="shared" si="15"/>
        <v>6744</v>
      </c>
      <c r="CE48" s="124">
        <f t="shared" si="15"/>
        <v>4316.16</v>
      </c>
      <c r="CF48" s="124">
        <f t="shared" si="15"/>
        <v>7800</v>
      </c>
      <c r="CG48" s="124">
        <f t="shared" si="15"/>
        <v>4992</v>
      </c>
      <c r="CH48" s="124">
        <f t="shared" si="15"/>
        <v>6396</v>
      </c>
      <c r="CI48" s="124">
        <f t="shared" si="15"/>
        <v>4093.44</v>
      </c>
      <c r="CJ48" s="124">
        <f t="shared" si="15"/>
        <v>6396</v>
      </c>
      <c r="CK48" s="124">
        <f t="shared" si="15"/>
        <v>4093.44</v>
      </c>
      <c r="CL48" s="124">
        <f t="shared" si="15"/>
        <v>6552</v>
      </c>
      <c r="CM48" s="124">
        <f t="shared" si="15"/>
        <v>4193.28</v>
      </c>
      <c r="CN48" s="124">
        <f t="shared" si="15"/>
        <v>6624</v>
      </c>
      <c r="CO48" s="124">
        <f t="shared" si="15"/>
        <v>4239.3599999999997</v>
      </c>
      <c r="CP48" s="124">
        <f t="shared" si="15"/>
        <v>9072</v>
      </c>
      <c r="CQ48" s="124">
        <f t="shared" si="15"/>
        <v>5806.08</v>
      </c>
      <c r="CR48" s="124">
        <f t="shared" si="15"/>
        <v>4824</v>
      </c>
      <c r="CS48" s="124">
        <f t="shared" si="15"/>
        <v>3087.36</v>
      </c>
      <c r="CT48" s="124">
        <f t="shared" si="15"/>
        <v>7032</v>
      </c>
      <c r="CU48" s="124">
        <f t="shared" si="15"/>
        <v>4500.4800000000005</v>
      </c>
      <c r="CV48" s="124">
        <f t="shared" si="15"/>
        <v>0</v>
      </c>
      <c r="CW48" s="124">
        <f t="shared" si="15"/>
        <v>0</v>
      </c>
      <c r="CX48" s="124">
        <f t="shared" si="15"/>
        <v>0</v>
      </c>
      <c r="CY48" s="124">
        <f t="shared" si="15"/>
        <v>0</v>
      </c>
      <c r="CZ48" s="124">
        <f t="shared" si="15"/>
        <v>0</v>
      </c>
      <c r="DA48" s="124">
        <f t="shared" si="15"/>
        <v>0</v>
      </c>
      <c r="DB48" s="124">
        <f t="shared" si="15"/>
        <v>0</v>
      </c>
      <c r="DC48" s="124">
        <f t="shared" si="15"/>
        <v>0</v>
      </c>
      <c r="DD48" s="124">
        <f t="shared" si="15"/>
        <v>0</v>
      </c>
      <c r="DE48" s="124">
        <f t="shared" si="15"/>
        <v>0</v>
      </c>
      <c r="DF48" s="124">
        <f t="shared" si="15"/>
        <v>0</v>
      </c>
      <c r="DG48" s="124">
        <f t="shared" si="15"/>
        <v>0</v>
      </c>
      <c r="DH48" s="124">
        <f t="shared" si="15"/>
        <v>0</v>
      </c>
      <c r="DI48" s="124">
        <f t="shared" si="15"/>
        <v>0</v>
      </c>
      <c r="DJ48" s="214">
        <f t="shared" si="15"/>
        <v>0.72616633406986442</v>
      </c>
      <c r="DK48" s="214">
        <f t="shared" si="15"/>
        <v>0.73</v>
      </c>
      <c r="DL48" s="124">
        <f t="shared" si="15"/>
        <v>34104</v>
      </c>
      <c r="DM48" s="124">
        <f t="shared" si="15"/>
        <v>21826.559999999998</v>
      </c>
      <c r="DN48" s="124">
        <f t="shared" si="15"/>
        <v>6820.8</v>
      </c>
      <c r="DO48" s="124">
        <f t="shared" si="15"/>
        <v>4365.3119999999999</v>
      </c>
      <c r="DP48" s="214">
        <f t="shared" si="15"/>
        <v>0.73993259660230581</v>
      </c>
      <c r="DQ48" s="214">
        <f t="shared" si="15"/>
        <v>1.3766262532441398E-2</v>
      </c>
      <c r="DR48" s="124">
        <f t="shared" si="15"/>
        <v>8.8888888888888857</v>
      </c>
      <c r="DS48" s="124">
        <f t="shared" si="15"/>
        <v>6.6416510318949378</v>
      </c>
      <c r="DT48" s="124">
        <f t="shared" si="15"/>
        <v>271.87199999999984</v>
      </c>
      <c r="DU48" s="124">
        <f t="shared" si="15"/>
        <v>356.35199999999941</v>
      </c>
      <c r="DV48" s="124">
        <f t="shared" si="15"/>
        <v>19.419428571428561</v>
      </c>
      <c r="DW48" s="124">
        <f t="shared" si="15"/>
        <v>25.453714285714245</v>
      </c>
      <c r="DX48" s="215">
        <f t="shared" si="15"/>
        <v>127.26857142857122</v>
      </c>
    </row>
    <row r="49" spans="1:128">
      <c r="A49" s="92">
        <v>101</v>
      </c>
      <c r="B49" s="93" t="s">
        <v>44</v>
      </c>
      <c r="C49" s="93" t="s">
        <v>14</v>
      </c>
      <c r="D49" s="92">
        <v>17</v>
      </c>
      <c r="E49" s="92">
        <v>0.64</v>
      </c>
      <c r="F49" s="92" t="s">
        <v>20</v>
      </c>
      <c r="G49" s="92">
        <v>1230</v>
      </c>
      <c r="H49" s="56">
        <v>6050</v>
      </c>
      <c r="I49" s="57">
        <v>3872</v>
      </c>
      <c r="J49" s="56">
        <v>4746</v>
      </c>
      <c r="K49" s="57">
        <v>3037.44</v>
      </c>
      <c r="L49" s="56">
        <v>5572</v>
      </c>
      <c r="M49" s="57">
        <v>3566.08</v>
      </c>
      <c r="N49" s="56">
        <v>5418</v>
      </c>
      <c r="O49" s="57">
        <v>3467.52</v>
      </c>
      <c r="P49" s="56">
        <v>4564</v>
      </c>
      <c r="Q49" s="57">
        <v>2920.96</v>
      </c>
      <c r="R49" s="56">
        <v>5320</v>
      </c>
      <c r="S49" s="57">
        <v>3404.8</v>
      </c>
      <c r="T49" s="56">
        <v>5754</v>
      </c>
      <c r="U49" s="57">
        <v>3682.56</v>
      </c>
      <c r="V49" s="56">
        <v>6328</v>
      </c>
      <c r="W49" s="57">
        <v>4049.92</v>
      </c>
      <c r="X49" s="56">
        <v>3976</v>
      </c>
      <c r="Y49" s="57">
        <v>2544.64</v>
      </c>
      <c r="Z49" s="56">
        <v>5222</v>
      </c>
      <c r="AA49" s="57">
        <v>3342.08</v>
      </c>
      <c r="AB49" s="56">
        <v>5026</v>
      </c>
      <c r="AC49" s="57">
        <v>3216.64</v>
      </c>
      <c r="AD49" s="56">
        <v>5992</v>
      </c>
      <c r="AE49" s="57">
        <v>3834.88</v>
      </c>
      <c r="AF49" s="58">
        <v>5330.666666666667</v>
      </c>
      <c r="AG49" s="59">
        <v>3411.626666666667</v>
      </c>
      <c r="AH49" s="56">
        <v>5348</v>
      </c>
      <c r="AI49" s="57">
        <v>3422.7200000000003</v>
      </c>
      <c r="AJ49" s="56">
        <v>4774</v>
      </c>
      <c r="AK49" s="57">
        <v>3055.36</v>
      </c>
      <c r="AL49" s="56">
        <v>4704</v>
      </c>
      <c r="AM49" s="57">
        <v>3010.56</v>
      </c>
      <c r="AN49" s="56">
        <v>3710</v>
      </c>
      <c r="AO49" s="57">
        <v>2374.4</v>
      </c>
      <c r="AP49" s="56">
        <v>3836</v>
      </c>
      <c r="AQ49" s="57">
        <v>2455.04</v>
      </c>
      <c r="AR49" s="56">
        <v>3766</v>
      </c>
      <c r="AS49" s="57">
        <v>2410.2400000000002</v>
      </c>
      <c r="AT49" s="56">
        <v>3766</v>
      </c>
      <c r="AU49" s="57">
        <v>2410.2400000000002</v>
      </c>
      <c r="AV49" s="56">
        <v>4438</v>
      </c>
      <c r="AW49" s="57">
        <v>2840.32</v>
      </c>
      <c r="AX49" s="56">
        <v>4200</v>
      </c>
      <c r="AY49" s="57">
        <v>2688</v>
      </c>
      <c r="AZ49" s="56">
        <v>4291</v>
      </c>
      <c r="BA49" s="57">
        <v>2746.2400000000002</v>
      </c>
      <c r="BB49" s="56">
        <v>2030</v>
      </c>
      <c r="BC49" s="57">
        <v>1299.2</v>
      </c>
      <c r="BD49" s="56">
        <v>5082</v>
      </c>
      <c r="BE49" s="57">
        <v>3252.48</v>
      </c>
      <c r="BF49" s="58">
        <v>4162.083333333333</v>
      </c>
      <c r="BG49" s="59">
        <v>2663.7333333333331</v>
      </c>
      <c r="BH49" s="56">
        <v>5096</v>
      </c>
      <c r="BI49" s="57">
        <v>3261.44</v>
      </c>
      <c r="BJ49" s="56">
        <v>3948</v>
      </c>
      <c r="BK49" s="57">
        <v>2526.7200000000003</v>
      </c>
      <c r="BL49" s="56">
        <v>4368</v>
      </c>
      <c r="BM49" s="57">
        <v>2795.52</v>
      </c>
      <c r="BN49" s="56">
        <v>3262</v>
      </c>
      <c r="BO49" s="57">
        <v>2087.6799999999998</v>
      </c>
      <c r="BP49" s="56">
        <v>5068</v>
      </c>
      <c r="BQ49" s="57">
        <v>3243.52</v>
      </c>
      <c r="BR49" s="60">
        <v>4348.3999999999996</v>
      </c>
      <c r="BS49" s="57">
        <v>2782.9760000000001</v>
      </c>
      <c r="BT49" s="56">
        <v>3430</v>
      </c>
      <c r="BU49" s="57">
        <v>2195.2000000000003</v>
      </c>
      <c r="BV49" s="56">
        <v>4102</v>
      </c>
      <c r="BW49" s="57">
        <v>2625.28</v>
      </c>
      <c r="BX49" s="56">
        <v>2912</v>
      </c>
      <c r="BY49" s="57">
        <v>1863.68</v>
      </c>
      <c r="BZ49" s="56">
        <v>3024</v>
      </c>
      <c r="CA49" s="57">
        <v>1935.3600000000001</v>
      </c>
      <c r="CB49" s="56">
        <v>3850</v>
      </c>
      <c r="CC49" s="57">
        <v>2464</v>
      </c>
      <c r="CD49" s="56">
        <v>3150</v>
      </c>
      <c r="CE49" s="57">
        <v>2016</v>
      </c>
      <c r="CF49" s="56">
        <v>5110</v>
      </c>
      <c r="CG49" s="57">
        <v>3270.4</v>
      </c>
      <c r="CH49" s="58">
        <v>3943.3333333333335</v>
      </c>
      <c r="CI49" s="59">
        <v>2523.7333333333336</v>
      </c>
      <c r="CJ49" s="94">
        <v>3943</v>
      </c>
      <c r="CK49" s="57">
        <v>2523.52</v>
      </c>
      <c r="CL49" s="61">
        <v>4690</v>
      </c>
      <c r="CM49" s="57">
        <v>3001.6</v>
      </c>
      <c r="CN49" s="61">
        <v>5292</v>
      </c>
      <c r="CO49" s="95">
        <v>3386.88</v>
      </c>
      <c r="CP49" s="61">
        <v>2982</v>
      </c>
      <c r="CQ49" s="95">
        <v>1908.48</v>
      </c>
      <c r="CR49" s="61">
        <v>4060</v>
      </c>
      <c r="CS49" s="95">
        <v>2598.4</v>
      </c>
      <c r="CT49" s="61">
        <v>2884</v>
      </c>
      <c r="CU49" s="95">
        <v>1845.76</v>
      </c>
      <c r="CV49" s="61"/>
      <c r="CW49" s="95">
        <v>0</v>
      </c>
      <c r="CX49" s="61"/>
      <c r="CY49" s="95">
        <v>0</v>
      </c>
      <c r="CZ49" s="61"/>
      <c r="DA49" s="95">
        <v>0</v>
      </c>
      <c r="DB49" s="61"/>
      <c r="DC49" s="95">
        <v>0</v>
      </c>
      <c r="DD49" s="61"/>
      <c r="DE49" s="95">
        <v>0</v>
      </c>
      <c r="DF49" s="61"/>
      <c r="DG49" s="95">
        <v>0</v>
      </c>
      <c r="DH49" s="61"/>
      <c r="DI49" s="95">
        <v>0</v>
      </c>
      <c r="DJ49" s="95">
        <v>0.44770417615418479</v>
      </c>
      <c r="DK49" s="95">
        <v>0.45</v>
      </c>
      <c r="DL49" s="63">
        <v>19908</v>
      </c>
      <c r="DM49" s="62">
        <v>12741.119999999999</v>
      </c>
      <c r="DN49" s="96">
        <v>3981.6</v>
      </c>
      <c r="DO49" s="96">
        <v>2548.2239999999997</v>
      </c>
      <c r="DP49" s="97">
        <v>0.43193109703139521</v>
      </c>
      <c r="DQ49" s="98">
        <v>-1.5773079122789579E-2</v>
      </c>
      <c r="DR49" s="99">
        <v>-8.435286542176442</v>
      </c>
      <c r="DS49" s="99">
        <v>0.97041420118340227</v>
      </c>
      <c r="DT49" s="100">
        <v>24.490666666666129</v>
      </c>
      <c r="DU49" s="100">
        <v>-234.75200000000041</v>
      </c>
      <c r="DV49" s="100">
        <v>1.749333333333295</v>
      </c>
      <c r="DW49" s="100">
        <v>-16.768000000000029</v>
      </c>
      <c r="DX49" s="100">
        <v>-83.840000000000146</v>
      </c>
    </row>
    <row r="50" spans="1:128" s="213" customFormat="1" ht="22.5" customHeight="1">
      <c r="A50" s="197"/>
      <c r="B50" s="198" t="s">
        <v>45</v>
      </c>
      <c r="C50" s="198"/>
      <c r="D50" s="198"/>
      <c r="E50" s="199"/>
      <c r="F50" s="200"/>
      <c r="G50" s="200"/>
      <c r="H50" s="201">
        <v>654091</v>
      </c>
      <c r="I50" s="202">
        <v>425017.06</v>
      </c>
      <c r="J50" s="201">
        <v>628544</v>
      </c>
      <c r="K50" s="202">
        <v>407037.68000000005</v>
      </c>
      <c r="L50" s="201">
        <v>715306</v>
      </c>
      <c r="M50" s="202">
        <v>466108.84</v>
      </c>
      <c r="N50" s="201">
        <v>532583</v>
      </c>
      <c r="O50" s="202">
        <v>346599.38</v>
      </c>
      <c r="P50" s="201">
        <v>559169</v>
      </c>
      <c r="Q50" s="202">
        <v>361819.58000000007</v>
      </c>
      <c r="R50" s="201">
        <v>646860</v>
      </c>
      <c r="S50" s="202">
        <v>417841.67999999993</v>
      </c>
      <c r="T50" s="201">
        <v>641078</v>
      </c>
      <c r="U50" s="202">
        <v>415252.0400000001</v>
      </c>
      <c r="V50" s="201">
        <v>715219</v>
      </c>
      <c r="W50" s="202">
        <v>464703.58000000007</v>
      </c>
      <c r="X50" s="201">
        <v>631014</v>
      </c>
      <c r="Y50" s="202">
        <v>407854.08000000007</v>
      </c>
      <c r="Z50" s="201">
        <v>596554</v>
      </c>
      <c r="AA50" s="202">
        <v>385517.91000000003</v>
      </c>
      <c r="AB50" s="201">
        <v>664614</v>
      </c>
      <c r="AC50" s="202">
        <v>431000.24000000005</v>
      </c>
      <c r="AD50" s="201">
        <v>722091</v>
      </c>
      <c r="AE50" s="202">
        <v>466735.39</v>
      </c>
      <c r="AF50" s="203">
        <v>642260.25</v>
      </c>
      <c r="AG50" s="204">
        <v>416290.62166666664</v>
      </c>
      <c r="AH50" s="201">
        <v>696158</v>
      </c>
      <c r="AI50" s="202">
        <v>450975.41</v>
      </c>
      <c r="AJ50" s="201">
        <v>582989</v>
      </c>
      <c r="AK50" s="202">
        <v>376228.6</v>
      </c>
      <c r="AL50" s="201">
        <v>561925</v>
      </c>
      <c r="AM50" s="202">
        <v>364919.43</v>
      </c>
      <c r="AN50" s="201">
        <v>564875</v>
      </c>
      <c r="AO50" s="202">
        <v>366415.57000000007</v>
      </c>
      <c r="AP50" s="201">
        <v>476057</v>
      </c>
      <c r="AQ50" s="202">
        <v>309869.97000000003</v>
      </c>
      <c r="AR50" s="201">
        <v>600345</v>
      </c>
      <c r="AS50" s="202">
        <v>389566.54</v>
      </c>
      <c r="AT50" s="201">
        <v>654612</v>
      </c>
      <c r="AU50" s="202">
        <v>424884.15</v>
      </c>
      <c r="AV50" s="201">
        <v>627336</v>
      </c>
      <c r="AW50" s="202">
        <v>405648.12000000005</v>
      </c>
      <c r="AX50" s="201">
        <v>614399</v>
      </c>
      <c r="AY50" s="202">
        <v>398322.05000000005</v>
      </c>
      <c r="AZ50" s="201">
        <v>662882</v>
      </c>
      <c r="BA50" s="202">
        <v>428693.14</v>
      </c>
      <c r="BB50" s="201">
        <v>678253</v>
      </c>
      <c r="BC50" s="202">
        <v>440888.14000000007</v>
      </c>
      <c r="BD50" s="201">
        <v>846698</v>
      </c>
      <c r="BE50" s="202">
        <v>548664.9800000001</v>
      </c>
      <c r="BF50" s="203">
        <v>630544.08333333349</v>
      </c>
      <c r="BG50" s="204">
        <v>408756.34166666662</v>
      </c>
      <c r="BH50" s="201">
        <v>949178</v>
      </c>
      <c r="BI50" s="202">
        <v>613512.19999999995</v>
      </c>
      <c r="BJ50" s="201">
        <v>773779</v>
      </c>
      <c r="BK50" s="202">
        <v>500548.67999999993</v>
      </c>
      <c r="BL50" s="201">
        <v>794108</v>
      </c>
      <c r="BM50" s="202">
        <v>512919.13999999996</v>
      </c>
      <c r="BN50" s="201">
        <v>749078</v>
      </c>
      <c r="BO50" s="202">
        <v>486537</v>
      </c>
      <c r="BP50" s="201">
        <v>840592</v>
      </c>
      <c r="BQ50" s="202">
        <v>541215.06000000006</v>
      </c>
      <c r="BR50" s="205">
        <v>821347</v>
      </c>
      <c r="BS50" s="206">
        <v>530946.41599999997</v>
      </c>
      <c r="BT50" s="201">
        <v>820396</v>
      </c>
      <c r="BU50" s="202">
        <v>529836.97000000009</v>
      </c>
      <c r="BV50" s="201">
        <v>868137</v>
      </c>
      <c r="BW50" s="202">
        <v>561678.62</v>
      </c>
      <c r="BX50" s="201">
        <v>864657</v>
      </c>
      <c r="BY50" s="202">
        <v>560913.68000000005</v>
      </c>
      <c r="BZ50" s="201">
        <v>901641</v>
      </c>
      <c r="CA50" s="202">
        <v>583965.26</v>
      </c>
      <c r="CB50" s="201">
        <v>946416</v>
      </c>
      <c r="CC50" s="202">
        <v>615351.65</v>
      </c>
      <c r="CD50" s="201">
        <v>917030</v>
      </c>
      <c r="CE50" s="202">
        <v>595835.02</v>
      </c>
      <c r="CF50" s="201">
        <v>1013431</v>
      </c>
      <c r="CG50" s="202">
        <v>662153.44000000006</v>
      </c>
      <c r="CH50" s="203">
        <v>869870.25</v>
      </c>
      <c r="CI50" s="204">
        <v>563705.55999999994</v>
      </c>
      <c r="CJ50" s="201">
        <v>876799</v>
      </c>
      <c r="CK50" s="202">
        <v>567862.76</v>
      </c>
      <c r="CL50" s="201">
        <v>965752</v>
      </c>
      <c r="CM50" s="202">
        <v>631832.88</v>
      </c>
      <c r="CN50" s="201">
        <v>818851</v>
      </c>
      <c r="CO50" s="202">
        <v>532828.48</v>
      </c>
      <c r="CP50" s="201">
        <v>1020554</v>
      </c>
      <c r="CQ50" s="202">
        <v>677348.72</v>
      </c>
      <c r="CR50" s="201">
        <v>803099</v>
      </c>
      <c r="CS50" s="202">
        <v>524612.25</v>
      </c>
      <c r="CT50" s="201">
        <v>888740</v>
      </c>
      <c r="CU50" s="202">
        <v>583181.49000000011</v>
      </c>
      <c r="CV50" s="201">
        <v>0</v>
      </c>
      <c r="CW50" s="202">
        <v>0</v>
      </c>
      <c r="CX50" s="201">
        <v>0</v>
      </c>
      <c r="CY50" s="202">
        <v>0</v>
      </c>
      <c r="CZ50" s="201">
        <v>0</v>
      </c>
      <c r="DA50" s="202">
        <v>0</v>
      </c>
      <c r="DB50" s="201">
        <v>0</v>
      </c>
      <c r="DC50" s="202">
        <v>0</v>
      </c>
      <c r="DD50" s="201">
        <v>0</v>
      </c>
      <c r="DE50" s="202">
        <v>0</v>
      </c>
      <c r="DF50" s="201">
        <v>0</v>
      </c>
      <c r="DG50" s="202">
        <v>0</v>
      </c>
      <c r="DH50" s="201">
        <v>0</v>
      </c>
      <c r="DI50" s="202">
        <v>0</v>
      </c>
      <c r="DJ50" s="207">
        <v>100</v>
      </c>
      <c r="DK50" s="202"/>
      <c r="DL50" s="201">
        <v>4496996</v>
      </c>
      <c r="DM50" s="202">
        <v>2949803.8199999994</v>
      </c>
      <c r="DN50" s="208">
        <v>899399.2</v>
      </c>
      <c r="DO50" s="208">
        <v>589960.76399999985</v>
      </c>
      <c r="DP50" s="209">
        <v>100</v>
      </c>
      <c r="DQ50" s="210">
        <v>0</v>
      </c>
      <c r="DR50" s="211">
        <v>11.114934807281912</v>
      </c>
      <c r="DS50" s="211">
        <v>4.6576095506313493</v>
      </c>
      <c r="DT50" s="212">
        <v>26255.203999999911</v>
      </c>
      <c r="DU50" s="212">
        <v>59014.347999999882</v>
      </c>
      <c r="DV50" s="212">
        <v>1875.3717142857079</v>
      </c>
      <c r="DW50" s="212">
        <v>4215.310571428563</v>
      </c>
      <c r="DX50" s="216">
        <v>21076.552857142815</v>
      </c>
    </row>
    <row r="51" spans="1:128" hidden="1">
      <c r="A51" s="53"/>
      <c r="B51" s="54"/>
      <c r="C51" s="54"/>
      <c r="D51" s="54"/>
      <c r="E51" s="54"/>
      <c r="F51" s="55"/>
      <c r="G51" s="55"/>
      <c r="H51" s="56"/>
      <c r="I51" s="57"/>
      <c r="J51" s="56"/>
      <c r="K51" s="57"/>
      <c r="L51" s="56"/>
      <c r="M51" s="57"/>
      <c r="N51" s="56"/>
      <c r="O51" s="57"/>
      <c r="P51" s="56"/>
      <c r="Q51" s="57"/>
      <c r="R51" s="56"/>
      <c r="S51" s="57"/>
      <c r="T51" s="56"/>
      <c r="U51" s="57"/>
      <c r="V51" s="56"/>
      <c r="W51" s="57"/>
      <c r="X51" s="56"/>
      <c r="Y51" s="57"/>
      <c r="Z51" s="56"/>
      <c r="AA51" s="57"/>
      <c r="AB51" s="56"/>
      <c r="AC51" s="57"/>
      <c r="AD51" s="56"/>
      <c r="AE51" s="57"/>
      <c r="AF51" s="58"/>
      <c r="AG51" s="59"/>
      <c r="AH51" s="56"/>
      <c r="AI51" s="57"/>
      <c r="AJ51" s="56"/>
      <c r="AK51" s="57"/>
      <c r="AL51" s="56"/>
      <c r="AM51" s="57"/>
      <c r="AN51" s="56"/>
      <c r="AO51" s="57"/>
      <c r="AP51" s="56"/>
      <c r="AQ51" s="57"/>
      <c r="AR51" s="56"/>
      <c r="AS51" s="57"/>
      <c r="AT51" s="56"/>
      <c r="AU51" s="57"/>
      <c r="AV51" s="56"/>
      <c r="AW51" s="57"/>
      <c r="AX51" s="56"/>
      <c r="AY51" s="57"/>
      <c r="AZ51" s="56"/>
      <c r="BA51" s="57"/>
      <c r="BB51" s="56"/>
      <c r="BC51" s="57"/>
      <c r="BD51" s="56"/>
      <c r="BE51" s="57"/>
      <c r="BF51" s="58"/>
      <c r="BG51" s="59"/>
      <c r="BH51" s="56"/>
      <c r="BI51" s="57"/>
      <c r="BJ51" s="56"/>
      <c r="BK51" s="57"/>
      <c r="BL51" s="56"/>
      <c r="BM51" s="57"/>
      <c r="BN51" s="56"/>
      <c r="BO51" s="57"/>
      <c r="BP51" s="56"/>
      <c r="BQ51" s="57"/>
      <c r="BR51" s="60">
        <v>0</v>
      </c>
      <c r="BS51" s="57">
        <v>0</v>
      </c>
      <c r="BT51" s="56"/>
      <c r="BU51" s="57"/>
      <c r="BV51" s="56"/>
      <c r="BW51" s="57"/>
      <c r="BX51" s="56"/>
      <c r="BY51" s="57"/>
      <c r="BZ51" s="56"/>
      <c r="CA51" s="57"/>
      <c r="CB51" s="56"/>
      <c r="CC51" s="57"/>
      <c r="CD51" s="56"/>
      <c r="CE51" s="57"/>
      <c r="CF51" s="56"/>
      <c r="CG51" s="57"/>
      <c r="CH51" s="58"/>
      <c r="CI51" s="59"/>
      <c r="CJ51" s="55"/>
      <c r="CK51" s="57"/>
      <c r="CL51" s="61"/>
      <c r="CM51" s="57"/>
      <c r="CN51" s="61"/>
      <c r="CO51" s="62"/>
      <c r="CP51" s="61"/>
      <c r="CQ51" s="62"/>
      <c r="CR51" s="61"/>
      <c r="CS51" s="62"/>
      <c r="CT51" s="61"/>
      <c r="CU51" s="62"/>
      <c r="CV51" s="61"/>
      <c r="CW51" s="62"/>
      <c r="CX51" s="61"/>
      <c r="CY51" s="62"/>
      <c r="CZ51" s="61"/>
      <c r="DA51" s="62"/>
      <c r="DB51" s="61"/>
      <c r="DC51" s="62"/>
      <c r="DD51" s="61"/>
      <c r="DE51" s="62"/>
      <c r="DF51" s="61"/>
      <c r="DG51" s="62"/>
      <c r="DH51" s="61"/>
      <c r="DI51" s="62"/>
      <c r="DJ51" s="62"/>
      <c r="DK51" s="62"/>
      <c r="DL51" s="63"/>
      <c r="DM51" s="62"/>
      <c r="DX51" s="52">
        <v>0</v>
      </c>
    </row>
    <row r="52" spans="1:128" hidden="1">
      <c r="A52" s="7">
        <v>109</v>
      </c>
      <c r="B52" s="8" t="s">
        <v>46</v>
      </c>
      <c r="C52" s="8" t="s">
        <v>14</v>
      </c>
      <c r="D52" s="7">
        <v>4</v>
      </c>
      <c r="E52" s="7">
        <v>0.7</v>
      </c>
      <c r="F52" s="7" t="s">
        <v>15</v>
      </c>
      <c r="G52" s="7">
        <v>4500</v>
      </c>
      <c r="H52" s="9">
        <v>360</v>
      </c>
      <c r="I52" s="10">
        <v>251.99999999999997</v>
      </c>
      <c r="J52" s="9">
        <v>221</v>
      </c>
      <c r="K52" s="10">
        <v>154.69999999999999</v>
      </c>
      <c r="L52" s="9">
        <v>718</v>
      </c>
      <c r="M52" s="10">
        <v>502.59999999999997</v>
      </c>
      <c r="N52" s="9">
        <v>566</v>
      </c>
      <c r="O52" s="10">
        <v>396.2</v>
      </c>
      <c r="P52" s="9">
        <v>240</v>
      </c>
      <c r="Q52" s="10">
        <v>168</v>
      </c>
      <c r="R52" s="9">
        <v>69</v>
      </c>
      <c r="S52" s="10">
        <v>48.3</v>
      </c>
      <c r="T52" s="9">
        <v>195</v>
      </c>
      <c r="U52" s="10">
        <v>136.5</v>
      </c>
      <c r="V52" s="9">
        <v>131</v>
      </c>
      <c r="W52" s="10">
        <v>91.699999999999989</v>
      </c>
      <c r="X52" s="9">
        <v>84</v>
      </c>
      <c r="Y52" s="10">
        <v>58.8</v>
      </c>
      <c r="Z52" s="9">
        <v>81</v>
      </c>
      <c r="AA52" s="10">
        <v>56.699999999999996</v>
      </c>
      <c r="AB52" s="9">
        <v>95</v>
      </c>
      <c r="AC52" s="10">
        <v>66.5</v>
      </c>
      <c r="AD52" s="9">
        <v>432</v>
      </c>
      <c r="AE52" s="10">
        <v>302.39999999999998</v>
      </c>
      <c r="AF52" s="11">
        <v>266</v>
      </c>
      <c r="AG52" s="12">
        <v>186.2</v>
      </c>
      <c r="AH52" s="9">
        <v>209</v>
      </c>
      <c r="AI52" s="10">
        <v>146.29999999999998</v>
      </c>
      <c r="AJ52" s="9">
        <v>392</v>
      </c>
      <c r="AK52" s="10">
        <v>274.39999999999998</v>
      </c>
      <c r="AL52" s="9">
        <v>72</v>
      </c>
      <c r="AM52" s="10">
        <v>50.4</v>
      </c>
      <c r="AN52" s="9">
        <v>128</v>
      </c>
      <c r="AO52" s="10">
        <v>89.6</v>
      </c>
      <c r="AP52" s="9">
        <v>49</v>
      </c>
      <c r="AQ52" s="10">
        <v>34.299999999999997</v>
      </c>
      <c r="AR52" s="9">
        <v>311</v>
      </c>
      <c r="AS52" s="10">
        <v>217.7</v>
      </c>
      <c r="AT52" s="9">
        <v>71</v>
      </c>
      <c r="AU52" s="10">
        <v>49.699999999999996</v>
      </c>
      <c r="AV52" s="9">
        <v>60</v>
      </c>
      <c r="AW52" s="10">
        <v>42</v>
      </c>
      <c r="AX52" s="9">
        <v>33</v>
      </c>
      <c r="AY52" s="10">
        <v>23.099999999999998</v>
      </c>
      <c r="AZ52" s="9">
        <v>75</v>
      </c>
      <c r="BA52" s="10">
        <v>52.5</v>
      </c>
      <c r="BB52" s="9">
        <v>18</v>
      </c>
      <c r="BC52" s="10">
        <v>12.6</v>
      </c>
      <c r="BD52" s="9">
        <v>54</v>
      </c>
      <c r="BE52" s="10">
        <v>37.799999999999997</v>
      </c>
      <c r="BF52" s="11">
        <v>122.66666666666667</v>
      </c>
      <c r="BG52" s="12">
        <v>85.86666666666666</v>
      </c>
      <c r="BH52" s="9">
        <v>36</v>
      </c>
      <c r="BI52" s="10">
        <v>25.2</v>
      </c>
      <c r="BJ52" s="9">
        <v>24</v>
      </c>
      <c r="BK52" s="10">
        <v>16.799999999999997</v>
      </c>
      <c r="BL52" s="9">
        <v>48</v>
      </c>
      <c r="BM52" s="10">
        <v>33.599999999999994</v>
      </c>
      <c r="BN52" s="9"/>
      <c r="BO52" s="10">
        <v>0</v>
      </c>
      <c r="BP52" s="9"/>
      <c r="BQ52" s="10">
        <v>0</v>
      </c>
      <c r="BR52" s="19">
        <v>21.6</v>
      </c>
      <c r="BS52" s="10">
        <v>15.12</v>
      </c>
      <c r="BT52" s="9"/>
      <c r="BU52" s="10">
        <v>0</v>
      </c>
      <c r="BV52" s="9">
        <v>1</v>
      </c>
      <c r="BW52" s="10">
        <v>0.7</v>
      </c>
      <c r="BX52" s="9">
        <v>27</v>
      </c>
      <c r="BY52" s="10">
        <v>18.899999999999999</v>
      </c>
      <c r="BZ52" s="9">
        <v>1</v>
      </c>
      <c r="CA52" s="10">
        <v>0.7</v>
      </c>
      <c r="CB52" s="9">
        <v>1</v>
      </c>
      <c r="CC52" s="10">
        <v>0.7</v>
      </c>
      <c r="CD52" s="9">
        <v>4</v>
      </c>
      <c r="CE52" s="10">
        <v>2.8</v>
      </c>
      <c r="CF52" s="9">
        <v>1</v>
      </c>
      <c r="CG52" s="10">
        <v>0.7</v>
      </c>
      <c r="CH52" s="11">
        <v>11.916666666666666</v>
      </c>
      <c r="CI52" s="12">
        <v>8.341666666666665</v>
      </c>
      <c r="CJ52" s="13">
        <v>11</v>
      </c>
      <c r="CK52" s="10">
        <v>7.6999999999999993</v>
      </c>
      <c r="CL52" s="14"/>
      <c r="CM52" s="10">
        <v>0</v>
      </c>
      <c r="CN52" s="14"/>
      <c r="CO52" s="15">
        <v>0</v>
      </c>
      <c r="CP52" s="14"/>
      <c r="CQ52" s="15">
        <v>0</v>
      </c>
      <c r="CR52" s="14"/>
      <c r="CS52" s="15">
        <v>0</v>
      </c>
      <c r="CT52" s="14"/>
      <c r="CU52" s="15">
        <v>0</v>
      </c>
      <c r="CV52" s="14"/>
      <c r="CW52" s="15">
        <v>0</v>
      </c>
      <c r="CX52" s="14"/>
      <c r="CY52" s="15">
        <v>0</v>
      </c>
      <c r="CZ52" s="14"/>
      <c r="DA52" s="15">
        <v>0</v>
      </c>
      <c r="DB52" s="14"/>
      <c r="DC52" s="15">
        <v>0</v>
      </c>
      <c r="DD52" s="14"/>
      <c r="DE52" s="15">
        <v>0</v>
      </c>
      <c r="DF52" s="14"/>
      <c r="DG52" s="15">
        <v>0</v>
      </c>
      <c r="DH52" s="14"/>
      <c r="DI52" s="15">
        <v>0</v>
      </c>
      <c r="DJ52" s="15"/>
      <c r="DK52" s="15"/>
      <c r="DL52" s="16">
        <v>0</v>
      </c>
      <c r="DM52" s="17">
        <v>0</v>
      </c>
      <c r="DX52" s="52">
        <v>0</v>
      </c>
    </row>
    <row r="53" spans="1:128" hidden="1">
      <c r="A53" s="7">
        <v>110</v>
      </c>
      <c r="B53" s="8" t="s">
        <v>47</v>
      </c>
      <c r="C53" s="8" t="s">
        <v>14</v>
      </c>
      <c r="D53" s="7">
        <v>4</v>
      </c>
      <c r="E53" s="7">
        <v>0.35</v>
      </c>
      <c r="F53" s="7" t="s">
        <v>18</v>
      </c>
      <c r="G53" s="7">
        <v>2300</v>
      </c>
      <c r="H53" s="9">
        <v>72</v>
      </c>
      <c r="I53" s="10">
        <v>25.2</v>
      </c>
      <c r="J53" s="9">
        <v>6</v>
      </c>
      <c r="K53" s="10">
        <v>2.0999999999999996</v>
      </c>
      <c r="L53" s="9"/>
      <c r="M53" s="10">
        <v>0</v>
      </c>
      <c r="N53" s="9">
        <v>144</v>
      </c>
      <c r="O53" s="10">
        <v>50.4</v>
      </c>
      <c r="P53" s="9">
        <v>34</v>
      </c>
      <c r="Q53" s="10">
        <v>11.899999999999999</v>
      </c>
      <c r="R53" s="9">
        <v>6</v>
      </c>
      <c r="S53" s="10">
        <v>2.0999999999999996</v>
      </c>
      <c r="T53" s="9">
        <v>24</v>
      </c>
      <c r="U53" s="10">
        <v>8.3999999999999986</v>
      </c>
      <c r="V53" s="9">
        <v>48</v>
      </c>
      <c r="W53" s="10">
        <v>16.799999999999997</v>
      </c>
      <c r="X53" s="9">
        <v>24</v>
      </c>
      <c r="Y53" s="10">
        <v>8.3999999999999986</v>
      </c>
      <c r="Z53" s="9"/>
      <c r="AA53" s="10">
        <v>0</v>
      </c>
      <c r="AB53" s="9"/>
      <c r="AC53" s="10">
        <v>0</v>
      </c>
      <c r="AD53" s="9"/>
      <c r="AE53" s="10">
        <v>0</v>
      </c>
      <c r="AF53" s="11">
        <v>29.833333333333332</v>
      </c>
      <c r="AG53" s="12">
        <v>10.441666666666666</v>
      </c>
      <c r="AH53" s="9">
        <v>102</v>
      </c>
      <c r="AI53" s="10">
        <v>35.699999999999996</v>
      </c>
      <c r="AJ53" s="9">
        <v>6</v>
      </c>
      <c r="AK53" s="10">
        <v>2.0999999999999996</v>
      </c>
      <c r="AL53" s="9"/>
      <c r="AM53" s="10">
        <v>0</v>
      </c>
      <c r="AN53" s="9">
        <v>1</v>
      </c>
      <c r="AO53" s="10">
        <v>0.35</v>
      </c>
      <c r="AP53" s="9"/>
      <c r="AQ53" s="10">
        <v>0</v>
      </c>
      <c r="AR53" s="9"/>
      <c r="AS53" s="10">
        <v>0</v>
      </c>
      <c r="AT53" s="9"/>
      <c r="AU53" s="10">
        <v>0</v>
      </c>
      <c r="AV53" s="9"/>
      <c r="AW53" s="10">
        <v>0</v>
      </c>
      <c r="AX53" s="9"/>
      <c r="AY53" s="10">
        <v>0</v>
      </c>
      <c r="AZ53" s="9">
        <v>12</v>
      </c>
      <c r="BA53" s="10">
        <v>4.1999999999999993</v>
      </c>
      <c r="BB53" s="9">
        <v>12</v>
      </c>
      <c r="BC53" s="10">
        <v>4.1999999999999993</v>
      </c>
      <c r="BD53" s="9">
        <v>48</v>
      </c>
      <c r="BE53" s="10">
        <v>16.799999999999997</v>
      </c>
      <c r="BF53" s="11">
        <v>15.083333333333334</v>
      </c>
      <c r="BG53" s="12">
        <v>5.2791666666666668</v>
      </c>
      <c r="BH53" s="9">
        <v>48</v>
      </c>
      <c r="BI53" s="10">
        <v>16.799999999999997</v>
      </c>
      <c r="BJ53" s="9">
        <v>28</v>
      </c>
      <c r="BK53" s="10">
        <v>9.7999999999999989</v>
      </c>
      <c r="BL53" s="9">
        <v>112</v>
      </c>
      <c r="BM53" s="10">
        <v>39.199999999999996</v>
      </c>
      <c r="BN53" s="9"/>
      <c r="BO53" s="10">
        <v>0</v>
      </c>
      <c r="BP53" s="9"/>
      <c r="BQ53" s="10">
        <v>0</v>
      </c>
      <c r="BR53" s="19">
        <v>37.6</v>
      </c>
      <c r="BS53" s="10">
        <v>13.159999999999997</v>
      </c>
      <c r="BT53" s="9"/>
      <c r="BU53" s="10">
        <v>0</v>
      </c>
      <c r="BV53" s="9"/>
      <c r="BW53" s="10">
        <v>0</v>
      </c>
      <c r="BX53" s="9">
        <v>48</v>
      </c>
      <c r="BY53" s="10">
        <v>16.799999999999997</v>
      </c>
      <c r="BZ53" s="9"/>
      <c r="CA53" s="10">
        <v>0</v>
      </c>
      <c r="CB53" s="9"/>
      <c r="CC53" s="10">
        <v>0</v>
      </c>
      <c r="CD53" s="9">
        <v>1</v>
      </c>
      <c r="CE53" s="10">
        <v>0.35</v>
      </c>
      <c r="CF53" s="9">
        <v>10</v>
      </c>
      <c r="CG53" s="10">
        <v>3.5</v>
      </c>
      <c r="CH53" s="11">
        <v>20.583333333333332</v>
      </c>
      <c r="CI53" s="12">
        <v>7.2041666666666657</v>
      </c>
      <c r="CJ53" s="13">
        <v>21</v>
      </c>
      <c r="CK53" s="10">
        <v>7.35</v>
      </c>
      <c r="CL53" s="14"/>
      <c r="CM53" s="10">
        <v>0</v>
      </c>
      <c r="CN53" s="14"/>
      <c r="CO53" s="15">
        <v>0</v>
      </c>
      <c r="CP53" s="14"/>
      <c r="CQ53" s="15">
        <v>0</v>
      </c>
      <c r="CR53" s="14"/>
      <c r="CS53" s="15">
        <v>0</v>
      </c>
      <c r="CT53" s="14"/>
      <c r="CU53" s="15">
        <v>0</v>
      </c>
      <c r="CV53" s="14"/>
      <c r="CW53" s="15">
        <v>0</v>
      </c>
      <c r="CX53" s="14"/>
      <c r="CY53" s="15">
        <v>0</v>
      </c>
      <c r="CZ53" s="14"/>
      <c r="DA53" s="15">
        <v>0</v>
      </c>
      <c r="DB53" s="14"/>
      <c r="DC53" s="15">
        <v>0</v>
      </c>
      <c r="DD53" s="14"/>
      <c r="DE53" s="15">
        <v>0</v>
      </c>
      <c r="DF53" s="14"/>
      <c r="DG53" s="15">
        <v>0</v>
      </c>
      <c r="DH53" s="14"/>
      <c r="DI53" s="15">
        <v>0</v>
      </c>
      <c r="DJ53" s="15"/>
      <c r="DK53" s="15"/>
      <c r="DL53" s="16">
        <v>0</v>
      </c>
      <c r="DM53" s="17">
        <v>0</v>
      </c>
      <c r="DX53" s="52">
        <v>0</v>
      </c>
    </row>
    <row r="54" spans="1:128" hidden="1">
      <c r="A54" s="7">
        <v>111</v>
      </c>
      <c r="B54" s="8" t="s">
        <v>48</v>
      </c>
      <c r="C54" s="8" t="s">
        <v>14</v>
      </c>
      <c r="D54" s="7">
        <v>4</v>
      </c>
      <c r="E54" s="7">
        <v>0.17499999999999999</v>
      </c>
      <c r="F54" s="7" t="s">
        <v>49</v>
      </c>
      <c r="G54" s="7">
        <v>1300</v>
      </c>
      <c r="H54" s="9"/>
      <c r="I54" s="10">
        <v>0</v>
      </c>
      <c r="J54" s="9"/>
      <c r="K54" s="10">
        <v>0</v>
      </c>
      <c r="L54" s="9"/>
      <c r="M54" s="10">
        <v>0</v>
      </c>
      <c r="N54" s="9"/>
      <c r="O54" s="10">
        <v>0</v>
      </c>
      <c r="P54" s="9"/>
      <c r="Q54" s="10">
        <v>0</v>
      </c>
      <c r="R54" s="9"/>
      <c r="S54" s="10">
        <v>0</v>
      </c>
      <c r="T54" s="9"/>
      <c r="U54" s="10">
        <v>0</v>
      </c>
      <c r="V54" s="9"/>
      <c r="W54" s="10">
        <v>0</v>
      </c>
      <c r="X54" s="9"/>
      <c r="Y54" s="10">
        <v>0</v>
      </c>
      <c r="Z54" s="9"/>
      <c r="AA54" s="10">
        <v>0</v>
      </c>
      <c r="AB54" s="9"/>
      <c r="AC54" s="10">
        <v>0</v>
      </c>
      <c r="AD54" s="9"/>
      <c r="AE54" s="10">
        <v>0</v>
      </c>
      <c r="AF54" s="11">
        <v>0</v>
      </c>
      <c r="AG54" s="12">
        <v>0</v>
      </c>
      <c r="AH54" s="9"/>
      <c r="AI54" s="10">
        <v>0</v>
      </c>
      <c r="AJ54" s="9"/>
      <c r="AK54" s="10">
        <v>0</v>
      </c>
      <c r="AL54" s="9"/>
      <c r="AM54" s="10">
        <v>0</v>
      </c>
      <c r="AN54" s="9"/>
      <c r="AO54" s="10">
        <v>0</v>
      </c>
      <c r="AP54" s="9"/>
      <c r="AQ54" s="10">
        <v>0</v>
      </c>
      <c r="AR54" s="9"/>
      <c r="AS54" s="10">
        <v>0</v>
      </c>
      <c r="AT54" s="9"/>
      <c r="AU54" s="10">
        <v>0</v>
      </c>
      <c r="AV54" s="9"/>
      <c r="AW54" s="10">
        <v>0</v>
      </c>
      <c r="AX54" s="9"/>
      <c r="AY54" s="10">
        <v>0</v>
      </c>
      <c r="AZ54" s="9"/>
      <c r="BA54" s="10">
        <v>0</v>
      </c>
      <c r="BB54" s="9"/>
      <c r="BC54" s="10">
        <v>0</v>
      </c>
      <c r="BD54" s="9"/>
      <c r="BE54" s="10">
        <v>0</v>
      </c>
      <c r="BF54" s="11">
        <v>0</v>
      </c>
      <c r="BG54" s="12">
        <v>0</v>
      </c>
      <c r="BH54" s="9"/>
      <c r="BI54" s="10">
        <v>0</v>
      </c>
      <c r="BJ54" s="9">
        <v>55</v>
      </c>
      <c r="BK54" s="10">
        <v>9.625</v>
      </c>
      <c r="BL54" s="9">
        <v>270</v>
      </c>
      <c r="BM54" s="10">
        <v>47.25</v>
      </c>
      <c r="BN54" s="9"/>
      <c r="BO54" s="10">
        <v>0</v>
      </c>
      <c r="BP54" s="9"/>
      <c r="BQ54" s="10">
        <v>0</v>
      </c>
      <c r="BR54" s="19">
        <v>65</v>
      </c>
      <c r="BS54" s="10">
        <v>11.375</v>
      </c>
      <c r="BT54" s="9"/>
      <c r="BU54" s="10">
        <v>0</v>
      </c>
      <c r="BV54" s="9"/>
      <c r="BW54" s="10">
        <v>0</v>
      </c>
      <c r="BX54" s="9"/>
      <c r="BY54" s="10">
        <v>0</v>
      </c>
      <c r="BZ54" s="9"/>
      <c r="CA54" s="10">
        <v>0</v>
      </c>
      <c r="CB54" s="9"/>
      <c r="CC54" s="10">
        <v>0</v>
      </c>
      <c r="CD54" s="9"/>
      <c r="CE54" s="10">
        <v>0</v>
      </c>
      <c r="CF54" s="9"/>
      <c r="CG54" s="10">
        <v>0</v>
      </c>
      <c r="CH54" s="11">
        <v>27.083333333333332</v>
      </c>
      <c r="CI54" s="12">
        <v>4.739583333333333</v>
      </c>
      <c r="CJ54" s="13">
        <v>27</v>
      </c>
      <c r="CK54" s="10">
        <v>4.7249999999999996</v>
      </c>
      <c r="CL54" s="14"/>
      <c r="CM54" s="10">
        <v>0</v>
      </c>
      <c r="CN54" s="14"/>
      <c r="CO54" s="15">
        <v>0</v>
      </c>
      <c r="CP54" s="14"/>
      <c r="CQ54" s="15">
        <v>0</v>
      </c>
      <c r="CR54" s="14"/>
      <c r="CS54" s="15">
        <v>0</v>
      </c>
      <c r="CT54" s="14"/>
      <c r="CU54" s="15">
        <v>0</v>
      </c>
      <c r="CV54" s="14"/>
      <c r="CW54" s="15">
        <v>0</v>
      </c>
      <c r="CX54" s="14"/>
      <c r="CY54" s="15">
        <v>0</v>
      </c>
      <c r="CZ54" s="14"/>
      <c r="DA54" s="15">
        <v>0</v>
      </c>
      <c r="DB54" s="14"/>
      <c r="DC54" s="15">
        <v>0</v>
      </c>
      <c r="DD54" s="14"/>
      <c r="DE54" s="15">
        <v>0</v>
      </c>
      <c r="DF54" s="14"/>
      <c r="DG54" s="15">
        <v>0</v>
      </c>
      <c r="DH54" s="14"/>
      <c r="DI54" s="15">
        <v>0</v>
      </c>
      <c r="DJ54" s="15"/>
      <c r="DK54" s="15"/>
      <c r="DL54" s="16">
        <v>0</v>
      </c>
      <c r="DM54" s="17">
        <v>0</v>
      </c>
      <c r="DX54" s="52">
        <v>0</v>
      </c>
    </row>
    <row r="55" spans="1:128" hidden="1">
      <c r="A55" s="7">
        <v>112</v>
      </c>
      <c r="B55" s="8" t="s">
        <v>50</v>
      </c>
      <c r="C55" s="8" t="s">
        <v>14</v>
      </c>
      <c r="D55" s="7">
        <v>3</v>
      </c>
      <c r="E55" s="7">
        <v>0.7</v>
      </c>
      <c r="F55" s="7" t="s">
        <v>15</v>
      </c>
      <c r="G55" s="7">
        <v>5200</v>
      </c>
      <c r="H55" s="9">
        <v>8306</v>
      </c>
      <c r="I55" s="10">
        <v>5814.2</v>
      </c>
      <c r="J55" s="9">
        <v>1847</v>
      </c>
      <c r="K55" s="10">
        <v>1292.8999999999999</v>
      </c>
      <c r="L55" s="9">
        <v>2348</v>
      </c>
      <c r="M55" s="10">
        <v>1643.6</v>
      </c>
      <c r="N55" s="9">
        <v>5341</v>
      </c>
      <c r="O55" s="10">
        <v>3738.7</v>
      </c>
      <c r="P55" s="9">
        <v>1829</v>
      </c>
      <c r="Q55" s="10">
        <v>1280.3</v>
      </c>
      <c r="R55" s="9">
        <v>1932</v>
      </c>
      <c r="S55" s="10">
        <v>1352.3999999999999</v>
      </c>
      <c r="T55" s="9">
        <v>2389</v>
      </c>
      <c r="U55" s="10">
        <v>1672.3</v>
      </c>
      <c r="V55" s="9">
        <v>1652</v>
      </c>
      <c r="W55" s="10">
        <v>1156.3999999999999</v>
      </c>
      <c r="X55" s="9">
        <v>906</v>
      </c>
      <c r="Y55" s="10">
        <v>634.19999999999993</v>
      </c>
      <c r="Z55" s="9">
        <v>977</v>
      </c>
      <c r="AA55" s="10">
        <v>683.9</v>
      </c>
      <c r="AB55" s="9">
        <v>1059</v>
      </c>
      <c r="AC55" s="10">
        <v>741.3</v>
      </c>
      <c r="AD55" s="9">
        <v>1318</v>
      </c>
      <c r="AE55" s="10">
        <v>922.59999999999991</v>
      </c>
      <c r="AF55" s="11">
        <v>2492</v>
      </c>
      <c r="AG55" s="12">
        <v>1744.3999999999999</v>
      </c>
      <c r="AH55" s="9">
        <v>1243</v>
      </c>
      <c r="AI55" s="10">
        <v>870.09999999999991</v>
      </c>
      <c r="AJ55" s="9">
        <v>972</v>
      </c>
      <c r="AK55" s="10">
        <v>680.4</v>
      </c>
      <c r="AL55" s="9">
        <v>910</v>
      </c>
      <c r="AM55" s="10">
        <v>637</v>
      </c>
      <c r="AN55" s="9">
        <v>759</v>
      </c>
      <c r="AO55" s="10">
        <v>531.29999999999995</v>
      </c>
      <c r="AP55" s="9">
        <v>837</v>
      </c>
      <c r="AQ55" s="10">
        <v>585.9</v>
      </c>
      <c r="AR55" s="9">
        <v>559</v>
      </c>
      <c r="AS55" s="10">
        <v>391.29999999999995</v>
      </c>
      <c r="AT55" s="9">
        <v>616</v>
      </c>
      <c r="AU55" s="10">
        <v>431.2</v>
      </c>
      <c r="AV55" s="9">
        <v>671</v>
      </c>
      <c r="AW55" s="10">
        <v>469.7</v>
      </c>
      <c r="AX55" s="9">
        <v>625</v>
      </c>
      <c r="AY55" s="10">
        <v>437.5</v>
      </c>
      <c r="AZ55" s="9">
        <v>439</v>
      </c>
      <c r="BA55" s="10">
        <v>307.29999999999995</v>
      </c>
      <c r="BB55" s="9">
        <v>471</v>
      </c>
      <c r="BC55" s="10">
        <v>329.7</v>
      </c>
      <c r="BD55" s="9">
        <v>1158</v>
      </c>
      <c r="BE55" s="10">
        <v>810.59999999999991</v>
      </c>
      <c r="BF55" s="11">
        <v>771.66666666666663</v>
      </c>
      <c r="BG55" s="12">
        <v>540.16666666666663</v>
      </c>
      <c r="BH55" s="9">
        <v>588</v>
      </c>
      <c r="BI55" s="10">
        <v>411.59999999999997</v>
      </c>
      <c r="BJ55" s="9">
        <v>956</v>
      </c>
      <c r="BK55" s="10">
        <v>669.19999999999993</v>
      </c>
      <c r="BL55" s="9">
        <v>967</v>
      </c>
      <c r="BM55" s="10">
        <v>676.9</v>
      </c>
      <c r="BN55" s="9">
        <v>516</v>
      </c>
      <c r="BO55" s="10">
        <v>361.2</v>
      </c>
      <c r="BP55" s="9">
        <v>220</v>
      </c>
      <c r="BQ55" s="10">
        <v>154</v>
      </c>
      <c r="BR55" s="19">
        <v>649.4</v>
      </c>
      <c r="BS55" s="10">
        <v>454.57999999999993</v>
      </c>
      <c r="BT55" s="9">
        <v>623</v>
      </c>
      <c r="BU55" s="10">
        <v>436.09999999999997</v>
      </c>
      <c r="BV55" s="9">
        <v>657</v>
      </c>
      <c r="BW55" s="10">
        <v>459.9</v>
      </c>
      <c r="BX55" s="9">
        <v>291</v>
      </c>
      <c r="BY55" s="10">
        <v>203.7</v>
      </c>
      <c r="BZ55" s="9">
        <v>228</v>
      </c>
      <c r="CA55" s="10">
        <v>159.6</v>
      </c>
      <c r="CB55" s="9">
        <v>450</v>
      </c>
      <c r="CC55" s="10">
        <v>315</v>
      </c>
      <c r="CD55" s="9">
        <v>234</v>
      </c>
      <c r="CE55" s="10">
        <v>163.79999999999998</v>
      </c>
      <c r="CF55" s="9">
        <v>90</v>
      </c>
      <c r="CG55" s="10">
        <v>62.999999999999993</v>
      </c>
      <c r="CH55" s="11">
        <v>485</v>
      </c>
      <c r="CI55" s="12">
        <v>339.5</v>
      </c>
      <c r="CJ55" s="13">
        <v>485</v>
      </c>
      <c r="CK55" s="10">
        <v>339.5</v>
      </c>
      <c r="CL55" s="14">
        <v>61</v>
      </c>
      <c r="CM55" s="10">
        <v>42.699999999999996</v>
      </c>
      <c r="CN55" s="14">
        <v>78</v>
      </c>
      <c r="CO55" s="15">
        <v>54.599999999999994</v>
      </c>
      <c r="CP55" s="14">
        <v>12</v>
      </c>
      <c r="CQ55" s="15">
        <v>8.3999999999999986</v>
      </c>
      <c r="CR55" s="14">
        <v>54</v>
      </c>
      <c r="CS55" s="15">
        <v>37.799999999999997</v>
      </c>
      <c r="CT55" s="14">
        <v>42</v>
      </c>
      <c r="CU55" s="15">
        <v>29.4</v>
      </c>
      <c r="CV55" s="14"/>
      <c r="CW55" s="15">
        <v>0</v>
      </c>
      <c r="CX55" s="14"/>
      <c r="CY55" s="15">
        <v>0</v>
      </c>
      <c r="CZ55" s="14"/>
      <c r="DA55" s="15">
        <v>0</v>
      </c>
      <c r="DB55" s="14"/>
      <c r="DC55" s="15">
        <v>0</v>
      </c>
      <c r="DD55" s="14"/>
      <c r="DE55" s="15">
        <v>0</v>
      </c>
      <c r="DF55" s="14"/>
      <c r="DG55" s="15">
        <v>0</v>
      </c>
      <c r="DH55" s="14"/>
      <c r="DI55" s="15">
        <v>0</v>
      </c>
      <c r="DJ55" s="15"/>
      <c r="DK55" s="15"/>
      <c r="DL55" s="16">
        <v>247</v>
      </c>
      <c r="DM55" s="17">
        <v>172.9</v>
      </c>
      <c r="DX55" s="52">
        <v>0</v>
      </c>
    </row>
    <row r="56" spans="1:128" hidden="1">
      <c r="A56" s="7">
        <v>113</v>
      </c>
      <c r="B56" s="8" t="s">
        <v>51</v>
      </c>
      <c r="C56" s="8" t="s">
        <v>14</v>
      </c>
      <c r="D56" s="7">
        <v>1</v>
      </c>
      <c r="E56" s="7">
        <v>0.35</v>
      </c>
      <c r="F56" s="7" t="s">
        <v>18</v>
      </c>
      <c r="G56" s="7">
        <v>2600</v>
      </c>
      <c r="H56" s="9">
        <v>8074</v>
      </c>
      <c r="I56" s="10">
        <v>2825.8999999999996</v>
      </c>
      <c r="J56" s="9">
        <v>3737</v>
      </c>
      <c r="K56" s="10">
        <v>1307.9499999999998</v>
      </c>
      <c r="L56" s="9">
        <v>3229</v>
      </c>
      <c r="M56" s="10">
        <v>1130.1499999999999</v>
      </c>
      <c r="N56" s="9">
        <v>15733</v>
      </c>
      <c r="O56" s="10">
        <v>5506.5499999999993</v>
      </c>
      <c r="P56" s="9">
        <v>2024</v>
      </c>
      <c r="Q56" s="10">
        <v>708.4</v>
      </c>
      <c r="R56" s="9">
        <v>2233</v>
      </c>
      <c r="S56" s="10">
        <v>781.55</v>
      </c>
      <c r="T56" s="9">
        <v>3481</v>
      </c>
      <c r="U56" s="10">
        <v>1218.3499999999999</v>
      </c>
      <c r="V56" s="9">
        <v>1781</v>
      </c>
      <c r="W56" s="10">
        <v>623.34999999999991</v>
      </c>
      <c r="X56" s="9">
        <v>1002</v>
      </c>
      <c r="Y56" s="10">
        <v>350.7</v>
      </c>
      <c r="Z56" s="9">
        <v>1282</v>
      </c>
      <c r="AA56" s="10">
        <v>448.7</v>
      </c>
      <c r="AB56" s="9">
        <v>1233</v>
      </c>
      <c r="AC56" s="10">
        <v>431.54999999999995</v>
      </c>
      <c r="AD56" s="9">
        <v>2318</v>
      </c>
      <c r="AE56" s="10">
        <v>811.3</v>
      </c>
      <c r="AF56" s="11">
        <v>3843.9166666666665</v>
      </c>
      <c r="AG56" s="12">
        <v>1345.3708333333332</v>
      </c>
      <c r="AH56" s="9">
        <v>2052</v>
      </c>
      <c r="AI56" s="10">
        <v>718.19999999999993</v>
      </c>
      <c r="AJ56" s="9">
        <v>1638</v>
      </c>
      <c r="AK56" s="10">
        <v>573.29999999999995</v>
      </c>
      <c r="AL56" s="9">
        <v>925</v>
      </c>
      <c r="AM56" s="10">
        <v>323.75</v>
      </c>
      <c r="AN56" s="9">
        <v>1689</v>
      </c>
      <c r="AO56" s="10">
        <v>591.15</v>
      </c>
      <c r="AP56" s="9">
        <v>873</v>
      </c>
      <c r="AQ56" s="10">
        <v>305.54999999999995</v>
      </c>
      <c r="AR56" s="9">
        <v>858</v>
      </c>
      <c r="AS56" s="10">
        <v>300.29999999999995</v>
      </c>
      <c r="AT56" s="9">
        <v>644</v>
      </c>
      <c r="AU56" s="10">
        <v>225.39999999999998</v>
      </c>
      <c r="AV56" s="9">
        <v>1074</v>
      </c>
      <c r="AW56" s="10">
        <v>375.9</v>
      </c>
      <c r="AX56" s="9">
        <v>944</v>
      </c>
      <c r="AY56" s="10">
        <v>330.4</v>
      </c>
      <c r="AZ56" s="9">
        <v>821</v>
      </c>
      <c r="BA56" s="10">
        <v>287.34999999999997</v>
      </c>
      <c r="BB56" s="9">
        <v>688</v>
      </c>
      <c r="BC56" s="10">
        <v>240.79999999999998</v>
      </c>
      <c r="BD56" s="9">
        <v>1560</v>
      </c>
      <c r="BE56" s="10">
        <v>546</v>
      </c>
      <c r="BF56" s="11">
        <v>1147.1666666666667</v>
      </c>
      <c r="BG56" s="12">
        <v>401.50833333333333</v>
      </c>
      <c r="BH56" s="9">
        <v>792</v>
      </c>
      <c r="BI56" s="10">
        <v>277.2</v>
      </c>
      <c r="BJ56" s="9">
        <v>647</v>
      </c>
      <c r="BK56" s="10">
        <v>226.45</v>
      </c>
      <c r="BL56" s="9">
        <v>1040</v>
      </c>
      <c r="BM56" s="10">
        <v>364</v>
      </c>
      <c r="BN56" s="9">
        <v>691</v>
      </c>
      <c r="BO56" s="10">
        <v>241.85</v>
      </c>
      <c r="BP56" s="9">
        <v>386</v>
      </c>
      <c r="BQ56" s="10">
        <v>135.1</v>
      </c>
      <c r="BR56" s="19">
        <v>711.2</v>
      </c>
      <c r="BS56" s="10">
        <v>248.92</v>
      </c>
      <c r="BT56" s="9">
        <v>428</v>
      </c>
      <c r="BU56" s="10">
        <v>149.79999999999998</v>
      </c>
      <c r="BV56" s="9">
        <v>749</v>
      </c>
      <c r="BW56" s="10">
        <v>262.14999999999998</v>
      </c>
      <c r="BX56" s="9">
        <v>888</v>
      </c>
      <c r="BY56" s="10">
        <v>310.79999999999995</v>
      </c>
      <c r="BZ56" s="9">
        <v>684</v>
      </c>
      <c r="CA56" s="10">
        <v>239.39999999999998</v>
      </c>
      <c r="CB56" s="9">
        <v>1092</v>
      </c>
      <c r="CC56" s="10">
        <v>382.2</v>
      </c>
      <c r="CD56" s="9">
        <v>936</v>
      </c>
      <c r="CE56" s="10">
        <v>327.59999999999997</v>
      </c>
      <c r="CF56" s="9">
        <v>288</v>
      </c>
      <c r="CG56" s="10">
        <v>100.8</v>
      </c>
      <c r="CH56" s="11">
        <v>718.41666666666663</v>
      </c>
      <c r="CI56" s="12">
        <v>251.4458333333333</v>
      </c>
      <c r="CJ56" s="13">
        <v>718</v>
      </c>
      <c r="CK56" s="10">
        <v>251.29999999999998</v>
      </c>
      <c r="CL56" s="14">
        <v>96</v>
      </c>
      <c r="CM56" s="10">
        <v>33.599999999999994</v>
      </c>
      <c r="CN56" s="14">
        <v>432</v>
      </c>
      <c r="CO56" s="15">
        <v>151.19999999999999</v>
      </c>
      <c r="CP56" s="14">
        <v>168</v>
      </c>
      <c r="CQ56" s="15">
        <v>58.8</v>
      </c>
      <c r="CR56" s="14">
        <v>244</v>
      </c>
      <c r="CS56" s="15">
        <v>85.399999999999991</v>
      </c>
      <c r="CT56" s="14">
        <v>246</v>
      </c>
      <c r="CU56" s="15">
        <v>86.1</v>
      </c>
      <c r="CV56" s="14"/>
      <c r="CW56" s="15">
        <v>0</v>
      </c>
      <c r="CX56" s="14"/>
      <c r="CY56" s="15">
        <v>0</v>
      </c>
      <c r="CZ56" s="14"/>
      <c r="DA56" s="15">
        <v>0</v>
      </c>
      <c r="DB56" s="14"/>
      <c r="DC56" s="15">
        <v>0</v>
      </c>
      <c r="DD56" s="14"/>
      <c r="DE56" s="15">
        <v>0</v>
      </c>
      <c r="DF56" s="14"/>
      <c r="DG56" s="15">
        <v>0</v>
      </c>
      <c r="DH56" s="14"/>
      <c r="DI56" s="15">
        <v>0</v>
      </c>
      <c r="DJ56" s="15"/>
      <c r="DK56" s="15"/>
      <c r="DL56" s="16">
        <v>1186</v>
      </c>
      <c r="DM56" s="17">
        <v>415.09999999999991</v>
      </c>
      <c r="DX56" s="52">
        <v>0</v>
      </c>
    </row>
    <row r="57" spans="1:128" hidden="1">
      <c r="A57" s="7">
        <v>114</v>
      </c>
      <c r="B57" s="8" t="s">
        <v>52</v>
      </c>
      <c r="C57" s="8" t="s">
        <v>14</v>
      </c>
      <c r="D57" s="7">
        <v>2</v>
      </c>
      <c r="E57" s="7">
        <v>0.17499999999999999</v>
      </c>
      <c r="F57" s="7" t="s">
        <v>49</v>
      </c>
      <c r="G57" s="7">
        <v>1450</v>
      </c>
      <c r="H57" s="9">
        <v>2394</v>
      </c>
      <c r="I57" s="10">
        <v>418.95</v>
      </c>
      <c r="J57" s="9">
        <v>970</v>
      </c>
      <c r="K57" s="10">
        <v>169.75</v>
      </c>
      <c r="L57" s="9">
        <v>814</v>
      </c>
      <c r="M57" s="10">
        <v>142.44999999999999</v>
      </c>
      <c r="N57" s="9">
        <v>10591</v>
      </c>
      <c r="O57" s="10">
        <v>1853.425</v>
      </c>
      <c r="P57" s="9">
        <v>948</v>
      </c>
      <c r="Q57" s="10">
        <v>165.89999999999998</v>
      </c>
      <c r="R57" s="9">
        <v>1330</v>
      </c>
      <c r="S57" s="10">
        <v>232.74999999999997</v>
      </c>
      <c r="T57" s="9">
        <v>703</v>
      </c>
      <c r="U57" s="10">
        <v>123.02499999999999</v>
      </c>
      <c r="V57" s="9">
        <v>542</v>
      </c>
      <c r="W57" s="10">
        <v>94.85</v>
      </c>
      <c r="X57" s="9">
        <v>357</v>
      </c>
      <c r="Y57" s="10">
        <v>62.474999999999994</v>
      </c>
      <c r="Z57" s="9">
        <v>429</v>
      </c>
      <c r="AA57" s="10">
        <v>75.074999999999989</v>
      </c>
      <c r="AB57" s="9">
        <v>370</v>
      </c>
      <c r="AC57" s="10">
        <v>64.75</v>
      </c>
      <c r="AD57" s="9">
        <v>335</v>
      </c>
      <c r="AE57" s="10">
        <v>58.624999999999993</v>
      </c>
      <c r="AF57" s="11">
        <v>1648.5833333333333</v>
      </c>
      <c r="AG57" s="12">
        <v>288.5020833333333</v>
      </c>
      <c r="AH57" s="9">
        <v>838</v>
      </c>
      <c r="AI57" s="10">
        <v>146.64999999999998</v>
      </c>
      <c r="AJ57" s="9">
        <v>532</v>
      </c>
      <c r="AK57" s="10">
        <v>93.1</v>
      </c>
      <c r="AL57" s="9">
        <v>158</v>
      </c>
      <c r="AM57" s="10">
        <v>27.65</v>
      </c>
      <c r="AN57" s="9">
        <v>492</v>
      </c>
      <c r="AO57" s="10">
        <v>86.1</v>
      </c>
      <c r="AP57" s="9">
        <v>227</v>
      </c>
      <c r="AQ57" s="10">
        <v>39.724999999999994</v>
      </c>
      <c r="AR57" s="9">
        <v>272</v>
      </c>
      <c r="AS57" s="10">
        <v>47.599999999999994</v>
      </c>
      <c r="AT57" s="9">
        <v>245</v>
      </c>
      <c r="AU57" s="10">
        <v>42.875</v>
      </c>
      <c r="AV57" s="9">
        <v>197</v>
      </c>
      <c r="AW57" s="10">
        <v>34.474999999999994</v>
      </c>
      <c r="AX57" s="9">
        <v>392</v>
      </c>
      <c r="AY57" s="10">
        <v>68.599999999999994</v>
      </c>
      <c r="AZ57" s="9">
        <v>940</v>
      </c>
      <c r="BA57" s="10">
        <v>164.5</v>
      </c>
      <c r="BB57" s="9">
        <v>160</v>
      </c>
      <c r="BC57" s="10">
        <v>28</v>
      </c>
      <c r="BD57" s="9">
        <v>2595</v>
      </c>
      <c r="BE57" s="10">
        <v>454.12499999999994</v>
      </c>
      <c r="BF57" s="11">
        <v>587.33333333333337</v>
      </c>
      <c r="BG57" s="12">
        <v>102.78333333333333</v>
      </c>
      <c r="BH57" s="9">
        <v>48</v>
      </c>
      <c r="BI57" s="10">
        <v>8.3999999999999986</v>
      </c>
      <c r="BJ57" s="9">
        <v>268</v>
      </c>
      <c r="BK57" s="10">
        <v>46.9</v>
      </c>
      <c r="BL57" s="9">
        <v>520</v>
      </c>
      <c r="BM57" s="10">
        <v>91</v>
      </c>
      <c r="BN57" s="9">
        <v>526</v>
      </c>
      <c r="BO57" s="10">
        <v>92.05</v>
      </c>
      <c r="BP57" s="9">
        <v>234</v>
      </c>
      <c r="BQ57" s="10">
        <v>40.949999999999996</v>
      </c>
      <c r="BR57" s="19">
        <v>319.2</v>
      </c>
      <c r="BS57" s="10">
        <v>55.86</v>
      </c>
      <c r="BT57" s="9">
        <v>437</v>
      </c>
      <c r="BU57" s="10">
        <v>76.474999999999994</v>
      </c>
      <c r="BV57" s="9">
        <v>118</v>
      </c>
      <c r="BW57" s="10">
        <v>20.65</v>
      </c>
      <c r="BX57" s="9">
        <v>612</v>
      </c>
      <c r="BY57" s="10">
        <v>107.1</v>
      </c>
      <c r="BZ57" s="9">
        <v>294</v>
      </c>
      <c r="CA57" s="10">
        <v>51.449999999999996</v>
      </c>
      <c r="CB57" s="9">
        <v>237</v>
      </c>
      <c r="CC57" s="10">
        <v>41.474999999999994</v>
      </c>
      <c r="CD57" s="9">
        <v>258</v>
      </c>
      <c r="CE57" s="10">
        <v>45.15</v>
      </c>
      <c r="CF57" s="9">
        <v>12</v>
      </c>
      <c r="CG57" s="10">
        <v>2.0999999999999996</v>
      </c>
      <c r="CH57" s="11">
        <v>297</v>
      </c>
      <c r="CI57" s="12">
        <v>51.974999999999994</v>
      </c>
      <c r="CJ57" s="13">
        <v>297</v>
      </c>
      <c r="CK57" s="10">
        <v>51.974999999999994</v>
      </c>
      <c r="CL57" s="14">
        <v>240</v>
      </c>
      <c r="CM57" s="10">
        <v>42</v>
      </c>
      <c r="CN57" s="14">
        <v>30</v>
      </c>
      <c r="CO57" s="15">
        <v>5.25</v>
      </c>
      <c r="CP57" s="14"/>
      <c r="CQ57" s="15">
        <v>0</v>
      </c>
      <c r="CR57" s="14">
        <v>22</v>
      </c>
      <c r="CS57" s="15">
        <v>3.8499999999999996</v>
      </c>
      <c r="CT57" s="14">
        <v>211</v>
      </c>
      <c r="CU57" s="15">
        <v>36.924999999999997</v>
      </c>
      <c r="CV57" s="14"/>
      <c r="CW57" s="15">
        <v>0</v>
      </c>
      <c r="CX57" s="14"/>
      <c r="CY57" s="15">
        <v>0</v>
      </c>
      <c r="CZ57" s="14"/>
      <c r="DA57" s="15">
        <v>0</v>
      </c>
      <c r="DB57" s="14"/>
      <c r="DC57" s="15">
        <v>0</v>
      </c>
      <c r="DD57" s="14"/>
      <c r="DE57" s="15">
        <v>0</v>
      </c>
      <c r="DF57" s="14"/>
      <c r="DG57" s="15">
        <v>0</v>
      </c>
      <c r="DH57" s="14"/>
      <c r="DI57" s="15">
        <v>0</v>
      </c>
      <c r="DJ57" s="15"/>
      <c r="DK57" s="15"/>
      <c r="DL57" s="16">
        <v>503</v>
      </c>
      <c r="DM57" s="17">
        <v>88.025000000000006</v>
      </c>
      <c r="DX57" s="52">
        <v>0</v>
      </c>
    </row>
    <row r="58" spans="1:128" hidden="1">
      <c r="A58" s="7">
        <v>115</v>
      </c>
      <c r="B58" s="8" t="s">
        <v>53</v>
      </c>
      <c r="C58" s="8" t="s">
        <v>14</v>
      </c>
      <c r="D58" s="7">
        <v>4</v>
      </c>
      <c r="E58" s="7">
        <v>0.7</v>
      </c>
      <c r="F58" s="7" t="s">
        <v>15</v>
      </c>
      <c r="G58" s="7"/>
      <c r="H58" s="9">
        <v>10</v>
      </c>
      <c r="I58" s="10">
        <v>7</v>
      </c>
      <c r="J58" s="9"/>
      <c r="K58" s="10">
        <v>0</v>
      </c>
      <c r="L58" s="9">
        <v>60</v>
      </c>
      <c r="M58" s="10">
        <v>42</v>
      </c>
      <c r="N58" s="9">
        <v>60</v>
      </c>
      <c r="O58" s="10">
        <v>42</v>
      </c>
      <c r="P58" s="9"/>
      <c r="Q58" s="10">
        <v>0</v>
      </c>
      <c r="R58" s="9">
        <v>60</v>
      </c>
      <c r="S58" s="10">
        <v>42</v>
      </c>
      <c r="T58" s="9">
        <v>38</v>
      </c>
      <c r="U58" s="10">
        <v>26.599999999999998</v>
      </c>
      <c r="V58" s="9">
        <v>180</v>
      </c>
      <c r="W58" s="10">
        <v>125.99999999999999</v>
      </c>
      <c r="X58" s="9"/>
      <c r="Y58" s="10">
        <v>0</v>
      </c>
      <c r="Z58" s="9">
        <v>60</v>
      </c>
      <c r="AA58" s="10">
        <v>42</v>
      </c>
      <c r="AB58" s="9">
        <v>132</v>
      </c>
      <c r="AC58" s="10">
        <v>92.399999999999991</v>
      </c>
      <c r="AD58" s="9">
        <v>156</v>
      </c>
      <c r="AE58" s="10">
        <v>109.19999999999999</v>
      </c>
      <c r="AF58" s="11">
        <v>63</v>
      </c>
      <c r="AG58" s="12">
        <v>44.099999999999994</v>
      </c>
      <c r="AH58" s="9">
        <v>84</v>
      </c>
      <c r="AI58" s="10">
        <v>58.8</v>
      </c>
      <c r="AJ58" s="9">
        <v>216</v>
      </c>
      <c r="AK58" s="10">
        <v>151.19999999999999</v>
      </c>
      <c r="AL58" s="9">
        <v>36</v>
      </c>
      <c r="AM58" s="10">
        <v>25.2</v>
      </c>
      <c r="AN58" s="9">
        <v>96</v>
      </c>
      <c r="AO58" s="10">
        <v>67.199999999999989</v>
      </c>
      <c r="AP58" s="9">
        <v>96</v>
      </c>
      <c r="AQ58" s="10">
        <v>67.199999999999989</v>
      </c>
      <c r="AR58" s="9">
        <v>96</v>
      </c>
      <c r="AS58" s="10">
        <v>67.199999999999989</v>
      </c>
      <c r="AT58" s="9">
        <v>156</v>
      </c>
      <c r="AU58" s="10">
        <v>109.19999999999999</v>
      </c>
      <c r="AV58" s="9">
        <v>120</v>
      </c>
      <c r="AW58" s="10">
        <v>84</v>
      </c>
      <c r="AX58" s="9">
        <v>228</v>
      </c>
      <c r="AY58" s="10">
        <v>159.6</v>
      </c>
      <c r="AZ58" s="9">
        <v>180</v>
      </c>
      <c r="BA58" s="10">
        <v>125.99999999999999</v>
      </c>
      <c r="BB58" s="9">
        <v>216</v>
      </c>
      <c r="BC58" s="10">
        <v>151.19999999999999</v>
      </c>
      <c r="BD58" s="9">
        <v>540</v>
      </c>
      <c r="BE58" s="10">
        <v>378</v>
      </c>
      <c r="BF58" s="11">
        <v>172</v>
      </c>
      <c r="BG58" s="12">
        <v>120.39999999999999</v>
      </c>
      <c r="BH58" s="9">
        <v>240</v>
      </c>
      <c r="BI58" s="10">
        <v>168</v>
      </c>
      <c r="BJ58" s="9">
        <v>228</v>
      </c>
      <c r="BK58" s="10">
        <v>159.6</v>
      </c>
      <c r="BL58" s="9">
        <v>384</v>
      </c>
      <c r="BM58" s="10">
        <v>268.79999999999995</v>
      </c>
      <c r="BN58" s="9">
        <v>180</v>
      </c>
      <c r="BO58" s="10">
        <v>125.99999999999999</v>
      </c>
      <c r="BP58" s="9">
        <v>228</v>
      </c>
      <c r="BQ58" s="10">
        <v>159.6</v>
      </c>
      <c r="BR58" s="19">
        <v>252</v>
      </c>
      <c r="BS58" s="10">
        <v>176.4</v>
      </c>
      <c r="BT58" s="9">
        <v>144</v>
      </c>
      <c r="BU58" s="10">
        <v>100.8</v>
      </c>
      <c r="BV58" s="9">
        <v>504</v>
      </c>
      <c r="BW58" s="10">
        <v>352.79999999999995</v>
      </c>
      <c r="BX58" s="9">
        <v>408</v>
      </c>
      <c r="BY58" s="10">
        <v>285.59999999999997</v>
      </c>
      <c r="BZ58" s="9"/>
      <c r="CA58" s="10">
        <v>0</v>
      </c>
      <c r="CB58" s="9"/>
      <c r="CC58" s="10">
        <v>0</v>
      </c>
      <c r="CD58" s="9"/>
      <c r="CE58" s="10">
        <v>0</v>
      </c>
      <c r="CF58" s="9"/>
      <c r="CG58" s="10">
        <v>0</v>
      </c>
      <c r="CH58" s="11">
        <v>193</v>
      </c>
      <c r="CI58" s="12">
        <v>135.1</v>
      </c>
      <c r="CJ58" s="13">
        <v>193</v>
      </c>
      <c r="CK58" s="10">
        <v>135.1</v>
      </c>
      <c r="CL58" s="14"/>
      <c r="CM58" s="10">
        <v>0</v>
      </c>
      <c r="CN58" s="14"/>
      <c r="CO58" s="15">
        <v>0</v>
      </c>
      <c r="CP58" s="14"/>
      <c r="CQ58" s="15">
        <v>0</v>
      </c>
      <c r="CR58" s="14"/>
      <c r="CS58" s="15">
        <v>0</v>
      </c>
      <c r="CT58" s="14"/>
      <c r="CU58" s="15">
        <v>0</v>
      </c>
      <c r="CV58" s="14"/>
      <c r="CW58" s="15">
        <v>0</v>
      </c>
      <c r="CX58" s="14"/>
      <c r="CY58" s="15">
        <v>0</v>
      </c>
      <c r="CZ58" s="14"/>
      <c r="DA58" s="15">
        <v>0</v>
      </c>
      <c r="DB58" s="14"/>
      <c r="DC58" s="15">
        <v>0</v>
      </c>
      <c r="DD58" s="14"/>
      <c r="DE58" s="15">
        <v>0</v>
      </c>
      <c r="DF58" s="14"/>
      <c r="DG58" s="15">
        <v>0</v>
      </c>
      <c r="DH58" s="14"/>
      <c r="DI58" s="15">
        <v>0</v>
      </c>
      <c r="DJ58" s="15"/>
      <c r="DK58" s="15"/>
      <c r="DL58" s="16">
        <v>0</v>
      </c>
      <c r="DM58" s="17">
        <v>0</v>
      </c>
      <c r="DX58" s="52">
        <v>0</v>
      </c>
    </row>
    <row r="59" spans="1:128" hidden="1">
      <c r="A59" s="7">
        <v>116</v>
      </c>
      <c r="B59" s="8" t="s">
        <v>54</v>
      </c>
      <c r="C59" s="8" t="s">
        <v>14</v>
      </c>
      <c r="D59" s="7">
        <v>4</v>
      </c>
      <c r="E59" s="7">
        <v>0.7</v>
      </c>
      <c r="F59" s="7" t="s">
        <v>15</v>
      </c>
      <c r="G59" s="7"/>
      <c r="H59" s="9"/>
      <c r="I59" s="10">
        <v>0</v>
      </c>
      <c r="J59" s="9"/>
      <c r="K59" s="10">
        <v>0</v>
      </c>
      <c r="L59" s="9"/>
      <c r="M59" s="10">
        <v>0</v>
      </c>
      <c r="N59" s="9"/>
      <c r="O59" s="10">
        <v>0</v>
      </c>
      <c r="P59" s="9"/>
      <c r="Q59" s="10">
        <v>0</v>
      </c>
      <c r="R59" s="9"/>
      <c r="S59" s="10">
        <v>0</v>
      </c>
      <c r="T59" s="9"/>
      <c r="U59" s="10">
        <v>0</v>
      </c>
      <c r="V59" s="9"/>
      <c r="W59" s="10">
        <v>0</v>
      </c>
      <c r="X59" s="9"/>
      <c r="Y59" s="10">
        <v>0</v>
      </c>
      <c r="Z59" s="9"/>
      <c r="AA59" s="10">
        <v>0</v>
      </c>
      <c r="AB59" s="9"/>
      <c r="AC59" s="10">
        <v>0</v>
      </c>
      <c r="AD59" s="9"/>
      <c r="AE59" s="10">
        <v>0</v>
      </c>
      <c r="AF59" s="11">
        <v>0</v>
      </c>
      <c r="AG59" s="12">
        <v>0</v>
      </c>
      <c r="AH59" s="9"/>
      <c r="AI59" s="10">
        <v>0</v>
      </c>
      <c r="AJ59" s="9"/>
      <c r="AK59" s="10">
        <v>0</v>
      </c>
      <c r="AL59" s="9"/>
      <c r="AM59" s="10">
        <v>0</v>
      </c>
      <c r="AN59" s="9"/>
      <c r="AO59" s="10">
        <v>0</v>
      </c>
      <c r="AP59" s="9"/>
      <c r="AQ59" s="10">
        <v>0</v>
      </c>
      <c r="AR59" s="9"/>
      <c r="AS59" s="10">
        <v>0</v>
      </c>
      <c r="AT59" s="9"/>
      <c r="AU59" s="10">
        <v>0</v>
      </c>
      <c r="AV59" s="9"/>
      <c r="AW59" s="10">
        <v>0</v>
      </c>
      <c r="AX59" s="9"/>
      <c r="AY59" s="10">
        <v>0</v>
      </c>
      <c r="AZ59" s="9"/>
      <c r="BA59" s="10">
        <v>0</v>
      </c>
      <c r="BB59" s="9"/>
      <c r="BC59" s="10">
        <v>0</v>
      </c>
      <c r="BD59" s="9"/>
      <c r="BE59" s="10">
        <v>0</v>
      </c>
      <c r="BF59" s="11">
        <v>0</v>
      </c>
      <c r="BG59" s="12">
        <v>0</v>
      </c>
      <c r="BH59" s="9"/>
      <c r="BI59" s="10">
        <v>0</v>
      </c>
      <c r="BJ59" s="9"/>
      <c r="BK59" s="10">
        <v>0</v>
      </c>
      <c r="BL59" s="9"/>
      <c r="BM59" s="10">
        <v>0</v>
      </c>
      <c r="BN59" s="9"/>
      <c r="BO59" s="10">
        <v>0</v>
      </c>
      <c r="BP59" s="9"/>
      <c r="BQ59" s="10">
        <v>0</v>
      </c>
      <c r="BR59" s="19">
        <v>0</v>
      </c>
      <c r="BS59" s="10">
        <v>0</v>
      </c>
      <c r="BT59" s="9"/>
      <c r="BU59" s="10">
        <v>0</v>
      </c>
      <c r="BV59" s="9"/>
      <c r="BW59" s="10">
        <v>0</v>
      </c>
      <c r="BX59" s="9"/>
      <c r="BY59" s="10">
        <v>0</v>
      </c>
      <c r="BZ59" s="9"/>
      <c r="CA59" s="10">
        <v>0</v>
      </c>
      <c r="CB59" s="9"/>
      <c r="CC59" s="10">
        <v>0</v>
      </c>
      <c r="CD59" s="9"/>
      <c r="CE59" s="10">
        <v>0</v>
      </c>
      <c r="CF59" s="9"/>
      <c r="CG59" s="10">
        <v>0</v>
      </c>
      <c r="CH59" s="11">
        <v>0</v>
      </c>
      <c r="CI59" s="12">
        <v>0</v>
      </c>
      <c r="CJ59" s="13"/>
      <c r="CK59" s="10">
        <v>0</v>
      </c>
      <c r="CL59" s="14"/>
      <c r="CM59" s="10">
        <v>0</v>
      </c>
      <c r="CN59" s="14"/>
      <c r="CO59" s="15">
        <v>0</v>
      </c>
      <c r="CP59" s="14"/>
      <c r="CQ59" s="15">
        <v>0</v>
      </c>
      <c r="CR59" s="14"/>
      <c r="CS59" s="15">
        <v>0</v>
      </c>
      <c r="CT59" s="14"/>
      <c r="CU59" s="15">
        <v>0</v>
      </c>
      <c r="CV59" s="14"/>
      <c r="CW59" s="15">
        <v>0</v>
      </c>
      <c r="CX59" s="14"/>
      <c r="CY59" s="15">
        <v>0</v>
      </c>
      <c r="CZ59" s="14"/>
      <c r="DA59" s="15">
        <v>0</v>
      </c>
      <c r="DB59" s="14"/>
      <c r="DC59" s="15">
        <v>0</v>
      </c>
      <c r="DD59" s="14"/>
      <c r="DE59" s="15">
        <v>0</v>
      </c>
      <c r="DF59" s="14"/>
      <c r="DG59" s="15">
        <v>0</v>
      </c>
      <c r="DH59" s="14"/>
      <c r="DI59" s="15">
        <v>0</v>
      </c>
      <c r="DJ59" s="15"/>
      <c r="DK59" s="15"/>
      <c r="DL59" s="16">
        <v>0</v>
      </c>
      <c r="DM59" s="17">
        <v>0</v>
      </c>
      <c r="DX59" s="52">
        <v>0</v>
      </c>
    </row>
    <row r="60" spans="1:128" hidden="1">
      <c r="A60" s="7">
        <v>117</v>
      </c>
      <c r="B60" s="8" t="s">
        <v>55</v>
      </c>
      <c r="C60" s="8" t="s">
        <v>14</v>
      </c>
      <c r="D60" s="7">
        <v>4</v>
      </c>
      <c r="E60" s="7">
        <v>0.35</v>
      </c>
      <c r="F60" s="7" t="s">
        <v>18</v>
      </c>
      <c r="G60" s="7"/>
      <c r="H60" s="9"/>
      <c r="I60" s="10">
        <v>0</v>
      </c>
      <c r="J60" s="9"/>
      <c r="K60" s="10">
        <v>0</v>
      </c>
      <c r="L60" s="9"/>
      <c r="M60" s="10">
        <v>0</v>
      </c>
      <c r="N60" s="9"/>
      <c r="O60" s="10">
        <v>0</v>
      </c>
      <c r="P60" s="9"/>
      <c r="Q60" s="10">
        <v>0</v>
      </c>
      <c r="R60" s="9"/>
      <c r="S60" s="10">
        <v>0</v>
      </c>
      <c r="T60" s="9"/>
      <c r="U60" s="10">
        <v>0</v>
      </c>
      <c r="V60" s="9"/>
      <c r="W60" s="10">
        <v>0</v>
      </c>
      <c r="X60" s="9"/>
      <c r="Y60" s="10">
        <v>0</v>
      </c>
      <c r="Z60" s="9"/>
      <c r="AA60" s="10">
        <v>0</v>
      </c>
      <c r="AB60" s="9"/>
      <c r="AC60" s="10">
        <v>0</v>
      </c>
      <c r="AD60" s="9"/>
      <c r="AE60" s="10">
        <v>0</v>
      </c>
      <c r="AF60" s="11">
        <v>0</v>
      </c>
      <c r="AG60" s="12">
        <v>0</v>
      </c>
      <c r="AH60" s="9"/>
      <c r="AI60" s="10">
        <v>0</v>
      </c>
      <c r="AJ60" s="9"/>
      <c r="AK60" s="10">
        <v>0</v>
      </c>
      <c r="AL60" s="9"/>
      <c r="AM60" s="10">
        <v>0</v>
      </c>
      <c r="AN60" s="9"/>
      <c r="AO60" s="10">
        <v>0</v>
      </c>
      <c r="AP60" s="9"/>
      <c r="AQ60" s="10">
        <v>0</v>
      </c>
      <c r="AR60" s="9"/>
      <c r="AS60" s="10">
        <v>0</v>
      </c>
      <c r="AT60" s="9"/>
      <c r="AU60" s="10">
        <v>0</v>
      </c>
      <c r="AV60" s="9"/>
      <c r="AW60" s="10">
        <v>0</v>
      </c>
      <c r="AX60" s="9"/>
      <c r="AY60" s="10">
        <v>0</v>
      </c>
      <c r="AZ60" s="9"/>
      <c r="BA60" s="10">
        <v>0</v>
      </c>
      <c r="BB60" s="9"/>
      <c r="BC60" s="10">
        <v>0</v>
      </c>
      <c r="BD60" s="9"/>
      <c r="BE60" s="10">
        <v>0</v>
      </c>
      <c r="BF60" s="11">
        <v>0</v>
      </c>
      <c r="BG60" s="12">
        <v>0</v>
      </c>
      <c r="BH60" s="9"/>
      <c r="BI60" s="10">
        <v>0</v>
      </c>
      <c r="BJ60" s="9"/>
      <c r="BK60" s="10">
        <v>0</v>
      </c>
      <c r="BL60" s="9"/>
      <c r="BM60" s="10">
        <v>0</v>
      </c>
      <c r="BN60" s="9"/>
      <c r="BO60" s="10">
        <v>0</v>
      </c>
      <c r="BP60" s="9"/>
      <c r="BQ60" s="10">
        <v>0</v>
      </c>
      <c r="BR60" s="19">
        <v>0</v>
      </c>
      <c r="BS60" s="10">
        <v>0</v>
      </c>
      <c r="BT60" s="9"/>
      <c r="BU60" s="10">
        <v>0</v>
      </c>
      <c r="BV60" s="9"/>
      <c r="BW60" s="10">
        <v>0</v>
      </c>
      <c r="BX60" s="9"/>
      <c r="BY60" s="10">
        <v>0</v>
      </c>
      <c r="BZ60" s="9"/>
      <c r="CA60" s="10">
        <v>0</v>
      </c>
      <c r="CB60" s="9"/>
      <c r="CC60" s="10">
        <v>0</v>
      </c>
      <c r="CD60" s="9"/>
      <c r="CE60" s="10">
        <v>0</v>
      </c>
      <c r="CF60" s="9"/>
      <c r="CG60" s="10">
        <v>0</v>
      </c>
      <c r="CH60" s="11">
        <v>0</v>
      </c>
      <c r="CI60" s="12">
        <v>0</v>
      </c>
      <c r="CJ60" s="13"/>
      <c r="CK60" s="10">
        <v>0</v>
      </c>
      <c r="CL60" s="14"/>
      <c r="CM60" s="10">
        <v>0</v>
      </c>
      <c r="CN60" s="14"/>
      <c r="CO60" s="15">
        <v>0</v>
      </c>
      <c r="CP60" s="14"/>
      <c r="CQ60" s="15">
        <v>0</v>
      </c>
      <c r="CR60" s="14"/>
      <c r="CS60" s="15">
        <v>0</v>
      </c>
      <c r="CT60" s="14"/>
      <c r="CU60" s="15">
        <v>0</v>
      </c>
      <c r="CV60" s="14"/>
      <c r="CW60" s="15">
        <v>0</v>
      </c>
      <c r="CX60" s="14"/>
      <c r="CY60" s="15">
        <v>0</v>
      </c>
      <c r="CZ60" s="14"/>
      <c r="DA60" s="15">
        <v>0</v>
      </c>
      <c r="DB60" s="14"/>
      <c r="DC60" s="15">
        <v>0</v>
      </c>
      <c r="DD60" s="14"/>
      <c r="DE60" s="15">
        <v>0</v>
      </c>
      <c r="DF60" s="14"/>
      <c r="DG60" s="15">
        <v>0</v>
      </c>
      <c r="DH60" s="14"/>
      <c r="DI60" s="15">
        <v>0</v>
      </c>
      <c r="DJ60" s="15"/>
      <c r="DK60" s="15"/>
      <c r="DL60" s="16">
        <v>0</v>
      </c>
      <c r="DM60" s="17">
        <v>0</v>
      </c>
      <c r="DX60" s="52">
        <v>0</v>
      </c>
    </row>
    <row r="61" spans="1:128" hidden="1">
      <c r="A61" s="7">
        <v>118</v>
      </c>
      <c r="B61" s="8" t="s">
        <v>56</v>
      </c>
      <c r="C61" s="8" t="s">
        <v>14</v>
      </c>
      <c r="D61" s="7">
        <v>4</v>
      </c>
      <c r="E61" s="7">
        <v>0.7</v>
      </c>
      <c r="F61" s="7" t="s">
        <v>15</v>
      </c>
      <c r="G61" s="7"/>
      <c r="H61" s="9"/>
      <c r="I61" s="10">
        <v>0</v>
      </c>
      <c r="J61" s="9"/>
      <c r="K61" s="10">
        <v>0</v>
      </c>
      <c r="L61" s="9"/>
      <c r="M61" s="10">
        <v>0</v>
      </c>
      <c r="N61" s="9"/>
      <c r="O61" s="10">
        <v>0</v>
      </c>
      <c r="P61" s="9"/>
      <c r="Q61" s="10">
        <v>0</v>
      </c>
      <c r="R61" s="9"/>
      <c r="S61" s="10">
        <v>0</v>
      </c>
      <c r="T61" s="9"/>
      <c r="U61" s="10">
        <v>0</v>
      </c>
      <c r="V61" s="9"/>
      <c r="W61" s="10">
        <v>0</v>
      </c>
      <c r="X61" s="9"/>
      <c r="Y61" s="10">
        <v>0</v>
      </c>
      <c r="Z61" s="9"/>
      <c r="AA61" s="10">
        <v>0</v>
      </c>
      <c r="AB61" s="9"/>
      <c r="AC61" s="10">
        <v>0</v>
      </c>
      <c r="AD61" s="9"/>
      <c r="AE61" s="10">
        <v>0</v>
      </c>
      <c r="AF61" s="11">
        <v>0</v>
      </c>
      <c r="AG61" s="12">
        <v>0</v>
      </c>
      <c r="AH61" s="9"/>
      <c r="AI61" s="10">
        <v>0</v>
      </c>
      <c r="AJ61" s="9"/>
      <c r="AK61" s="10">
        <v>0</v>
      </c>
      <c r="AL61" s="9"/>
      <c r="AM61" s="10">
        <v>0</v>
      </c>
      <c r="AN61" s="9"/>
      <c r="AO61" s="10">
        <v>0</v>
      </c>
      <c r="AP61" s="9"/>
      <c r="AQ61" s="10">
        <v>0</v>
      </c>
      <c r="AR61" s="9"/>
      <c r="AS61" s="10">
        <v>0</v>
      </c>
      <c r="AT61" s="9"/>
      <c r="AU61" s="10">
        <v>0</v>
      </c>
      <c r="AV61" s="9"/>
      <c r="AW61" s="10">
        <v>0</v>
      </c>
      <c r="AX61" s="9"/>
      <c r="AY61" s="10">
        <v>0</v>
      </c>
      <c r="AZ61" s="9"/>
      <c r="BA61" s="10">
        <v>0</v>
      </c>
      <c r="BB61" s="9"/>
      <c r="BC61" s="10">
        <v>0</v>
      </c>
      <c r="BD61" s="9"/>
      <c r="BE61" s="10">
        <v>0</v>
      </c>
      <c r="BF61" s="11">
        <v>0</v>
      </c>
      <c r="BG61" s="12">
        <v>0</v>
      </c>
      <c r="BH61" s="9"/>
      <c r="BI61" s="10">
        <v>0</v>
      </c>
      <c r="BJ61" s="9"/>
      <c r="BK61" s="10">
        <v>0</v>
      </c>
      <c r="BL61" s="9"/>
      <c r="BM61" s="10">
        <v>0</v>
      </c>
      <c r="BN61" s="9"/>
      <c r="BO61" s="10">
        <v>0</v>
      </c>
      <c r="BP61" s="9"/>
      <c r="BQ61" s="10">
        <v>0</v>
      </c>
      <c r="BR61" s="19">
        <v>0</v>
      </c>
      <c r="BS61" s="10">
        <v>0</v>
      </c>
      <c r="BT61" s="9"/>
      <c r="BU61" s="10">
        <v>0</v>
      </c>
      <c r="BV61" s="9"/>
      <c r="BW61" s="10">
        <v>0</v>
      </c>
      <c r="BX61" s="9"/>
      <c r="BY61" s="10">
        <v>0</v>
      </c>
      <c r="BZ61" s="9"/>
      <c r="CA61" s="10">
        <v>0</v>
      </c>
      <c r="CB61" s="9"/>
      <c r="CC61" s="10">
        <v>0</v>
      </c>
      <c r="CD61" s="9">
        <v>9</v>
      </c>
      <c r="CE61" s="10">
        <v>6.3</v>
      </c>
      <c r="CF61" s="9"/>
      <c r="CG61" s="10">
        <v>0</v>
      </c>
      <c r="CH61" s="11">
        <v>0.75</v>
      </c>
      <c r="CI61" s="12">
        <v>0.52499999999999991</v>
      </c>
      <c r="CJ61" s="13"/>
      <c r="CK61" s="10">
        <v>0</v>
      </c>
      <c r="CL61" s="14"/>
      <c r="CM61" s="10">
        <v>0</v>
      </c>
      <c r="CN61" s="14"/>
      <c r="CO61" s="15">
        <v>0</v>
      </c>
      <c r="CP61" s="14"/>
      <c r="CQ61" s="15">
        <v>0</v>
      </c>
      <c r="CR61" s="14"/>
      <c r="CS61" s="15">
        <v>0</v>
      </c>
      <c r="CT61" s="14"/>
      <c r="CU61" s="15">
        <v>0</v>
      </c>
      <c r="CV61" s="14"/>
      <c r="CW61" s="15">
        <v>0</v>
      </c>
      <c r="CX61" s="14"/>
      <c r="CY61" s="15">
        <v>0</v>
      </c>
      <c r="CZ61" s="14"/>
      <c r="DA61" s="15">
        <v>0</v>
      </c>
      <c r="DB61" s="14"/>
      <c r="DC61" s="15">
        <v>0</v>
      </c>
      <c r="DD61" s="14"/>
      <c r="DE61" s="15">
        <v>0</v>
      </c>
      <c r="DF61" s="14"/>
      <c r="DG61" s="15">
        <v>0</v>
      </c>
      <c r="DH61" s="14"/>
      <c r="DI61" s="15">
        <v>0</v>
      </c>
      <c r="DJ61" s="15"/>
      <c r="DK61" s="15"/>
      <c r="DL61" s="16">
        <v>0</v>
      </c>
      <c r="DM61" s="17">
        <v>0</v>
      </c>
      <c r="DX61" s="52">
        <v>0</v>
      </c>
    </row>
    <row r="62" spans="1:128" hidden="1">
      <c r="A62" s="7">
        <v>119</v>
      </c>
      <c r="B62" s="8" t="s">
        <v>57</v>
      </c>
      <c r="C62" s="8" t="s">
        <v>14</v>
      </c>
      <c r="D62" s="7">
        <v>4</v>
      </c>
      <c r="E62" s="7">
        <v>0.35</v>
      </c>
      <c r="F62" s="7" t="s">
        <v>18</v>
      </c>
      <c r="G62" s="7"/>
      <c r="H62" s="9"/>
      <c r="I62" s="10">
        <v>0</v>
      </c>
      <c r="J62" s="9"/>
      <c r="K62" s="10">
        <v>0</v>
      </c>
      <c r="L62" s="9"/>
      <c r="M62" s="10">
        <v>0</v>
      </c>
      <c r="N62" s="9"/>
      <c r="O62" s="10">
        <v>0</v>
      </c>
      <c r="P62" s="9"/>
      <c r="Q62" s="10">
        <v>0</v>
      </c>
      <c r="R62" s="9"/>
      <c r="S62" s="10">
        <v>0</v>
      </c>
      <c r="T62" s="9"/>
      <c r="U62" s="10">
        <v>0</v>
      </c>
      <c r="V62" s="9"/>
      <c r="W62" s="10">
        <v>0</v>
      </c>
      <c r="X62" s="9"/>
      <c r="Y62" s="10">
        <v>0</v>
      </c>
      <c r="Z62" s="9"/>
      <c r="AA62" s="10">
        <v>0</v>
      </c>
      <c r="AB62" s="9"/>
      <c r="AC62" s="10">
        <v>0</v>
      </c>
      <c r="AD62" s="9"/>
      <c r="AE62" s="10">
        <v>0</v>
      </c>
      <c r="AF62" s="11">
        <v>0</v>
      </c>
      <c r="AG62" s="12">
        <v>0</v>
      </c>
      <c r="AH62" s="9"/>
      <c r="AI62" s="10">
        <v>0</v>
      </c>
      <c r="AJ62" s="9"/>
      <c r="AK62" s="10">
        <v>0</v>
      </c>
      <c r="AL62" s="9"/>
      <c r="AM62" s="10">
        <v>0</v>
      </c>
      <c r="AN62" s="9"/>
      <c r="AO62" s="10">
        <v>0</v>
      </c>
      <c r="AP62" s="9"/>
      <c r="AQ62" s="10">
        <v>0</v>
      </c>
      <c r="AR62" s="9"/>
      <c r="AS62" s="10">
        <v>0</v>
      </c>
      <c r="AT62" s="9"/>
      <c r="AU62" s="10">
        <v>0</v>
      </c>
      <c r="AV62" s="9"/>
      <c r="AW62" s="10">
        <v>0</v>
      </c>
      <c r="AX62" s="9"/>
      <c r="AY62" s="10">
        <v>0</v>
      </c>
      <c r="AZ62" s="9"/>
      <c r="BA62" s="10">
        <v>0</v>
      </c>
      <c r="BB62" s="9"/>
      <c r="BC62" s="10">
        <v>0</v>
      </c>
      <c r="BD62" s="9"/>
      <c r="BE62" s="10">
        <v>0</v>
      </c>
      <c r="BF62" s="11">
        <v>0</v>
      </c>
      <c r="BG62" s="12">
        <v>0</v>
      </c>
      <c r="BH62" s="9"/>
      <c r="BI62" s="10">
        <v>0</v>
      </c>
      <c r="BJ62" s="9"/>
      <c r="BK62" s="10">
        <v>0</v>
      </c>
      <c r="BL62" s="9"/>
      <c r="BM62" s="10">
        <v>0</v>
      </c>
      <c r="BN62" s="9"/>
      <c r="BO62" s="10">
        <v>0</v>
      </c>
      <c r="BP62" s="9"/>
      <c r="BQ62" s="10">
        <v>0</v>
      </c>
      <c r="BR62" s="19">
        <v>0</v>
      </c>
      <c r="BS62" s="10">
        <v>0</v>
      </c>
      <c r="BT62" s="9"/>
      <c r="BU62" s="10">
        <v>0</v>
      </c>
      <c r="BV62" s="9"/>
      <c r="BW62" s="10">
        <v>0</v>
      </c>
      <c r="BX62" s="9"/>
      <c r="BY62" s="10">
        <v>0</v>
      </c>
      <c r="BZ62" s="9"/>
      <c r="CA62" s="10">
        <v>0</v>
      </c>
      <c r="CB62" s="9"/>
      <c r="CC62" s="10">
        <v>0</v>
      </c>
      <c r="CD62" s="9">
        <v>76</v>
      </c>
      <c r="CE62" s="10">
        <v>26.599999999999998</v>
      </c>
      <c r="CF62" s="9"/>
      <c r="CG62" s="10">
        <v>0</v>
      </c>
      <c r="CH62" s="11">
        <v>6.333333333333333</v>
      </c>
      <c r="CI62" s="12">
        <v>2.2166666666666663</v>
      </c>
      <c r="CJ62" s="13"/>
      <c r="CK62" s="10">
        <v>0</v>
      </c>
      <c r="CL62" s="14"/>
      <c r="CM62" s="10">
        <v>0</v>
      </c>
      <c r="CN62" s="14"/>
      <c r="CO62" s="15">
        <v>0</v>
      </c>
      <c r="CP62" s="14"/>
      <c r="CQ62" s="15">
        <v>0</v>
      </c>
      <c r="CR62" s="14"/>
      <c r="CS62" s="15">
        <v>0</v>
      </c>
      <c r="CT62" s="14"/>
      <c r="CU62" s="15">
        <v>0</v>
      </c>
      <c r="CV62" s="14"/>
      <c r="CW62" s="15">
        <v>0</v>
      </c>
      <c r="CX62" s="14"/>
      <c r="CY62" s="15">
        <v>0</v>
      </c>
      <c r="CZ62" s="14"/>
      <c r="DA62" s="15">
        <v>0</v>
      </c>
      <c r="DB62" s="14"/>
      <c r="DC62" s="15">
        <v>0</v>
      </c>
      <c r="DD62" s="14"/>
      <c r="DE62" s="15">
        <v>0</v>
      </c>
      <c r="DF62" s="14"/>
      <c r="DG62" s="15">
        <v>0</v>
      </c>
      <c r="DH62" s="14"/>
      <c r="DI62" s="15">
        <v>0</v>
      </c>
      <c r="DJ62" s="15"/>
      <c r="DK62" s="15"/>
      <c r="DL62" s="16">
        <v>0</v>
      </c>
      <c r="DM62" s="17">
        <v>0</v>
      </c>
      <c r="DX62" s="52">
        <v>0</v>
      </c>
    </row>
    <row r="63" spans="1:128" hidden="1">
      <c r="A63" s="7">
        <v>120</v>
      </c>
      <c r="B63" s="20" t="s">
        <v>58</v>
      </c>
      <c r="C63" s="20" t="s">
        <v>14</v>
      </c>
      <c r="D63" s="7">
        <v>4</v>
      </c>
      <c r="E63" s="7">
        <v>0.7</v>
      </c>
      <c r="F63" s="30" t="s">
        <v>59</v>
      </c>
      <c r="G63" s="21"/>
      <c r="H63" s="9"/>
      <c r="I63" s="10">
        <v>0</v>
      </c>
      <c r="J63" s="9"/>
      <c r="K63" s="10">
        <v>0</v>
      </c>
      <c r="L63" s="9"/>
      <c r="M63" s="10">
        <v>0</v>
      </c>
      <c r="N63" s="9"/>
      <c r="O63" s="10">
        <v>0</v>
      </c>
      <c r="P63" s="9"/>
      <c r="Q63" s="10">
        <v>0</v>
      </c>
      <c r="R63" s="9"/>
      <c r="S63" s="10">
        <v>0</v>
      </c>
      <c r="T63" s="9"/>
      <c r="U63" s="10">
        <v>0</v>
      </c>
      <c r="V63" s="9"/>
      <c r="W63" s="10">
        <v>0</v>
      </c>
      <c r="X63" s="9"/>
      <c r="Y63" s="10">
        <v>0</v>
      </c>
      <c r="Z63" s="9"/>
      <c r="AA63" s="10">
        <v>0</v>
      </c>
      <c r="AB63" s="9"/>
      <c r="AC63" s="10">
        <v>0</v>
      </c>
      <c r="AD63" s="9"/>
      <c r="AE63" s="10">
        <v>0</v>
      </c>
      <c r="AF63" s="11">
        <v>0</v>
      </c>
      <c r="AG63" s="12">
        <v>0</v>
      </c>
      <c r="AH63" s="9"/>
      <c r="AI63" s="10">
        <v>0</v>
      </c>
      <c r="AJ63" s="9"/>
      <c r="AK63" s="10">
        <v>0</v>
      </c>
      <c r="AL63" s="9"/>
      <c r="AM63" s="10">
        <v>0</v>
      </c>
      <c r="AN63" s="9"/>
      <c r="AO63" s="10">
        <v>0</v>
      </c>
      <c r="AP63" s="9"/>
      <c r="AQ63" s="10">
        <v>0</v>
      </c>
      <c r="AR63" s="9"/>
      <c r="AS63" s="10">
        <v>0</v>
      </c>
      <c r="AT63" s="9"/>
      <c r="AU63" s="10">
        <v>0</v>
      </c>
      <c r="AV63" s="9"/>
      <c r="AW63" s="10">
        <v>0</v>
      </c>
      <c r="AX63" s="9"/>
      <c r="AY63" s="10">
        <v>0</v>
      </c>
      <c r="AZ63" s="9"/>
      <c r="BA63" s="10">
        <v>0</v>
      </c>
      <c r="BB63" s="9"/>
      <c r="BC63" s="10">
        <v>0</v>
      </c>
      <c r="BD63" s="9"/>
      <c r="BE63" s="10">
        <v>0</v>
      </c>
      <c r="BF63" s="11">
        <v>0</v>
      </c>
      <c r="BG63" s="12">
        <v>0</v>
      </c>
      <c r="BH63" s="9"/>
      <c r="BI63" s="10">
        <v>0</v>
      </c>
      <c r="BJ63" s="9"/>
      <c r="BK63" s="10">
        <v>0</v>
      </c>
      <c r="BL63" s="9"/>
      <c r="BM63" s="10">
        <v>0</v>
      </c>
      <c r="BN63" s="9"/>
      <c r="BO63" s="10">
        <v>0</v>
      </c>
      <c r="BP63" s="9"/>
      <c r="BQ63" s="10">
        <v>0</v>
      </c>
      <c r="BR63" s="19">
        <v>0</v>
      </c>
      <c r="BS63" s="10">
        <v>0</v>
      </c>
      <c r="BT63" s="9"/>
      <c r="BU63" s="10">
        <v>0</v>
      </c>
      <c r="BV63" s="9"/>
      <c r="BW63" s="10">
        <v>0</v>
      </c>
      <c r="BX63" s="9"/>
      <c r="BY63" s="10">
        <v>0</v>
      </c>
      <c r="BZ63" s="9"/>
      <c r="CA63" s="10">
        <v>0</v>
      </c>
      <c r="CB63" s="9"/>
      <c r="CC63" s="10">
        <v>0</v>
      </c>
      <c r="CD63" s="9"/>
      <c r="CE63" s="10">
        <v>0</v>
      </c>
      <c r="CF63" s="9"/>
      <c r="CG63" s="10">
        <v>0</v>
      </c>
      <c r="CH63" s="11">
        <v>0</v>
      </c>
      <c r="CI63" s="12">
        <v>0</v>
      </c>
      <c r="CJ63" s="31"/>
      <c r="CK63" s="10">
        <v>0</v>
      </c>
      <c r="CL63" s="9"/>
      <c r="CM63" s="10">
        <v>0</v>
      </c>
      <c r="CN63" s="9"/>
      <c r="CO63" s="10">
        <v>0</v>
      </c>
      <c r="CP63" s="9"/>
      <c r="CQ63" s="10">
        <v>0</v>
      </c>
      <c r="CR63" s="9"/>
      <c r="CS63" s="10">
        <v>0</v>
      </c>
      <c r="CT63" s="9"/>
      <c r="CU63" s="10">
        <v>0</v>
      </c>
      <c r="CV63" s="9"/>
      <c r="CW63" s="10">
        <v>0</v>
      </c>
      <c r="CX63" s="9"/>
      <c r="CY63" s="10">
        <v>0</v>
      </c>
      <c r="CZ63" s="9"/>
      <c r="DA63" s="10">
        <v>0</v>
      </c>
      <c r="DB63" s="9"/>
      <c r="DC63" s="10">
        <v>0</v>
      </c>
      <c r="DD63" s="9"/>
      <c r="DE63" s="10">
        <v>0</v>
      </c>
      <c r="DF63" s="9"/>
      <c r="DG63" s="10">
        <v>0</v>
      </c>
      <c r="DH63" s="9"/>
      <c r="DI63" s="10">
        <v>0</v>
      </c>
      <c r="DJ63" s="10"/>
      <c r="DK63" s="10"/>
      <c r="DL63" s="19">
        <v>0</v>
      </c>
      <c r="DM63" s="10">
        <v>0</v>
      </c>
      <c r="DX63" s="52">
        <v>0</v>
      </c>
    </row>
    <row r="64" spans="1:128" hidden="1">
      <c r="A64" s="32"/>
      <c r="B64" s="33"/>
      <c r="C64" s="33"/>
      <c r="D64" s="33"/>
      <c r="E64" s="33"/>
      <c r="F64" s="34"/>
      <c r="G64" s="34"/>
      <c r="H64" s="9"/>
      <c r="I64" s="10"/>
      <c r="J64" s="9"/>
      <c r="K64" s="10"/>
      <c r="L64" s="9"/>
      <c r="M64" s="10"/>
      <c r="N64" s="9"/>
      <c r="O64" s="10"/>
      <c r="P64" s="9"/>
      <c r="Q64" s="10"/>
      <c r="R64" s="9"/>
      <c r="S64" s="10"/>
      <c r="T64" s="9"/>
      <c r="U64" s="10"/>
      <c r="V64" s="9"/>
      <c r="W64" s="10"/>
      <c r="X64" s="9"/>
      <c r="Y64" s="10"/>
      <c r="Z64" s="9"/>
      <c r="AA64" s="10"/>
      <c r="AB64" s="9"/>
      <c r="AC64" s="10"/>
      <c r="AD64" s="9"/>
      <c r="AE64" s="10"/>
      <c r="AF64" s="11"/>
      <c r="AG64" s="12"/>
      <c r="AH64" s="9"/>
      <c r="AI64" s="10"/>
      <c r="AJ64" s="9"/>
      <c r="AK64" s="10"/>
      <c r="AL64" s="9"/>
      <c r="AM64" s="10"/>
      <c r="AN64" s="9"/>
      <c r="AO64" s="10"/>
      <c r="AP64" s="9"/>
      <c r="AQ64" s="10"/>
      <c r="AR64" s="9"/>
      <c r="AS64" s="10"/>
      <c r="AT64" s="9"/>
      <c r="AU64" s="10"/>
      <c r="AV64" s="9"/>
      <c r="AW64" s="10"/>
      <c r="AX64" s="9"/>
      <c r="AY64" s="10"/>
      <c r="AZ64" s="9"/>
      <c r="BA64" s="10"/>
      <c r="BB64" s="9"/>
      <c r="BC64" s="10"/>
      <c r="BD64" s="9"/>
      <c r="BE64" s="10"/>
      <c r="BF64" s="11"/>
      <c r="BG64" s="12"/>
      <c r="BH64" s="9"/>
      <c r="BI64" s="10"/>
      <c r="BJ64" s="9"/>
      <c r="BK64" s="10"/>
      <c r="BL64" s="9"/>
      <c r="BM64" s="10"/>
      <c r="BN64" s="9"/>
      <c r="BO64" s="10"/>
      <c r="BP64" s="9"/>
      <c r="BQ64" s="10"/>
      <c r="BR64" s="19">
        <v>0</v>
      </c>
      <c r="BS64" s="10">
        <v>0</v>
      </c>
      <c r="BT64" s="9"/>
      <c r="BU64" s="10"/>
      <c r="BV64" s="9"/>
      <c r="BW64" s="10"/>
      <c r="BX64" s="9"/>
      <c r="BY64" s="10"/>
      <c r="BZ64" s="9"/>
      <c r="CA64" s="10"/>
      <c r="CB64" s="9"/>
      <c r="CC64" s="10"/>
      <c r="CD64" s="9"/>
      <c r="CE64" s="10"/>
      <c r="CF64" s="9"/>
      <c r="CG64" s="10"/>
      <c r="CH64" s="11"/>
      <c r="CI64" s="12"/>
      <c r="CJ64" s="9"/>
      <c r="CK64" s="10"/>
      <c r="CL64" s="14"/>
      <c r="CM64" s="10"/>
      <c r="CN64" s="14"/>
      <c r="CO64" s="17"/>
      <c r="CP64" s="14"/>
      <c r="CQ64" s="17"/>
      <c r="CR64" s="14"/>
      <c r="CS64" s="17"/>
      <c r="CT64" s="14"/>
      <c r="CU64" s="17"/>
      <c r="CV64" s="14"/>
      <c r="CW64" s="17"/>
      <c r="CX64" s="14"/>
      <c r="CY64" s="17"/>
      <c r="CZ64" s="14"/>
      <c r="DA64" s="17"/>
      <c r="DB64" s="14"/>
      <c r="DC64" s="17"/>
      <c r="DD64" s="14"/>
      <c r="DE64" s="17"/>
      <c r="DF64" s="14"/>
      <c r="DG64" s="17"/>
      <c r="DH64" s="14"/>
      <c r="DI64" s="17"/>
      <c r="DJ64" s="17"/>
      <c r="DK64" s="17"/>
      <c r="DL64" s="16"/>
      <c r="DM64" s="17"/>
      <c r="DX64" s="52">
        <v>0</v>
      </c>
    </row>
    <row r="65" spans="1:128" hidden="1">
      <c r="A65" s="35"/>
      <c r="B65" s="23" t="s">
        <v>60</v>
      </c>
      <c r="C65" s="23"/>
      <c r="D65" s="23"/>
      <c r="E65" s="23"/>
      <c r="F65" s="25"/>
      <c r="G65" s="25"/>
      <c r="H65" s="26">
        <v>19216</v>
      </c>
      <c r="I65" s="27">
        <v>9343.25</v>
      </c>
      <c r="J65" s="26">
        <v>6781</v>
      </c>
      <c r="K65" s="27">
        <v>2927.3999999999996</v>
      </c>
      <c r="L65" s="26">
        <v>7169</v>
      </c>
      <c r="M65" s="27">
        <v>3460.7999999999993</v>
      </c>
      <c r="N65" s="26">
        <v>32435</v>
      </c>
      <c r="O65" s="27">
        <v>11587.274999999998</v>
      </c>
      <c r="P65" s="26">
        <v>5075</v>
      </c>
      <c r="Q65" s="27">
        <v>2334.5</v>
      </c>
      <c r="R65" s="26">
        <v>5630</v>
      </c>
      <c r="S65" s="27">
        <v>2459.1</v>
      </c>
      <c r="T65" s="26">
        <v>6830</v>
      </c>
      <c r="U65" s="27">
        <v>3185.1750000000002</v>
      </c>
      <c r="V65" s="26">
        <v>4334</v>
      </c>
      <c r="W65" s="27">
        <v>2109.0999999999995</v>
      </c>
      <c r="X65" s="26">
        <v>2373</v>
      </c>
      <c r="Y65" s="27">
        <v>1114.5749999999998</v>
      </c>
      <c r="Z65" s="26">
        <v>2829</v>
      </c>
      <c r="AA65" s="27">
        <v>1306.375</v>
      </c>
      <c r="AB65" s="26">
        <v>2889</v>
      </c>
      <c r="AC65" s="27">
        <v>1396.5</v>
      </c>
      <c r="AD65" s="26">
        <v>4559</v>
      </c>
      <c r="AE65" s="27">
        <v>2204.1249999999995</v>
      </c>
      <c r="AF65" s="28">
        <v>8343.3333333333339</v>
      </c>
      <c r="AG65" s="29">
        <v>3619.0145833333327</v>
      </c>
      <c r="AH65" s="26">
        <v>4528</v>
      </c>
      <c r="AI65" s="27">
        <v>1975.7499999999998</v>
      </c>
      <c r="AJ65" s="26">
        <v>3756</v>
      </c>
      <c r="AK65" s="27">
        <v>1774.4999999999998</v>
      </c>
      <c r="AL65" s="26">
        <v>2101</v>
      </c>
      <c r="AM65" s="27">
        <v>1064</v>
      </c>
      <c r="AN65" s="26">
        <v>3165</v>
      </c>
      <c r="AO65" s="27">
        <v>1365.7</v>
      </c>
      <c r="AP65" s="26">
        <v>2082</v>
      </c>
      <c r="AQ65" s="27">
        <v>1032.675</v>
      </c>
      <c r="AR65" s="26">
        <v>2096</v>
      </c>
      <c r="AS65" s="27">
        <v>1024.0999999999999</v>
      </c>
      <c r="AT65" s="26">
        <v>1732</v>
      </c>
      <c r="AU65" s="27">
        <v>858.375</v>
      </c>
      <c r="AV65" s="26">
        <v>2122</v>
      </c>
      <c r="AW65" s="27">
        <v>1006.0749999999999</v>
      </c>
      <c r="AX65" s="26">
        <v>2222</v>
      </c>
      <c r="AY65" s="27">
        <v>1019.2</v>
      </c>
      <c r="AZ65" s="26">
        <v>2467</v>
      </c>
      <c r="BA65" s="27">
        <v>941.84999999999991</v>
      </c>
      <c r="BB65" s="26">
        <v>1565</v>
      </c>
      <c r="BC65" s="27">
        <v>766.5</v>
      </c>
      <c r="BD65" s="26">
        <v>5955</v>
      </c>
      <c r="BE65" s="27">
        <v>2243.3249999999998</v>
      </c>
      <c r="BF65" s="28">
        <v>2815.916666666667</v>
      </c>
      <c r="BG65" s="29">
        <v>1256.0041666666666</v>
      </c>
      <c r="BH65" s="26">
        <v>1752</v>
      </c>
      <c r="BI65" s="27">
        <v>907.19999999999993</v>
      </c>
      <c r="BJ65" s="26">
        <v>2206</v>
      </c>
      <c r="BK65" s="27">
        <v>1138.375</v>
      </c>
      <c r="BL65" s="26">
        <v>3341</v>
      </c>
      <c r="BM65" s="27">
        <v>1520.7499999999998</v>
      </c>
      <c r="BN65" s="26">
        <v>1913</v>
      </c>
      <c r="BO65" s="27">
        <v>821.09999999999991</v>
      </c>
      <c r="BP65" s="26">
        <v>1068</v>
      </c>
      <c r="BQ65" s="27">
        <v>489.65</v>
      </c>
      <c r="BR65" s="19">
        <v>2056</v>
      </c>
      <c r="BS65" s="10">
        <v>975.41499999999974</v>
      </c>
      <c r="BT65" s="26">
        <v>1632</v>
      </c>
      <c r="BU65" s="27">
        <v>763.17499999999995</v>
      </c>
      <c r="BV65" s="26">
        <v>2029</v>
      </c>
      <c r="BW65" s="27">
        <v>1096.1999999999998</v>
      </c>
      <c r="BX65" s="26">
        <v>2274</v>
      </c>
      <c r="BY65" s="27">
        <v>942.89999999999986</v>
      </c>
      <c r="BZ65" s="26">
        <v>1207</v>
      </c>
      <c r="CA65" s="27">
        <v>451.14999999999992</v>
      </c>
      <c r="CB65" s="26">
        <v>1780</v>
      </c>
      <c r="CC65" s="27">
        <v>739.375</v>
      </c>
      <c r="CD65" s="26">
        <v>1518</v>
      </c>
      <c r="CE65" s="27">
        <v>572.59999999999991</v>
      </c>
      <c r="CF65" s="26">
        <v>401</v>
      </c>
      <c r="CG65" s="27">
        <v>170.1</v>
      </c>
      <c r="CH65" s="28">
        <v>1760.0833333333333</v>
      </c>
      <c r="CI65" s="29">
        <v>801.04791666666665</v>
      </c>
      <c r="CJ65" s="26">
        <v>1752</v>
      </c>
      <c r="CK65" s="27">
        <v>797.65</v>
      </c>
      <c r="CL65" s="26">
        <v>397</v>
      </c>
      <c r="CM65" s="27">
        <v>118.29999999999998</v>
      </c>
      <c r="CN65" s="26">
        <v>540</v>
      </c>
      <c r="CO65" s="27">
        <v>211.04999999999998</v>
      </c>
      <c r="CP65" s="26">
        <v>180</v>
      </c>
      <c r="CQ65" s="27">
        <v>67.199999999999989</v>
      </c>
      <c r="CR65" s="26">
        <v>320</v>
      </c>
      <c r="CS65" s="27">
        <v>127.04999999999998</v>
      </c>
      <c r="CT65" s="26">
        <v>499</v>
      </c>
      <c r="CU65" s="27">
        <v>152.42500000000001</v>
      </c>
      <c r="CV65" s="26">
        <v>0</v>
      </c>
      <c r="CW65" s="27">
        <v>0</v>
      </c>
      <c r="CX65" s="26">
        <v>0</v>
      </c>
      <c r="CY65" s="27">
        <v>0</v>
      </c>
      <c r="CZ65" s="26">
        <v>0</v>
      </c>
      <c r="DA65" s="27">
        <v>0</v>
      </c>
      <c r="DB65" s="26">
        <v>0</v>
      </c>
      <c r="DC65" s="27">
        <v>0</v>
      </c>
      <c r="DD65" s="26">
        <v>0</v>
      </c>
      <c r="DE65" s="27">
        <v>0</v>
      </c>
      <c r="DF65" s="26">
        <v>0</v>
      </c>
      <c r="DG65" s="27">
        <v>0</v>
      </c>
      <c r="DH65" s="26">
        <v>0</v>
      </c>
      <c r="DI65" s="27">
        <v>0</v>
      </c>
      <c r="DJ65" s="27"/>
      <c r="DK65" s="27"/>
      <c r="DL65" s="26">
        <v>1936</v>
      </c>
      <c r="DM65" s="27">
        <v>676.02499999999986</v>
      </c>
      <c r="DX65" s="52">
        <v>0</v>
      </c>
    </row>
    <row r="66" spans="1:128" hidden="1">
      <c r="A66" s="36"/>
      <c r="B66" s="24" t="s">
        <v>61</v>
      </c>
      <c r="C66" s="24"/>
      <c r="D66" s="24"/>
      <c r="E66" s="24"/>
      <c r="F66" s="24"/>
      <c r="G66" s="24"/>
      <c r="H66" s="37">
        <v>673307</v>
      </c>
      <c r="I66" s="38">
        <v>434360.31</v>
      </c>
      <c r="J66" s="37">
        <v>635325</v>
      </c>
      <c r="K66" s="38">
        <v>409965.08000000007</v>
      </c>
      <c r="L66" s="37">
        <v>722475</v>
      </c>
      <c r="M66" s="38">
        <v>469569.64</v>
      </c>
      <c r="N66" s="37">
        <v>565018</v>
      </c>
      <c r="O66" s="38">
        <v>358186.65500000003</v>
      </c>
      <c r="P66" s="37">
        <v>564244</v>
      </c>
      <c r="Q66" s="38">
        <v>364154.08000000007</v>
      </c>
      <c r="R66" s="37">
        <v>652490</v>
      </c>
      <c r="S66" s="38">
        <v>420300.77999999991</v>
      </c>
      <c r="T66" s="37">
        <v>647908</v>
      </c>
      <c r="U66" s="38">
        <v>418437.21500000008</v>
      </c>
      <c r="V66" s="37">
        <v>719553</v>
      </c>
      <c r="W66" s="38">
        <v>466812.68000000005</v>
      </c>
      <c r="X66" s="37">
        <v>633387</v>
      </c>
      <c r="Y66" s="38">
        <v>408968.65500000009</v>
      </c>
      <c r="Z66" s="37">
        <v>599383</v>
      </c>
      <c r="AA66" s="38">
        <v>386824.28500000003</v>
      </c>
      <c r="AB66" s="37">
        <v>667503</v>
      </c>
      <c r="AC66" s="38">
        <v>432396.74000000005</v>
      </c>
      <c r="AD66" s="37">
        <v>726650</v>
      </c>
      <c r="AE66" s="38">
        <v>468939.51500000001</v>
      </c>
      <c r="AF66" s="39">
        <v>650603.58333333337</v>
      </c>
      <c r="AG66" s="29">
        <v>419909.63624999998</v>
      </c>
      <c r="AH66" s="37">
        <v>700686</v>
      </c>
      <c r="AI66" s="38">
        <v>452951.16</v>
      </c>
      <c r="AJ66" s="37">
        <v>586745</v>
      </c>
      <c r="AK66" s="38">
        <v>378003.1</v>
      </c>
      <c r="AL66" s="37">
        <v>564026</v>
      </c>
      <c r="AM66" s="38">
        <v>365983.43</v>
      </c>
      <c r="AN66" s="37">
        <v>568040</v>
      </c>
      <c r="AO66" s="38">
        <v>367781.27000000008</v>
      </c>
      <c r="AP66" s="37">
        <v>478139</v>
      </c>
      <c r="AQ66" s="38">
        <v>310902.64500000002</v>
      </c>
      <c r="AR66" s="37">
        <v>602441</v>
      </c>
      <c r="AS66" s="38">
        <v>390590.63999999996</v>
      </c>
      <c r="AT66" s="37">
        <v>656344</v>
      </c>
      <c r="AU66" s="38">
        <v>425742.52500000002</v>
      </c>
      <c r="AV66" s="37">
        <v>629458</v>
      </c>
      <c r="AW66" s="38">
        <v>406654.19500000007</v>
      </c>
      <c r="AX66" s="37">
        <v>616621</v>
      </c>
      <c r="AY66" s="38">
        <v>399341.25000000006</v>
      </c>
      <c r="AZ66" s="37">
        <v>665349</v>
      </c>
      <c r="BA66" s="38">
        <v>429634.99</v>
      </c>
      <c r="BB66" s="37">
        <v>679818</v>
      </c>
      <c r="BC66" s="38">
        <v>441654.64000000007</v>
      </c>
      <c r="BD66" s="37">
        <v>852653</v>
      </c>
      <c r="BE66" s="38">
        <v>550908.30500000005</v>
      </c>
      <c r="BF66" s="39">
        <v>633360.00000000012</v>
      </c>
      <c r="BG66" s="29">
        <v>410012.34583333327</v>
      </c>
      <c r="BH66" s="37">
        <v>950930</v>
      </c>
      <c r="BI66" s="38">
        <v>614419.39999999991</v>
      </c>
      <c r="BJ66" s="37">
        <v>775985</v>
      </c>
      <c r="BK66" s="38">
        <v>501687.05499999993</v>
      </c>
      <c r="BL66" s="37">
        <v>797449</v>
      </c>
      <c r="BM66" s="38">
        <v>514439.88999999996</v>
      </c>
      <c r="BN66" s="37">
        <v>750991</v>
      </c>
      <c r="BO66" s="38">
        <v>487358.1</v>
      </c>
      <c r="BP66" s="37">
        <v>841660</v>
      </c>
      <c r="BQ66" s="38">
        <v>541704.71000000008</v>
      </c>
      <c r="BR66" s="19">
        <v>823403</v>
      </c>
      <c r="BS66" s="10">
        <v>531921.83100000001</v>
      </c>
      <c r="BT66" s="37">
        <v>822028</v>
      </c>
      <c r="BU66" s="38">
        <v>530600.14500000014</v>
      </c>
      <c r="BV66" s="37">
        <v>870166</v>
      </c>
      <c r="BW66" s="38">
        <v>562774.81999999995</v>
      </c>
      <c r="BX66" s="37">
        <v>866931</v>
      </c>
      <c r="BY66" s="38">
        <v>561856.58000000007</v>
      </c>
      <c r="BZ66" s="37">
        <v>902848</v>
      </c>
      <c r="CA66" s="38">
        <v>584416.41</v>
      </c>
      <c r="CB66" s="37">
        <v>948196</v>
      </c>
      <c r="CC66" s="38">
        <v>616091.02500000002</v>
      </c>
      <c r="CD66" s="37">
        <v>918548</v>
      </c>
      <c r="CE66" s="38">
        <v>596407.62</v>
      </c>
      <c r="CF66" s="37">
        <v>1013832</v>
      </c>
      <c r="CG66" s="38">
        <v>662323.54</v>
      </c>
      <c r="CH66" s="39">
        <v>871630.33333333337</v>
      </c>
      <c r="CI66" s="29">
        <v>564506.60791666666</v>
      </c>
      <c r="CJ66" s="37">
        <v>878551</v>
      </c>
      <c r="CK66" s="38">
        <v>568660.41</v>
      </c>
      <c r="CL66" s="37">
        <v>966149</v>
      </c>
      <c r="CM66" s="38">
        <v>631951.18000000005</v>
      </c>
      <c r="CN66" s="37">
        <v>819391</v>
      </c>
      <c r="CO66" s="38">
        <v>533039.53</v>
      </c>
      <c r="CP66" s="37">
        <v>1020734</v>
      </c>
      <c r="CQ66" s="38">
        <v>677415.91999999993</v>
      </c>
      <c r="CR66" s="37">
        <v>803419</v>
      </c>
      <c r="CS66" s="38">
        <v>524739.30000000005</v>
      </c>
      <c r="CT66" s="37">
        <v>889239</v>
      </c>
      <c r="CU66" s="38">
        <v>583333.91500000015</v>
      </c>
      <c r="CV66" s="37">
        <v>0</v>
      </c>
      <c r="CW66" s="38">
        <v>0</v>
      </c>
      <c r="CX66" s="37">
        <v>0</v>
      </c>
      <c r="CY66" s="38">
        <v>0</v>
      </c>
      <c r="CZ66" s="37">
        <v>0</v>
      </c>
      <c r="DA66" s="38">
        <v>0</v>
      </c>
      <c r="DB66" s="37">
        <v>0</v>
      </c>
      <c r="DC66" s="38">
        <v>0</v>
      </c>
      <c r="DD66" s="37">
        <v>0</v>
      </c>
      <c r="DE66" s="38">
        <v>0</v>
      </c>
      <c r="DF66" s="37">
        <v>0</v>
      </c>
      <c r="DG66" s="38">
        <v>0</v>
      </c>
      <c r="DH66" s="37">
        <v>0</v>
      </c>
      <c r="DI66" s="38">
        <v>0</v>
      </c>
      <c r="DJ66" s="38"/>
      <c r="DK66" s="38"/>
      <c r="DL66" s="37">
        <v>4498932</v>
      </c>
      <c r="DM66" s="38">
        <v>2950479.8449999993</v>
      </c>
      <c r="DX66" s="52">
        <v>0</v>
      </c>
    </row>
    <row r="67" spans="1:128" ht="21.75" customHeight="1"/>
    <row r="68" spans="1:128" ht="21.75" customHeight="1"/>
    <row r="69" spans="1:128">
      <c r="CN69" s="43"/>
      <c r="CO69" s="44"/>
      <c r="CP69" s="43"/>
      <c r="CQ69" s="44"/>
      <c r="CR69" s="43"/>
      <c r="CS69" s="44"/>
      <c r="CT69" s="43"/>
      <c r="CU69" s="44"/>
      <c r="CX69" s="45"/>
      <c r="CY69" s="46"/>
      <c r="CZ69" s="43"/>
      <c r="DA69" s="44"/>
    </row>
    <row r="70" spans="1:128">
      <c r="DD70" s="43"/>
      <c r="DE70" s="44"/>
    </row>
    <row r="71" spans="1:128" ht="21.75" customHeight="1"/>
    <row r="72" spans="1:128" ht="21.75" customHeight="1"/>
    <row r="73" spans="1:128" ht="21.75" customHeight="1"/>
    <row r="74" spans="1:128" ht="21.75" customHeight="1"/>
    <row r="75" spans="1:128" ht="21.75" customHeight="1"/>
    <row r="76" spans="1:128" ht="21.75" customHeight="1"/>
    <row r="77" spans="1:128" ht="21.75" customHeight="1"/>
    <row r="78" spans="1:128" ht="21.75" customHeight="1"/>
    <row r="79" spans="1:128" ht="21.75" customHeight="1"/>
    <row r="80" spans="1:128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</sheetData>
  <mergeCells count="68">
    <mergeCell ref="DL2:DM2"/>
    <mergeCell ref="DN2:DO2"/>
    <mergeCell ref="DQ2:DQ3"/>
    <mergeCell ref="DT2:DU2"/>
    <mergeCell ref="CX2:CY2"/>
    <mergeCell ref="CZ2:DA2"/>
    <mergeCell ref="DB2:DC2"/>
    <mergeCell ref="DD2:DE2"/>
    <mergeCell ref="DF2:DG2"/>
    <mergeCell ref="DH2:DI2"/>
    <mergeCell ref="CV2:CW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BX2:BY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Z2:AA2"/>
    <mergeCell ref="AZ2:BA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P2:Q2"/>
    <mergeCell ref="R2:S2"/>
    <mergeCell ref="T2:U2"/>
    <mergeCell ref="V2:W2"/>
    <mergeCell ref="X2:Y2"/>
    <mergeCell ref="A1:G1"/>
    <mergeCell ref="CL1:DM1"/>
    <mergeCell ref="DT1:DW1"/>
    <mergeCell ref="DX1:DX3"/>
    <mergeCell ref="A2:A3"/>
    <mergeCell ref="B2:B3"/>
    <mergeCell ref="C2:C3"/>
    <mergeCell ref="D2:D3"/>
    <mergeCell ref="E2:E3"/>
    <mergeCell ref="F2:F3"/>
    <mergeCell ref="AB2:AC2"/>
    <mergeCell ref="G2:G3"/>
    <mergeCell ref="H2:I2"/>
    <mergeCell ref="J2:K2"/>
    <mergeCell ref="L2:M2"/>
    <mergeCell ref="N2:O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0471-D233-469C-902E-59194CEF5CB9}">
  <sheetPr>
    <tabColor theme="9" tint="0.59999389629810485"/>
  </sheetPr>
  <dimension ref="A2:DR52"/>
  <sheetViews>
    <sheetView zoomScale="80" zoomScaleNormal="80" workbookViewId="0">
      <pane xSplit="5" ySplit="3" topLeftCell="BY44" activePane="bottomRight" state="frozen"/>
      <selection pane="topRight" activeCell="F1" sqref="F1"/>
      <selection pane="bottomLeft" activeCell="A4" sqref="A4"/>
      <selection pane="bottomRight" activeCell="DP65" sqref="DP65"/>
    </sheetView>
  </sheetViews>
  <sheetFormatPr defaultColWidth="9.109375" defaultRowHeight="20.399999999999999"/>
  <cols>
    <col min="1" max="1" width="6" style="571" customWidth="1"/>
    <col min="2" max="2" width="17.109375" style="571" customWidth="1"/>
    <col min="3" max="3" width="27.6640625" style="571" hidden="1" customWidth="1"/>
    <col min="4" max="4" width="18.5546875" style="571" customWidth="1"/>
    <col min="5" max="5" width="18.88671875" style="571" hidden="1" customWidth="1"/>
    <col min="6" max="6" width="18" style="571" customWidth="1"/>
    <col min="7" max="7" width="9.44140625" style="571" hidden="1" customWidth="1"/>
    <col min="8" max="8" width="10.33203125" style="571" hidden="1" customWidth="1"/>
    <col min="9" max="9" width="9.44140625" style="571" hidden="1" customWidth="1"/>
    <col min="10" max="10" width="10.33203125" style="571" hidden="1" customWidth="1"/>
    <col min="11" max="11" width="9.44140625" style="571" hidden="1" customWidth="1"/>
    <col min="12" max="12" width="10.33203125" style="571" hidden="1" customWidth="1"/>
    <col min="13" max="13" width="9.44140625" style="571" hidden="1" customWidth="1"/>
    <col min="14" max="14" width="10.33203125" style="571" hidden="1" customWidth="1"/>
    <col min="15" max="15" width="9.44140625" style="571" hidden="1" customWidth="1"/>
    <col min="16" max="16" width="10.33203125" style="571" hidden="1" customWidth="1"/>
    <col min="17" max="17" width="9.44140625" style="571" hidden="1" customWidth="1"/>
    <col min="18" max="18" width="10.33203125" style="571" hidden="1" customWidth="1"/>
    <col min="19" max="19" width="9.44140625" style="571" hidden="1" customWidth="1"/>
    <col min="20" max="20" width="10.33203125" style="571" hidden="1" customWidth="1"/>
    <col min="21" max="21" width="9.44140625" style="571" hidden="1" customWidth="1"/>
    <col min="22" max="22" width="10.33203125" style="571" hidden="1" customWidth="1"/>
    <col min="23" max="23" width="9.44140625" style="571" hidden="1" customWidth="1"/>
    <col min="24" max="24" width="10.33203125" style="571" hidden="1" customWidth="1"/>
    <col min="25" max="25" width="9.44140625" style="571" hidden="1" customWidth="1"/>
    <col min="26" max="26" width="10.33203125" style="571" hidden="1" customWidth="1"/>
    <col min="27" max="27" width="9.44140625" style="571" hidden="1" customWidth="1"/>
    <col min="28" max="28" width="10.33203125" style="571" hidden="1" customWidth="1"/>
    <col min="29" max="29" width="9.44140625" style="571" hidden="1" customWidth="1"/>
    <col min="30" max="30" width="10.5546875" style="571" hidden="1" customWidth="1"/>
    <col min="31" max="31" width="10.33203125" style="571" hidden="1" customWidth="1"/>
    <col min="32" max="32" width="12" style="571" hidden="1" customWidth="1"/>
    <col min="33" max="33" width="9.44140625" style="571" hidden="1" customWidth="1"/>
    <col min="34" max="35" width="10.33203125" style="571" hidden="1" customWidth="1"/>
    <col min="36" max="36" width="9.44140625" style="571" hidden="1" customWidth="1"/>
    <col min="37" max="37" width="10.33203125" style="571" hidden="1" customWidth="1"/>
    <col min="38" max="38" width="10" style="571" hidden="1" customWidth="1"/>
    <col min="39" max="39" width="9.44140625" style="571" hidden="1" customWidth="1"/>
    <col min="40" max="40" width="10.5546875" style="571" hidden="1" customWidth="1"/>
    <col min="41" max="41" width="10.33203125" style="571" hidden="1" customWidth="1"/>
    <col min="42" max="42" width="9.44140625" style="571" hidden="1" customWidth="1"/>
    <col min="43" max="44" width="10.33203125" style="571" hidden="1" customWidth="1"/>
    <col min="45" max="45" width="9.44140625" style="571" hidden="1" customWidth="1"/>
    <col min="46" max="47" width="10.33203125" style="571" hidden="1" customWidth="1"/>
    <col min="48" max="48" width="9.44140625" style="571" hidden="1" customWidth="1"/>
    <col min="49" max="50" width="10.33203125" style="571" hidden="1" customWidth="1"/>
    <col min="51" max="51" width="9.44140625" style="571" hidden="1" customWidth="1"/>
    <col min="52" max="53" width="10.33203125" style="571" hidden="1" customWidth="1"/>
    <col min="54" max="54" width="9.44140625" style="571" hidden="1" customWidth="1"/>
    <col min="55" max="55" width="10.33203125" style="571" hidden="1" customWidth="1"/>
    <col min="56" max="56" width="10" style="571" hidden="1" customWidth="1"/>
    <col min="57" max="57" width="9.44140625" style="571" hidden="1" customWidth="1"/>
    <col min="58" max="59" width="10.33203125" style="571" hidden="1" customWidth="1"/>
    <col min="60" max="60" width="9.44140625" style="571" hidden="1" customWidth="1"/>
    <col min="61" max="62" width="10.33203125" style="571" hidden="1" customWidth="1"/>
    <col min="63" max="63" width="9.44140625" style="571" hidden="1" customWidth="1"/>
    <col min="64" max="65" width="10.33203125" style="571" hidden="1" customWidth="1"/>
    <col min="66" max="66" width="9.44140625" style="571" hidden="1" customWidth="1"/>
    <col min="67" max="68" width="10.33203125" style="571" hidden="1" customWidth="1"/>
    <col min="69" max="69" width="10.6640625" style="571" hidden="1" customWidth="1"/>
    <col min="70" max="70" width="11.5546875" style="571" hidden="1" customWidth="1"/>
    <col min="71" max="71" width="10.6640625" style="571" hidden="1" customWidth="1"/>
    <col min="72" max="77" width="10.6640625" style="571" customWidth="1"/>
    <col min="78" max="80" width="9.109375" style="571" hidden="1" customWidth="1"/>
    <col min="81" max="113" width="10.109375" style="571" hidden="1" customWidth="1"/>
    <col min="114" max="114" width="9.88671875" style="571" hidden="1" customWidth="1"/>
    <col min="115" max="116" width="10.5546875" style="571" hidden="1" customWidth="1"/>
    <col min="117" max="117" width="9.6640625" style="571" bestFit="1" customWidth="1"/>
    <col min="118" max="119" width="9.5546875" style="571" bestFit="1" customWidth="1"/>
    <col min="120" max="120" width="18.88671875" style="571" bestFit="1" customWidth="1"/>
    <col min="121" max="121" width="17.88671875" style="571" bestFit="1" customWidth="1"/>
    <col min="122" max="122" width="10.5546875" style="820" bestFit="1" customWidth="1"/>
    <col min="123" max="16384" width="9.109375" style="571"/>
  </cols>
  <sheetData>
    <row r="2" spans="1:122" ht="29.25" customHeight="1">
      <c r="A2" s="874" t="s">
        <v>341</v>
      </c>
      <c r="B2" s="874"/>
      <c r="C2" s="874"/>
      <c r="D2" s="874"/>
      <c r="E2" s="874"/>
      <c r="F2" s="874"/>
      <c r="G2" s="871">
        <v>45292</v>
      </c>
      <c r="H2" s="868"/>
      <c r="I2" s="871">
        <v>45323</v>
      </c>
      <c r="J2" s="871"/>
      <c r="K2" s="871">
        <v>45352</v>
      </c>
      <c r="L2" s="868"/>
      <c r="M2" s="871">
        <v>45383</v>
      </c>
      <c r="N2" s="871"/>
      <c r="O2" s="871">
        <v>45413</v>
      </c>
      <c r="P2" s="868"/>
      <c r="Q2" s="871">
        <v>45444</v>
      </c>
      <c r="R2" s="871"/>
      <c r="S2" s="871">
        <v>45474</v>
      </c>
      <c r="T2" s="868"/>
      <c r="U2" s="871">
        <v>45505</v>
      </c>
      <c r="V2" s="871"/>
      <c r="W2" s="871">
        <v>45536</v>
      </c>
      <c r="X2" s="868"/>
      <c r="Y2" s="871">
        <v>45566</v>
      </c>
      <c r="Z2" s="871"/>
      <c r="AA2" s="871">
        <v>45597</v>
      </c>
      <c r="AB2" s="868"/>
      <c r="AC2" s="871">
        <v>45627</v>
      </c>
      <c r="AD2" s="871"/>
      <c r="AE2" s="868" t="s">
        <v>206</v>
      </c>
      <c r="AF2" s="868"/>
      <c r="AG2" s="872">
        <v>45658</v>
      </c>
      <c r="AH2" s="873"/>
      <c r="AI2" s="873"/>
      <c r="AJ2" s="872">
        <v>45689</v>
      </c>
      <c r="AK2" s="873"/>
      <c r="AL2" s="873"/>
      <c r="AM2" s="872">
        <v>45717</v>
      </c>
      <c r="AN2" s="873"/>
      <c r="AO2" s="873"/>
      <c r="AP2" s="872">
        <v>45748</v>
      </c>
      <c r="AQ2" s="873"/>
      <c r="AR2" s="873"/>
      <c r="AS2" s="872">
        <v>45778</v>
      </c>
      <c r="AT2" s="873"/>
      <c r="AU2" s="873"/>
      <c r="AV2" s="872">
        <v>45809</v>
      </c>
      <c r="AW2" s="873"/>
      <c r="AX2" s="873"/>
      <c r="AY2" s="872">
        <v>45839</v>
      </c>
      <c r="AZ2" s="873"/>
      <c r="BA2" s="873"/>
      <c r="BB2" s="872">
        <v>45870</v>
      </c>
      <c r="BC2" s="873"/>
      <c r="BD2" s="873"/>
      <c r="BE2" s="872">
        <v>45901</v>
      </c>
      <c r="BF2" s="873"/>
      <c r="BG2" s="873"/>
      <c r="BH2" s="872">
        <v>45931</v>
      </c>
      <c r="BI2" s="873"/>
      <c r="BJ2" s="873"/>
      <c r="BK2" s="872">
        <v>45962</v>
      </c>
      <c r="BL2" s="873"/>
      <c r="BM2" s="873"/>
      <c r="BN2" s="872">
        <v>45992</v>
      </c>
      <c r="BO2" s="873"/>
      <c r="BP2" s="873"/>
      <c r="BQ2" s="868" t="s">
        <v>207</v>
      </c>
      <c r="BR2" s="868"/>
      <c r="BS2" s="868"/>
      <c r="BT2" s="868" t="s">
        <v>1255</v>
      </c>
      <c r="BU2" s="868"/>
      <c r="BV2" s="868"/>
      <c r="BW2" s="868" t="s">
        <v>332</v>
      </c>
      <c r="BX2" s="868"/>
      <c r="BY2" s="868"/>
      <c r="BZ2" s="871">
        <v>46023</v>
      </c>
      <c r="CA2" s="871"/>
      <c r="CB2" s="871"/>
      <c r="CC2" s="871">
        <v>46054</v>
      </c>
      <c r="CD2" s="871"/>
      <c r="CE2" s="871"/>
      <c r="CF2" s="871">
        <v>46082</v>
      </c>
      <c r="CG2" s="871"/>
      <c r="CH2" s="871"/>
      <c r="CI2" s="871">
        <v>46113</v>
      </c>
      <c r="CJ2" s="871"/>
      <c r="CK2" s="871"/>
      <c r="CL2" s="871">
        <v>46143</v>
      </c>
      <c r="CM2" s="871"/>
      <c r="CN2" s="871"/>
      <c r="CO2" s="871">
        <v>46174</v>
      </c>
      <c r="CP2" s="871"/>
      <c r="CQ2" s="871"/>
      <c r="CR2" s="871">
        <v>46204</v>
      </c>
      <c r="CS2" s="871"/>
      <c r="CT2" s="871"/>
      <c r="CU2" s="871">
        <v>46235</v>
      </c>
      <c r="CV2" s="871"/>
      <c r="CW2" s="871"/>
      <c r="CX2" s="871">
        <v>46266</v>
      </c>
      <c r="CY2" s="871"/>
      <c r="CZ2" s="871"/>
      <c r="DA2" s="871">
        <v>46296</v>
      </c>
      <c r="DB2" s="871"/>
      <c r="DC2" s="871"/>
      <c r="DD2" s="871">
        <v>46327</v>
      </c>
      <c r="DE2" s="871"/>
      <c r="DF2" s="871"/>
      <c r="DG2" s="871">
        <v>46357</v>
      </c>
      <c r="DH2" s="871"/>
      <c r="DI2" s="871"/>
      <c r="DJ2" s="871" t="s">
        <v>342</v>
      </c>
      <c r="DK2" s="871"/>
      <c r="DL2" s="871"/>
      <c r="DM2" s="868" t="s">
        <v>1256</v>
      </c>
      <c r="DN2" s="868"/>
      <c r="DO2" s="868"/>
      <c r="DP2" s="570" t="s">
        <v>157</v>
      </c>
      <c r="DQ2" s="570" t="s">
        <v>157</v>
      </c>
      <c r="DR2" s="819" t="s">
        <v>343</v>
      </c>
    </row>
    <row r="3" spans="1:122">
      <c r="A3" s="572" t="s">
        <v>208</v>
      </c>
      <c r="B3" s="869" t="s">
        <v>209</v>
      </c>
      <c r="C3" s="869"/>
      <c r="D3" s="869" t="s">
        <v>210</v>
      </c>
      <c r="E3" s="869"/>
      <c r="F3" s="572" t="s">
        <v>211</v>
      </c>
      <c r="G3" s="573" t="s">
        <v>212</v>
      </c>
      <c r="H3" s="573" t="s">
        <v>213</v>
      </c>
      <c r="I3" s="573" t="s">
        <v>212</v>
      </c>
      <c r="J3" s="573" t="s">
        <v>213</v>
      </c>
      <c r="K3" s="573" t="s">
        <v>212</v>
      </c>
      <c r="L3" s="573" t="s">
        <v>213</v>
      </c>
      <c r="M3" s="573" t="s">
        <v>212</v>
      </c>
      <c r="N3" s="573" t="s">
        <v>213</v>
      </c>
      <c r="O3" s="573" t="s">
        <v>212</v>
      </c>
      <c r="P3" s="573" t="s">
        <v>213</v>
      </c>
      <c r="Q3" s="573" t="s">
        <v>212</v>
      </c>
      <c r="R3" s="573" t="s">
        <v>213</v>
      </c>
      <c r="S3" s="573" t="s">
        <v>212</v>
      </c>
      <c r="T3" s="573" t="s">
        <v>213</v>
      </c>
      <c r="U3" s="573" t="s">
        <v>212</v>
      </c>
      <c r="V3" s="573" t="s">
        <v>213</v>
      </c>
      <c r="W3" s="573" t="s">
        <v>212</v>
      </c>
      <c r="X3" s="573" t="s">
        <v>213</v>
      </c>
      <c r="Y3" s="573" t="s">
        <v>212</v>
      </c>
      <c r="Z3" s="573" t="s">
        <v>213</v>
      </c>
      <c r="AA3" s="573" t="s">
        <v>212</v>
      </c>
      <c r="AB3" s="573" t="s">
        <v>213</v>
      </c>
      <c r="AC3" s="573" t="s">
        <v>212</v>
      </c>
      <c r="AD3" s="573" t="s">
        <v>213</v>
      </c>
      <c r="AE3" s="573" t="s">
        <v>212</v>
      </c>
      <c r="AF3" s="573" t="s">
        <v>213</v>
      </c>
      <c r="AG3" s="573" t="s">
        <v>212</v>
      </c>
      <c r="AH3" s="573" t="s">
        <v>213</v>
      </c>
      <c r="AI3" s="573" t="s">
        <v>12</v>
      </c>
      <c r="AJ3" s="573" t="s">
        <v>212</v>
      </c>
      <c r="AK3" s="573" t="s">
        <v>213</v>
      </c>
      <c r="AL3" s="573" t="s">
        <v>12</v>
      </c>
      <c r="AM3" s="573" t="s">
        <v>212</v>
      </c>
      <c r="AN3" s="573" t="s">
        <v>213</v>
      </c>
      <c r="AO3" s="573" t="s">
        <v>12</v>
      </c>
      <c r="AP3" s="573" t="s">
        <v>212</v>
      </c>
      <c r="AQ3" s="573" t="s">
        <v>213</v>
      </c>
      <c r="AR3" s="573" t="s">
        <v>12</v>
      </c>
      <c r="AS3" s="573" t="s">
        <v>212</v>
      </c>
      <c r="AT3" s="573" t="s">
        <v>213</v>
      </c>
      <c r="AU3" s="573" t="s">
        <v>12</v>
      </c>
      <c r="AV3" s="573" t="s">
        <v>212</v>
      </c>
      <c r="AW3" s="573" t="s">
        <v>213</v>
      </c>
      <c r="AX3" s="573" t="s">
        <v>12</v>
      </c>
      <c r="AY3" s="573" t="s">
        <v>212</v>
      </c>
      <c r="AZ3" s="573" t="s">
        <v>213</v>
      </c>
      <c r="BA3" s="573" t="s">
        <v>12</v>
      </c>
      <c r="BB3" s="573" t="s">
        <v>212</v>
      </c>
      <c r="BC3" s="573" t="s">
        <v>213</v>
      </c>
      <c r="BD3" s="573" t="s">
        <v>12</v>
      </c>
      <c r="BE3" s="573" t="s">
        <v>212</v>
      </c>
      <c r="BF3" s="573" t="s">
        <v>213</v>
      </c>
      <c r="BG3" s="573" t="s">
        <v>12</v>
      </c>
      <c r="BH3" s="573" t="s">
        <v>212</v>
      </c>
      <c r="BI3" s="573" t="s">
        <v>213</v>
      </c>
      <c r="BJ3" s="573" t="s">
        <v>12</v>
      </c>
      <c r="BK3" s="573" t="s">
        <v>212</v>
      </c>
      <c r="BL3" s="573" t="s">
        <v>213</v>
      </c>
      <c r="BM3" s="573" t="s">
        <v>12</v>
      </c>
      <c r="BN3" s="573" t="s">
        <v>212</v>
      </c>
      <c r="BO3" s="573" t="s">
        <v>213</v>
      </c>
      <c r="BP3" s="573" t="s">
        <v>12</v>
      </c>
      <c r="BQ3" s="573" t="s">
        <v>212</v>
      </c>
      <c r="BR3" s="573" t="s">
        <v>213</v>
      </c>
      <c r="BS3" s="573" t="s">
        <v>12</v>
      </c>
      <c r="BT3" s="573" t="s">
        <v>212</v>
      </c>
      <c r="BU3" s="573" t="s">
        <v>213</v>
      </c>
      <c r="BV3" s="573" t="s">
        <v>12</v>
      </c>
      <c r="BW3" s="573" t="s">
        <v>212</v>
      </c>
      <c r="BX3" s="573" t="s">
        <v>213</v>
      </c>
      <c r="BY3" s="573" t="s">
        <v>12</v>
      </c>
      <c r="BZ3" s="573" t="s">
        <v>212</v>
      </c>
      <c r="CA3" s="573" t="s">
        <v>213</v>
      </c>
      <c r="CB3" s="573" t="s">
        <v>12</v>
      </c>
      <c r="CC3" s="573" t="s">
        <v>212</v>
      </c>
      <c r="CD3" s="573" t="s">
        <v>213</v>
      </c>
      <c r="CE3" s="573" t="s">
        <v>12</v>
      </c>
      <c r="CF3" s="573" t="s">
        <v>212</v>
      </c>
      <c r="CG3" s="573" t="s">
        <v>213</v>
      </c>
      <c r="CH3" s="573" t="s">
        <v>12</v>
      </c>
      <c r="CI3" s="573" t="s">
        <v>212</v>
      </c>
      <c r="CJ3" s="573" t="s">
        <v>213</v>
      </c>
      <c r="CK3" s="573" t="s">
        <v>12</v>
      </c>
      <c r="CL3" s="573" t="s">
        <v>212</v>
      </c>
      <c r="CM3" s="573" t="s">
        <v>213</v>
      </c>
      <c r="CN3" s="573" t="s">
        <v>12</v>
      </c>
      <c r="CO3" s="573" t="s">
        <v>212</v>
      </c>
      <c r="CP3" s="573" t="s">
        <v>213</v>
      </c>
      <c r="CQ3" s="573" t="s">
        <v>12</v>
      </c>
      <c r="CR3" s="573" t="s">
        <v>212</v>
      </c>
      <c r="CS3" s="573" t="s">
        <v>213</v>
      </c>
      <c r="CT3" s="573" t="s">
        <v>12</v>
      </c>
      <c r="CU3" s="573" t="s">
        <v>212</v>
      </c>
      <c r="CV3" s="573" t="s">
        <v>213</v>
      </c>
      <c r="CW3" s="573" t="s">
        <v>12</v>
      </c>
      <c r="CX3" s="573" t="s">
        <v>212</v>
      </c>
      <c r="CY3" s="573" t="s">
        <v>213</v>
      </c>
      <c r="CZ3" s="573" t="s">
        <v>12</v>
      </c>
      <c r="DA3" s="573" t="s">
        <v>212</v>
      </c>
      <c r="DB3" s="573" t="s">
        <v>213</v>
      </c>
      <c r="DC3" s="573" t="s">
        <v>12</v>
      </c>
      <c r="DD3" s="573" t="s">
        <v>212</v>
      </c>
      <c r="DE3" s="573" t="s">
        <v>213</v>
      </c>
      <c r="DF3" s="573" t="s">
        <v>12</v>
      </c>
      <c r="DG3" s="573" t="s">
        <v>212</v>
      </c>
      <c r="DH3" s="573" t="s">
        <v>213</v>
      </c>
      <c r="DI3" s="573" t="s">
        <v>12</v>
      </c>
      <c r="DJ3" s="574" t="s">
        <v>212</v>
      </c>
      <c r="DK3" s="574" t="s">
        <v>213</v>
      </c>
      <c r="DL3" s="574" t="s">
        <v>12</v>
      </c>
      <c r="DM3" s="574" t="s">
        <v>212</v>
      </c>
      <c r="DN3" s="574" t="s">
        <v>213</v>
      </c>
      <c r="DO3" s="574" t="s">
        <v>12</v>
      </c>
      <c r="DP3" s="570" t="s">
        <v>344</v>
      </c>
      <c r="DQ3" s="570" t="s">
        <v>345</v>
      </c>
    </row>
    <row r="4" spans="1:122">
      <c r="A4" s="572">
        <v>1</v>
      </c>
      <c r="B4" s="572" t="s">
        <v>214</v>
      </c>
      <c r="C4" s="572" t="s">
        <v>215</v>
      </c>
      <c r="D4" s="572" t="s">
        <v>216</v>
      </c>
      <c r="E4" s="572" t="s">
        <v>217</v>
      </c>
      <c r="F4" s="572" t="s">
        <v>346</v>
      </c>
      <c r="G4" s="575">
        <v>12031</v>
      </c>
      <c r="H4" s="575">
        <v>198014</v>
      </c>
      <c r="I4" s="575">
        <v>11110</v>
      </c>
      <c r="J4" s="575">
        <v>182120</v>
      </c>
      <c r="K4" s="575">
        <v>12250</v>
      </c>
      <c r="L4" s="575">
        <v>199906</v>
      </c>
      <c r="M4" s="575">
        <v>10615</v>
      </c>
      <c r="N4" s="575">
        <v>175860</v>
      </c>
      <c r="O4" s="575">
        <v>10324</v>
      </c>
      <c r="P4" s="575">
        <v>169560</v>
      </c>
      <c r="Q4" s="575">
        <v>11201</v>
      </c>
      <c r="R4" s="575">
        <v>185414</v>
      </c>
      <c r="S4" s="575">
        <v>12184</v>
      </c>
      <c r="T4" s="575">
        <v>198826</v>
      </c>
      <c r="U4" s="575">
        <v>9687</v>
      </c>
      <c r="V4" s="575">
        <v>163388</v>
      </c>
      <c r="W4" s="575">
        <v>13358</v>
      </c>
      <c r="X4" s="575">
        <v>216802</v>
      </c>
      <c r="Y4" s="575">
        <v>11203</v>
      </c>
      <c r="Z4" s="575">
        <v>183792</v>
      </c>
      <c r="AA4" s="575">
        <v>10964</v>
      </c>
      <c r="AB4" s="575">
        <v>179636</v>
      </c>
      <c r="AC4" s="575">
        <v>13115</v>
      </c>
      <c r="AD4" s="575">
        <v>214850</v>
      </c>
      <c r="AE4" s="576">
        <f>G4+I4+K4+M4+O4+Q4+S4+U4+W4+Y4+AA4+AC4</f>
        <v>138042</v>
      </c>
      <c r="AF4" s="576">
        <f>H4+J4+L4+N4+P4+R4+T4+V4+X4+Z4+AB4+AD4</f>
        <v>2268168</v>
      </c>
      <c r="AG4" s="577">
        <v>12414</v>
      </c>
      <c r="AH4" s="577">
        <v>202626</v>
      </c>
      <c r="AI4" s="577">
        <v>133364.63999999998</v>
      </c>
      <c r="AJ4" s="577">
        <v>8906</v>
      </c>
      <c r="AK4" s="577">
        <v>152794</v>
      </c>
      <c r="AL4" s="577">
        <v>99067.359999999986</v>
      </c>
      <c r="AM4" s="577">
        <v>12246</v>
      </c>
      <c r="AN4" s="577">
        <v>205094</v>
      </c>
      <c r="AO4" s="577">
        <v>134008.15999999997</v>
      </c>
      <c r="AP4" s="577">
        <v>10332</v>
      </c>
      <c r="AQ4" s="577">
        <v>171198</v>
      </c>
      <c r="AR4" s="577">
        <v>113284.8</v>
      </c>
      <c r="AS4" s="577">
        <v>11079</v>
      </c>
      <c r="AT4" s="577">
        <v>181346</v>
      </c>
      <c r="AU4" s="577">
        <v>119599.03999999999</v>
      </c>
      <c r="AV4" s="577">
        <v>10685</v>
      </c>
      <c r="AW4" s="577">
        <v>178630</v>
      </c>
      <c r="AX4" s="577">
        <v>117920.79999999999</v>
      </c>
      <c r="AY4" s="577">
        <v>12128</v>
      </c>
      <c r="AZ4" s="577">
        <v>201622</v>
      </c>
      <c r="BA4" s="577">
        <v>133010.07999999996</v>
      </c>
      <c r="BB4" s="577">
        <v>8978</v>
      </c>
      <c r="BC4" s="577">
        <v>149522</v>
      </c>
      <c r="BD4" s="577">
        <v>99457.279999999999</v>
      </c>
      <c r="BE4" s="577">
        <v>9559</v>
      </c>
      <c r="BF4" s="578">
        <v>158076</v>
      </c>
      <c r="BG4" s="577">
        <v>105366.24000000003</v>
      </c>
      <c r="BH4" s="577">
        <v>9461</v>
      </c>
      <c r="BI4" s="577">
        <v>161164</v>
      </c>
      <c r="BJ4" s="577">
        <v>106548.15999999999</v>
      </c>
      <c r="BK4" s="577">
        <v>9441</v>
      </c>
      <c r="BL4" s="577">
        <v>156534</v>
      </c>
      <c r="BM4" s="577">
        <v>104300.16000000002</v>
      </c>
      <c r="BN4" s="577">
        <v>9331</v>
      </c>
      <c r="BO4" s="577">
        <v>157064</v>
      </c>
      <c r="BP4" s="577">
        <v>103484.95999999998</v>
      </c>
      <c r="BQ4" s="579">
        <f>AG4+AJ4+AM4+AP4+AS4+AV4+AY4+BB4+BE4+BH4+BK4+BN4</f>
        <v>124560</v>
      </c>
      <c r="BR4" s="579">
        <f>AH4+AK4+AN4+AQ4+AT4+AW4+AZ4+BC4+BF4+BI4+BL4+BO4</f>
        <v>2075670</v>
      </c>
      <c r="BS4" s="579">
        <f>AI4+AL4+AO4+AR4+AU4+AX4+BA4+BD4+BG4+BJ4+BM4+BP4</f>
        <v>1369411.6799999997</v>
      </c>
      <c r="BT4" s="579">
        <f>(AG4+AJ4)/2</f>
        <v>10660</v>
      </c>
      <c r="BU4" s="579">
        <f t="shared" ref="BU4:BV4" si="0">(AH4+AK4)/2</f>
        <v>177710</v>
      </c>
      <c r="BV4" s="579">
        <f t="shared" si="0"/>
        <v>116215.99999999999</v>
      </c>
      <c r="BW4" s="579">
        <f>BQ4/12</f>
        <v>10380</v>
      </c>
      <c r="BX4" s="579">
        <f t="shared" ref="BX4:BY19" si="1">BR4/12</f>
        <v>172972.5</v>
      </c>
      <c r="BY4" s="579">
        <f t="shared" si="1"/>
        <v>114117.63999999997</v>
      </c>
      <c r="BZ4" s="577">
        <v>8693</v>
      </c>
      <c r="CA4" s="572">
        <v>143492</v>
      </c>
      <c r="CB4" s="572">
        <v>96349.28</v>
      </c>
      <c r="CC4" s="287">
        <v>7634</v>
      </c>
      <c r="CD4" s="287">
        <v>129856</v>
      </c>
      <c r="CE4" s="287">
        <v>85707.040000000008</v>
      </c>
      <c r="CF4" s="572"/>
      <c r="CG4" s="572"/>
      <c r="CH4" s="572"/>
      <c r="CI4" s="572"/>
      <c r="CJ4" s="572"/>
      <c r="CK4" s="572"/>
      <c r="CL4" s="572"/>
      <c r="CM4" s="572"/>
      <c r="CN4" s="572"/>
      <c r="CO4" s="572"/>
      <c r="CP4" s="572"/>
      <c r="CQ4" s="572"/>
      <c r="CR4" s="572"/>
      <c r="CS4" s="572"/>
      <c r="CT4" s="572"/>
      <c r="CU4" s="572"/>
      <c r="CV4" s="572"/>
      <c r="CW4" s="572"/>
      <c r="CX4" s="572"/>
      <c r="CY4" s="572"/>
      <c r="CZ4" s="572"/>
      <c r="DA4" s="572"/>
      <c r="DB4" s="572"/>
      <c r="DC4" s="572"/>
      <c r="DD4" s="572"/>
      <c r="DE4" s="572"/>
      <c r="DF4" s="572"/>
      <c r="DG4" s="572"/>
      <c r="DH4" s="572"/>
      <c r="DI4" s="572"/>
      <c r="DJ4" s="580">
        <f>BZ4+CC4+CF4+CI4+CL4+CO4+CR4+CU4+CX4+DA4+DD4+DG4</f>
        <v>16327</v>
      </c>
      <c r="DK4" s="580">
        <f>CA4+CD4+CG4+CJ4+CM4+CP4+CS4+CV4+CY4+DB4+DE4+DH4</f>
        <v>273348</v>
      </c>
      <c r="DL4" s="580">
        <f>CB4+CE4+CH4+CK4+CN4+CQ4+CT4+CW4+CZ4+DC4+DF4+DI4</f>
        <v>182056.32000000001</v>
      </c>
      <c r="DM4" s="664">
        <f>DJ4/2</f>
        <v>8163.5</v>
      </c>
      <c r="DN4" s="664">
        <f t="shared" ref="DN4:DO4" si="2">DK4/2</f>
        <v>136674</v>
      </c>
      <c r="DO4" s="665">
        <f t="shared" si="2"/>
        <v>91028.160000000003</v>
      </c>
      <c r="DP4" s="582">
        <f>DO4/BV4*100-100</f>
        <v>-21.673297996833469</v>
      </c>
      <c r="DQ4" s="817">
        <f>DO4/BY4*100-100</f>
        <v>-20.233050736064968</v>
      </c>
      <c r="DR4" s="820" t="s">
        <v>324</v>
      </c>
    </row>
    <row r="5" spans="1:122">
      <c r="A5" s="572">
        <v>2</v>
      </c>
      <c r="B5" s="572" t="s">
        <v>269</v>
      </c>
      <c r="C5" s="572" t="s">
        <v>270</v>
      </c>
      <c r="D5" s="572" t="s">
        <v>216</v>
      </c>
      <c r="E5" s="572" t="s">
        <v>217</v>
      </c>
      <c r="F5" s="584" t="s">
        <v>347</v>
      </c>
      <c r="G5" s="575">
        <v>2950</v>
      </c>
      <c r="H5" s="575">
        <v>49660</v>
      </c>
      <c r="I5" s="575">
        <v>2150</v>
      </c>
      <c r="J5" s="575">
        <v>36830</v>
      </c>
      <c r="K5" s="575">
        <v>1885</v>
      </c>
      <c r="L5" s="575">
        <v>31170</v>
      </c>
      <c r="M5" s="575">
        <v>1878</v>
      </c>
      <c r="N5" s="575">
        <v>31422</v>
      </c>
      <c r="O5" s="575">
        <v>2150</v>
      </c>
      <c r="P5" s="575">
        <v>36130</v>
      </c>
      <c r="Q5" s="575">
        <v>2250</v>
      </c>
      <c r="R5" s="575">
        <v>37630</v>
      </c>
      <c r="S5" s="575">
        <v>2175</v>
      </c>
      <c r="T5" s="575">
        <v>36160</v>
      </c>
      <c r="U5" s="575">
        <v>2480</v>
      </c>
      <c r="V5" s="575">
        <v>41320</v>
      </c>
      <c r="W5" s="575">
        <v>2885</v>
      </c>
      <c r="X5" s="575">
        <v>48950</v>
      </c>
      <c r="Y5" s="575">
        <v>2900</v>
      </c>
      <c r="Z5" s="575">
        <v>49280</v>
      </c>
      <c r="AA5" s="575">
        <v>3068</v>
      </c>
      <c r="AB5" s="575">
        <v>52092</v>
      </c>
      <c r="AC5" s="575">
        <v>3248</v>
      </c>
      <c r="AD5" s="575">
        <v>55362</v>
      </c>
      <c r="AE5" s="576">
        <f t="shared" ref="AE5:AF52" si="3">G5+I5+K5+M5+O5+Q5+S5+U5+W5+Y5+AA5+AC5</f>
        <v>30019</v>
      </c>
      <c r="AF5" s="576">
        <f t="shared" si="3"/>
        <v>506006</v>
      </c>
      <c r="AG5" s="577">
        <v>3225</v>
      </c>
      <c r="AH5" s="577">
        <v>54850</v>
      </c>
      <c r="AI5" s="577">
        <v>35948.800000000003</v>
      </c>
      <c r="AJ5" s="577">
        <v>2372</v>
      </c>
      <c r="AK5" s="577">
        <v>39478</v>
      </c>
      <c r="AL5" s="577">
        <v>25892.800000000003</v>
      </c>
      <c r="AM5" s="577">
        <v>2215</v>
      </c>
      <c r="AN5" s="577">
        <v>37270</v>
      </c>
      <c r="AO5" s="577">
        <v>24332.799999999999</v>
      </c>
      <c r="AP5" s="577">
        <v>2550</v>
      </c>
      <c r="AQ5" s="577">
        <v>42490</v>
      </c>
      <c r="AR5" s="577">
        <v>27844</v>
      </c>
      <c r="AS5" s="577">
        <v>2679</v>
      </c>
      <c r="AT5" s="577">
        <v>44398</v>
      </c>
      <c r="AU5" s="577">
        <v>29276.799999999999</v>
      </c>
      <c r="AV5" s="577">
        <v>3040</v>
      </c>
      <c r="AW5" s="577">
        <v>48810</v>
      </c>
      <c r="AX5" s="577">
        <v>32527.200000000001</v>
      </c>
      <c r="AY5" s="577">
        <v>3060</v>
      </c>
      <c r="AZ5" s="577">
        <v>49500</v>
      </c>
      <c r="BA5" s="577">
        <v>32798.400000000001</v>
      </c>
      <c r="BB5" s="577">
        <v>3280</v>
      </c>
      <c r="BC5" s="577">
        <v>52670</v>
      </c>
      <c r="BD5" s="577">
        <v>35290.400000000009</v>
      </c>
      <c r="BE5" s="577">
        <v>3185</v>
      </c>
      <c r="BF5" s="578">
        <v>51190</v>
      </c>
      <c r="BG5" s="577">
        <v>34604.800000000003</v>
      </c>
      <c r="BH5" s="577">
        <v>3398</v>
      </c>
      <c r="BI5" s="577">
        <v>56462</v>
      </c>
      <c r="BJ5" s="577">
        <v>37911.68</v>
      </c>
      <c r="BK5" s="577">
        <v>2955</v>
      </c>
      <c r="BL5" s="577">
        <v>49160</v>
      </c>
      <c r="BM5" s="577">
        <v>31961.599999999995</v>
      </c>
      <c r="BN5" s="577">
        <v>2963</v>
      </c>
      <c r="BO5" s="577">
        <v>49122</v>
      </c>
      <c r="BP5" s="577">
        <v>32577.599999999995</v>
      </c>
      <c r="BQ5" s="579">
        <f t="shared" ref="BQ5:BS52" si="4">AG5+AJ5+AM5+AP5+AS5+AV5+AY5+BB5+BE5+BH5+BK5+BN5</f>
        <v>34922</v>
      </c>
      <c r="BR5" s="579">
        <f t="shared" si="4"/>
        <v>575400</v>
      </c>
      <c r="BS5" s="579">
        <f t="shared" si="4"/>
        <v>380966.87999999995</v>
      </c>
      <c r="BT5" s="579">
        <f t="shared" ref="BT5:BT29" si="5">(AG5+AJ5)/2</f>
        <v>2798.5</v>
      </c>
      <c r="BU5" s="579">
        <f t="shared" ref="BU5:BU29" si="6">(AH5+AK5)/2</f>
        <v>47164</v>
      </c>
      <c r="BV5" s="579">
        <f t="shared" ref="BV5:BV29" si="7">(AI5+AL5)/2</f>
        <v>30920.800000000003</v>
      </c>
      <c r="BW5" s="579">
        <f t="shared" ref="BW5:BY50" si="8">BQ5/12</f>
        <v>2910.1666666666665</v>
      </c>
      <c r="BX5" s="579">
        <f t="shared" si="1"/>
        <v>47950</v>
      </c>
      <c r="BY5" s="579">
        <f t="shared" si="1"/>
        <v>31747.239999999994</v>
      </c>
      <c r="BZ5" s="577">
        <v>2800</v>
      </c>
      <c r="CA5" s="572">
        <v>45020</v>
      </c>
      <c r="CB5" s="572">
        <v>30365.599999999999</v>
      </c>
      <c r="CC5" s="287">
        <v>2390</v>
      </c>
      <c r="CD5" s="287">
        <v>38530</v>
      </c>
      <c r="CE5" s="287">
        <v>25568.799999999999</v>
      </c>
      <c r="CF5" s="572"/>
      <c r="CG5" s="572"/>
      <c r="CH5" s="572"/>
      <c r="CI5" s="572"/>
      <c r="CJ5" s="572"/>
      <c r="CK5" s="572"/>
      <c r="CL5" s="572"/>
      <c r="CM5" s="572"/>
      <c r="CN5" s="572"/>
      <c r="CO5" s="572"/>
      <c r="CP5" s="572"/>
      <c r="CQ5" s="572"/>
      <c r="CR5" s="572"/>
      <c r="CS5" s="572"/>
      <c r="CT5" s="572"/>
      <c r="CU5" s="572"/>
      <c r="CV5" s="572"/>
      <c r="CW5" s="572"/>
      <c r="CX5" s="572"/>
      <c r="CY5" s="572"/>
      <c r="CZ5" s="572"/>
      <c r="DA5" s="572"/>
      <c r="DB5" s="572"/>
      <c r="DC5" s="572"/>
      <c r="DD5" s="572"/>
      <c r="DE5" s="572"/>
      <c r="DF5" s="572"/>
      <c r="DG5" s="572"/>
      <c r="DH5" s="572"/>
      <c r="DI5" s="572"/>
      <c r="DJ5" s="580">
        <f t="shared" ref="DJ5:DL50" si="9">BZ5+CC5+CF5+CI5+CL5+CO5+CR5+CU5+CX5+DA5+DD5+DG5</f>
        <v>5190</v>
      </c>
      <c r="DK5" s="580">
        <f t="shared" si="9"/>
        <v>83550</v>
      </c>
      <c r="DL5" s="580">
        <f t="shared" si="9"/>
        <v>55934.399999999994</v>
      </c>
      <c r="DM5" s="664">
        <f t="shared" ref="DM5:DM29" si="10">DJ5/2</f>
        <v>2595</v>
      </c>
      <c r="DN5" s="664">
        <f t="shared" ref="DN5:DN29" si="11">DK5/2</f>
        <v>41775</v>
      </c>
      <c r="DO5" s="665">
        <f t="shared" ref="DO5:DO29" si="12">DL5/2</f>
        <v>27967.199999999997</v>
      </c>
      <c r="DP5" s="582">
        <f t="shared" ref="DP5:DP52" si="13">DO5/BV5*100-100</f>
        <v>-9.5521461281726516</v>
      </c>
      <c r="DQ5" s="817">
        <f t="shared" ref="DQ5:DQ52" si="14">DO5/BY5*100-100</f>
        <v>-11.906672832032001</v>
      </c>
      <c r="DR5" s="820" t="s">
        <v>324</v>
      </c>
    </row>
    <row r="6" spans="1:122">
      <c r="A6" s="572">
        <v>3</v>
      </c>
      <c r="B6" s="572" t="s">
        <v>271</v>
      </c>
      <c r="C6" s="572" t="s">
        <v>272</v>
      </c>
      <c r="D6" s="572" t="s">
        <v>216</v>
      </c>
      <c r="E6" s="572" t="s">
        <v>217</v>
      </c>
      <c r="F6" s="584" t="s">
        <v>347</v>
      </c>
      <c r="G6" s="575">
        <v>3754</v>
      </c>
      <c r="H6" s="575">
        <v>63800</v>
      </c>
      <c r="I6" s="575">
        <v>3426</v>
      </c>
      <c r="J6" s="575">
        <v>58904</v>
      </c>
      <c r="K6" s="575">
        <v>3325</v>
      </c>
      <c r="L6" s="575">
        <v>57704</v>
      </c>
      <c r="M6" s="575">
        <v>3180</v>
      </c>
      <c r="N6" s="575">
        <v>54500</v>
      </c>
      <c r="O6" s="575">
        <v>3377</v>
      </c>
      <c r="P6" s="575">
        <v>58318</v>
      </c>
      <c r="Q6" s="575">
        <v>3520</v>
      </c>
      <c r="R6" s="575">
        <v>60710</v>
      </c>
      <c r="S6" s="575">
        <v>3769</v>
      </c>
      <c r="T6" s="575">
        <v>66456</v>
      </c>
      <c r="U6" s="575">
        <v>3916</v>
      </c>
      <c r="V6" s="575">
        <v>68544</v>
      </c>
      <c r="W6" s="575">
        <v>4658</v>
      </c>
      <c r="X6" s="575">
        <v>81094</v>
      </c>
      <c r="Y6" s="575">
        <v>5139</v>
      </c>
      <c r="Z6" s="575">
        <v>88700</v>
      </c>
      <c r="AA6" s="575">
        <v>5418</v>
      </c>
      <c r="AB6" s="575">
        <v>93086</v>
      </c>
      <c r="AC6" s="575">
        <v>5214</v>
      </c>
      <c r="AD6" s="575">
        <v>88286</v>
      </c>
      <c r="AE6" s="576">
        <f t="shared" si="3"/>
        <v>48696</v>
      </c>
      <c r="AF6" s="576">
        <f t="shared" si="3"/>
        <v>840102</v>
      </c>
      <c r="AG6" s="577">
        <v>5069</v>
      </c>
      <c r="AH6" s="577">
        <v>85934</v>
      </c>
      <c r="AI6" s="577">
        <v>55016.480000000003</v>
      </c>
      <c r="AJ6" s="577">
        <v>3821</v>
      </c>
      <c r="AK6" s="577">
        <v>63502</v>
      </c>
      <c r="AL6" s="577">
        <v>40723.12000000001</v>
      </c>
      <c r="AM6" s="577">
        <v>3664</v>
      </c>
      <c r="AN6" s="577">
        <v>62062</v>
      </c>
      <c r="AO6" s="577">
        <v>39750.339999999997</v>
      </c>
      <c r="AP6" s="577">
        <v>3919</v>
      </c>
      <c r="AQ6" s="577">
        <v>67896</v>
      </c>
      <c r="AR6" s="577">
        <v>43478.64</v>
      </c>
      <c r="AS6" s="577">
        <v>3704</v>
      </c>
      <c r="AT6" s="577">
        <v>64032</v>
      </c>
      <c r="AU6" s="577">
        <v>41090.639999999985</v>
      </c>
      <c r="AV6" s="577">
        <v>4014</v>
      </c>
      <c r="AW6" s="577">
        <v>69856</v>
      </c>
      <c r="AX6" s="577">
        <v>44728.24</v>
      </c>
      <c r="AY6" s="577">
        <v>4348</v>
      </c>
      <c r="AZ6" s="577">
        <v>75022</v>
      </c>
      <c r="BA6" s="577">
        <v>48017.68</v>
      </c>
      <c r="BB6" s="577">
        <v>4276</v>
      </c>
      <c r="BC6" s="577">
        <v>72644</v>
      </c>
      <c r="BD6" s="577">
        <v>46499.360000000008</v>
      </c>
      <c r="BE6" s="577">
        <v>4856</v>
      </c>
      <c r="BF6" s="578">
        <v>79724</v>
      </c>
      <c r="BG6" s="577">
        <v>51030.559999999998</v>
      </c>
      <c r="BH6" s="577">
        <v>4452</v>
      </c>
      <c r="BI6" s="577">
        <v>73562</v>
      </c>
      <c r="BJ6" s="577">
        <v>47081.840000000004</v>
      </c>
      <c r="BK6" s="577">
        <v>4147</v>
      </c>
      <c r="BL6" s="577">
        <v>68168</v>
      </c>
      <c r="BM6" s="577">
        <v>43627.520000000011</v>
      </c>
      <c r="BN6" s="577">
        <v>4457</v>
      </c>
      <c r="BO6" s="577">
        <v>72950</v>
      </c>
      <c r="BP6" s="577">
        <v>46698.080000000002</v>
      </c>
      <c r="BQ6" s="579">
        <f t="shared" si="4"/>
        <v>50727</v>
      </c>
      <c r="BR6" s="579">
        <f t="shared" si="4"/>
        <v>855352</v>
      </c>
      <c r="BS6" s="579">
        <f t="shared" si="4"/>
        <v>547742.5</v>
      </c>
      <c r="BT6" s="579">
        <f t="shared" si="5"/>
        <v>4445</v>
      </c>
      <c r="BU6" s="579">
        <f t="shared" si="6"/>
        <v>74718</v>
      </c>
      <c r="BV6" s="579">
        <f t="shared" si="7"/>
        <v>47869.8</v>
      </c>
      <c r="BW6" s="579">
        <f t="shared" si="8"/>
        <v>4227.25</v>
      </c>
      <c r="BX6" s="579">
        <f t="shared" si="1"/>
        <v>71279.333333333328</v>
      </c>
      <c r="BY6" s="579">
        <f t="shared" si="1"/>
        <v>45645.208333333336</v>
      </c>
      <c r="BZ6" s="577">
        <v>4462</v>
      </c>
      <c r="CA6" s="572">
        <v>72248</v>
      </c>
      <c r="CB6" s="572">
        <v>46245.919999999998</v>
      </c>
      <c r="CC6" s="287">
        <v>3154</v>
      </c>
      <c r="CD6" s="287">
        <v>52316</v>
      </c>
      <c r="CE6" s="287">
        <v>33485.840000000004</v>
      </c>
      <c r="CF6" s="572"/>
      <c r="CG6" s="572"/>
      <c r="CH6" s="572"/>
      <c r="CI6" s="572"/>
      <c r="CJ6" s="572"/>
      <c r="CK6" s="572"/>
      <c r="CL6" s="572"/>
      <c r="CM6" s="572"/>
      <c r="CN6" s="572"/>
      <c r="CO6" s="572"/>
      <c r="CP6" s="572"/>
      <c r="CQ6" s="572"/>
      <c r="CR6" s="572"/>
      <c r="CS6" s="572"/>
      <c r="CT6" s="572"/>
      <c r="CU6" s="572"/>
      <c r="CV6" s="572"/>
      <c r="CW6" s="572"/>
      <c r="CX6" s="572"/>
      <c r="CY6" s="572"/>
      <c r="CZ6" s="572"/>
      <c r="DA6" s="572"/>
      <c r="DB6" s="572"/>
      <c r="DC6" s="572"/>
      <c r="DD6" s="572"/>
      <c r="DE6" s="572"/>
      <c r="DF6" s="572"/>
      <c r="DG6" s="572"/>
      <c r="DH6" s="572"/>
      <c r="DI6" s="572"/>
      <c r="DJ6" s="580">
        <f t="shared" si="9"/>
        <v>7616</v>
      </c>
      <c r="DK6" s="580">
        <f t="shared" si="9"/>
        <v>124564</v>
      </c>
      <c r="DL6" s="580">
        <f t="shared" si="9"/>
        <v>79731.760000000009</v>
      </c>
      <c r="DM6" s="664">
        <f t="shared" si="10"/>
        <v>3808</v>
      </c>
      <c r="DN6" s="664">
        <f t="shared" si="11"/>
        <v>62282</v>
      </c>
      <c r="DO6" s="665">
        <f t="shared" si="12"/>
        <v>39865.880000000005</v>
      </c>
      <c r="DP6" s="582">
        <f t="shared" si="13"/>
        <v>-16.720186840137202</v>
      </c>
      <c r="DQ6" s="817">
        <f t="shared" si="14"/>
        <v>-12.661412981464821</v>
      </c>
    </row>
    <row r="7" spans="1:122">
      <c r="A7" s="572">
        <v>4</v>
      </c>
      <c r="B7" s="572" t="s">
        <v>230</v>
      </c>
      <c r="C7" s="572" t="s">
        <v>231</v>
      </c>
      <c r="D7" s="572" t="s">
        <v>232</v>
      </c>
      <c r="E7" s="572" t="s">
        <v>233</v>
      </c>
      <c r="F7" s="584" t="s">
        <v>347</v>
      </c>
      <c r="G7" s="575">
        <v>6516</v>
      </c>
      <c r="H7" s="575">
        <v>98691</v>
      </c>
      <c r="I7" s="575">
        <v>5647</v>
      </c>
      <c r="J7" s="575">
        <v>85230</v>
      </c>
      <c r="K7" s="575">
        <v>5710</v>
      </c>
      <c r="L7" s="575">
        <v>88118</v>
      </c>
      <c r="M7" s="575">
        <v>5365</v>
      </c>
      <c r="N7" s="575">
        <v>72126</v>
      </c>
      <c r="O7" s="575">
        <v>6023</v>
      </c>
      <c r="P7" s="575">
        <v>91184</v>
      </c>
      <c r="Q7" s="575">
        <v>4894</v>
      </c>
      <c r="R7" s="575">
        <v>74732</v>
      </c>
      <c r="S7" s="575">
        <v>6323</v>
      </c>
      <c r="T7" s="575">
        <v>96882</v>
      </c>
      <c r="U7" s="575">
        <v>5935</v>
      </c>
      <c r="V7" s="575">
        <v>91352</v>
      </c>
      <c r="W7" s="575">
        <v>5317</v>
      </c>
      <c r="X7" s="575">
        <v>82814</v>
      </c>
      <c r="Y7" s="575">
        <v>7035</v>
      </c>
      <c r="Z7" s="575">
        <v>107706</v>
      </c>
      <c r="AA7" s="575">
        <v>6748</v>
      </c>
      <c r="AB7" s="575">
        <v>103760</v>
      </c>
      <c r="AC7" s="575">
        <v>6983</v>
      </c>
      <c r="AD7" s="575">
        <v>110426</v>
      </c>
      <c r="AE7" s="576">
        <f t="shared" si="3"/>
        <v>72496</v>
      </c>
      <c r="AF7" s="576">
        <f t="shared" si="3"/>
        <v>1103021</v>
      </c>
      <c r="AG7" s="577">
        <v>5679</v>
      </c>
      <c r="AH7" s="577">
        <v>91044</v>
      </c>
      <c r="AI7" s="577">
        <v>59232.719999999994</v>
      </c>
      <c r="AJ7" s="577">
        <v>5524</v>
      </c>
      <c r="AK7" s="577">
        <v>85900</v>
      </c>
      <c r="AL7" s="577">
        <v>56079.760000000009</v>
      </c>
      <c r="AM7" s="577">
        <v>9718.6428571428569</v>
      </c>
      <c r="AN7" s="577">
        <v>150353</v>
      </c>
      <c r="AO7" s="577">
        <v>97036.88</v>
      </c>
      <c r="AP7" s="577">
        <v>5446</v>
      </c>
      <c r="AQ7" s="577">
        <v>86797</v>
      </c>
      <c r="AR7" s="577">
        <v>56531.499999999993</v>
      </c>
      <c r="AS7" s="577">
        <v>6013.25</v>
      </c>
      <c r="AT7" s="577">
        <v>95492</v>
      </c>
      <c r="AU7" s="577">
        <v>61728.5</v>
      </c>
      <c r="AV7" s="577">
        <v>5801</v>
      </c>
      <c r="AW7" s="577">
        <v>91868</v>
      </c>
      <c r="AX7" s="577">
        <v>59636.479999999996</v>
      </c>
      <c r="AY7" s="577">
        <v>5860</v>
      </c>
      <c r="AZ7" s="577">
        <v>92652</v>
      </c>
      <c r="BA7" s="577">
        <v>60025.680000000022</v>
      </c>
      <c r="BB7" s="577">
        <v>6328</v>
      </c>
      <c r="BC7" s="577">
        <v>99700</v>
      </c>
      <c r="BD7" s="577">
        <v>64743.520000000004</v>
      </c>
      <c r="BE7" s="577">
        <v>5447</v>
      </c>
      <c r="BF7" s="578">
        <v>86272</v>
      </c>
      <c r="BG7" s="577">
        <v>56440.240000000005</v>
      </c>
      <c r="BH7" s="577">
        <v>6337</v>
      </c>
      <c r="BI7" s="577">
        <v>99162</v>
      </c>
      <c r="BJ7" s="577">
        <v>65068.319999999992</v>
      </c>
      <c r="BK7" s="577">
        <v>5405</v>
      </c>
      <c r="BL7" s="577">
        <v>84154</v>
      </c>
      <c r="BM7" s="577">
        <v>55391.200000000012</v>
      </c>
      <c r="BN7" s="577">
        <v>6894</v>
      </c>
      <c r="BO7" s="577">
        <v>108108</v>
      </c>
      <c r="BP7" s="577">
        <v>71232.960000000006</v>
      </c>
      <c r="BQ7" s="579">
        <f t="shared" si="4"/>
        <v>74452.892857142855</v>
      </c>
      <c r="BR7" s="579">
        <f t="shared" si="4"/>
        <v>1171502</v>
      </c>
      <c r="BS7" s="579">
        <f t="shared" si="4"/>
        <v>763147.76</v>
      </c>
      <c r="BT7" s="579">
        <f t="shared" si="5"/>
        <v>5601.5</v>
      </c>
      <c r="BU7" s="579">
        <f t="shared" si="6"/>
        <v>88472</v>
      </c>
      <c r="BV7" s="579">
        <f t="shared" si="7"/>
        <v>57656.240000000005</v>
      </c>
      <c r="BW7" s="579">
        <f t="shared" si="8"/>
        <v>6204.4077380952376</v>
      </c>
      <c r="BX7" s="579">
        <f t="shared" si="1"/>
        <v>97625.166666666672</v>
      </c>
      <c r="BY7" s="579">
        <f t="shared" si="1"/>
        <v>63595.646666666667</v>
      </c>
      <c r="BZ7" s="577">
        <v>5545</v>
      </c>
      <c r="CA7" s="572">
        <v>86376</v>
      </c>
      <c r="CB7" s="572">
        <v>58025.280000000006</v>
      </c>
      <c r="CC7" s="287">
        <v>6036</v>
      </c>
      <c r="CD7" s="287">
        <v>95264</v>
      </c>
      <c r="CE7" s="287">
        <v>62258.720000000008</v>
      </c>
      <c r="CF7" s="572"/>
      <c r="CG7" s="572"/>
      <c r="CH7" s="572"/>
      <c r="CI7" s="572"/>
      <c r="CJ7" s="572"/>
      <c r="CK7" s="572"/>
      <c r="CL7" s="572"/>
      <c r="CM7" s="572"/>
      <c r="CN7" s="572"/>
      <c r="CO7" s="572"/>
      <c r="CP7" s="572"/>
      <c r="CQ7" s="572"/>
      <c r="CR7" s="572"/>
      <c r="CS7" s="572"/>
      <c r="CT7" s="572"/>
      <c r="CU7" s="572"/>
      <c r="CV7" s="572"/>
      <c r="CW7" s="572"/>
      <c r="CX7" s="572"/>
      <c r="CY7" s="572"/>
      <c r="CZ7" s="572"/>
      <c r="DA7" s="572"/>
      <c r="DB7" s="572"/>
      <c r="DC7" s="572"/>
      <c r="DD7" s="572"/>
      <c r="DE7" s="572"/>
      <c r="DF7" s="572"/>
      <c r="DG7" s="572"/>
      <c r="DH7" s="572"/>
      <c r="DI7" s="572"/>
      <c r="DJ7" s="580">
        <f t="shared" si="9"/>
        <v>11581</v>
      </c>
      <c r="DK7" s="580">
        <f t="shared" si="9"/>
        <v>181640</v>
      </c>
      <c r="DL7" s="580">
        <f t="shared" si="9"/>
        <v>120284.00000000001</v>
      </c>
      <c r="DM7" s="664">
        <f t="shared" si="10"/>
        <v>5790.5</v>
      </c>
      <c r="DN7" s="664">
        <f t="shared" si="11"/>
        <v>90820</v>
      </c>
      <c r="DO7" s="665">
        <f t="shared" si="12"/>
        <v>60142.000000000007</v>
      </c>
      <c r="DP7" s="582">
        <f t="shared" si="13"/>
        <v>4.3113460052198889</v>
      </c>
      <c r="DQ7" s="817">
        <f t="shared" si="14"/>
        <v>-5.4306337739889301</v>
      </c>
      <c r="DR7" s="820" t="s">
        <v>324</v>
      </c>
    </row>
    <row r="8" spans="1:122">
      <c r="A8" s="572">
        <v>5</v>
      </c>
      <c r="B8" s="572" t="s">
        <v>234</v>
      </c>
      <c r="C8" s="572" t="s">
        <v>235</v>
      </c>
      <c r="D8" s="572" t="s">
        <v>236</v>
      </c>
      <c r="E8" s="572" t="s">
        <v>150</v>
      </c>
      <c r="F8" s="584" t="s">
        <v>347</v>
      </c>
      <c r="G8" s="575">
        <v>2190</v>
      </c>
      <c r="H8" s="575">
        <v>36320</v>
      </c>
      <c r="I8" s="575">
        <v>1835</v>
      </c>
      <c r="J8" s="575">
        <v>30600</v>
      </c>
      <c r="K8" s="575">
        <v>1680</v>
      </c>
      <c r="L8" s="575">
        <v>27970</v>
      </c>
      <c r="M8" s="575">
        <v>1220</v>
      </c>
      <c r="N8" s="575">
        <v>21340</v>
      </c>
      <c r="O8" s="575">
        <v>1935</v>
      </c>
      <c r="P8" s="575">
        <v>32790</v>
      </c>
      <c r="Q8" s="575">
        <v>1670</v>
      </c>
      <c r="R8" s="575">
        <v>27630</v>
      </c>
      <c r="S8" s="575">
        <v>1850</v>
      </c>
      <c r="T8" s="575">
        <v>31070</v>
      </c>
      <c r="U8" s="575">
        <v>1745</v>
      </c>
      <c r="V8" s="575">
        <v>28830</v>
      </c>
      <c r="W8" s="575">
        <v>1530</v>
      </c>
      <c r="X8" s="575">
        <v>26620</v>
      </c>
      <c r="Y8" s="575">
        <v>2110</v>
      </c>
      <c r="Z8" s="575">
        <v>34710</v>
      </c>
      <c r="AA8" s="575">
        <v>1680</v>
      </c>
      <c r="AB8" s="575">
        <v>28690</v>
      </c>
      <c r="AC8" s="575">
        <v>2085</v>
      </c>
      <c r="AD8" s="575">
        <v>33990</v>
      </c>
      <c r="AE8" s="576">
        <f t="shared" si="3"/>
        <v>21530</v>
      </c>
      <c r="AF8" s="576">
        <f t="shared" si="3"/>
        <v>360560</v>
      </c>
      <c r="AG8" s="577">
        <v>2081</v>
      </c>
      <c r="AH8" s="577">
        <v>35334</v>
      </c>
      <c r="AI8" s="577">
        <v>22613.760000000002</v>
      </c>
      <c r="AJ8" s="577">
        <v>1760</v>
      </c>
      <c r="AK8" s="577">
        <v>29590</v>
      </c>
      <c r="AL8" s="577">
        <v>18937.600000000002</v>
      </c>
      <c r="AM8" s="577">
        <v>2085</v>
      </c>
      <c r="AN8" s="577">
        <v>35120</v>
      </c>
      <c r="AO8" s="577">
        <v>22754</v>
      </c>
      <c r="AP8" s="577">
        <v>1620</v>
      </c>
      <c r="AQ8" s="577">
        <v>27840</v>
      </c>
      <c r="AR8" s="577">
        <v>17904</v>
      </c>
      <c r="AS8" s="577">
        <v>1309</v>
      </c>
      <c r="AT8" s="577">
        <v>22476</v>
      </c>
      <c r="AU8" s="577">
        <v>14492.64</v>
      </c>
      <c r="AV8" s="577">
        <v>2830</v>
      </c>
      <c r="AW8" s="577">
        <v>46070</v>
      </c>
      <c r="AX8" s="577">
        <v>30024.799999999999</v>
      </c>
      <c r="AY8" s="577">
        <v>880</v>
      </c>
      <c r="AZ8" s="577">
        <v>15060</v>
      </c>
      <c r="BA8" s="577">
        <v>9656.4</v>
      </c>
      <c r="BB8" s="577">
        <v>1515</v>
      </c>
      <c r="BC8" s="577">
        <v>26220</v>
      </c>
      <c r="BD8" s="577">
        <v>16795.2</v>
      </c>
      <c r="BE8" s="577">
        <v>1320</v>
      </c>
      <c r="BF8" s="578">
        <v>22680</v>
      </c>
      <c r="BG8" s="577">
        <v>14515.2</v>
      </c>
      <c r="BH8" s="577">
        <v>1704</v>
      </c>
      <c r="BI8" s="577">
        <v>28436</v>
      </c>
      <c r="BJ8" s="577">
        <v>18458.240000000002</v>
      </c>
      <c r="BK8" s="577">
        <v>1800</v>
      </c>
      <c r="BL8" s="577">
        <v>29370</v>
      </c>
      <c r="BM8" s="577">
        <v>18807.600000000002</v>
      </c>
      <c r="BN8" s="577">
        <v>1900</v>
      </c>
      <c r="BO8" s="577">
        <v>31750</v>
      </c>
      <c r="BP8" s="577">
        <v>20535.999999999996</v>
      </c>
      <c r="BQ8" s="579">
        <f t="shared" si="4"/>
        <v>20804</v>
      </c>
      <c r="BR8" s="579">
        <f t="shared" si="4"/>
        <v>349946</v>
      </c>
      <c r="BS8" s="579">
        <f t="shared" si="4"/>
        <v>225495.44000000003</v>
      </c>
      <c r="BT8" s="579">
        <f t="shared" si="5"/>
        <v>1920.5</v>
      </c>
      <c r="BU8" s="579">
        <f t="shared" si="6"/>
        <v>32462</v>
      </c>
      <c r="BV8" s="579">
        <f t="shared" si="7"/>
        <v>20775.68</v>
      </c>
      <c r="BW8" s="579">
        <f t="shared" si="8"/>
        <v>1733.6666666666667</v>
      </c>
      <c r="BX8" s="579">
        <f t="shared" si="1"/>
        <v>29162.166666666668</v>
      </c>
      <c r="BY8" s="579">
        <f t="shared" si="1"/>
        <v>18791.28666666667</v>
      </c>
      <c r="BZ8" s="577">
        <v>1895</v>
      </c>
      <c r="CA8" s="572">
        <v>30990</v>
      </c>
      <c r="CB8" s="572">
        <v>20280</v>
      </c>
      <c r="CC8" s="287">
        <v>1665</v>
      </c>
      <c r="CD8" s="287">
        <v>27540</v>
      </c>
      <c r="CE8" s="287">
        <v>17884.8</v>
      </c>
      <c r="CF8" s="572"/>
      <c r="CG8" s="572"/>
      <c r="CH8" s="572"/>
      <c r="CI8" s="572"/>
      <c r="CJ8" s="572"/>
      <c r="CK8" s="572"/>
      <c r="CL8" s="572"/>
      <c r="CM8" s="572"/>
      <c r="CN8" s="572"/>
      <c r="CO8" s="572"/>
      <c r="CP8" s="572"/>
      <c r="CQ8" s="572"/>
      <c r="CR8" s="572"/>
      <c r="CS8" s="572"/>
      <c r="CT8" s="572"/>
      <c r="CU8" s="572"/>
      <c r="CV8" s="572"/>
      <c r="CW8" s="572"/>
      <c r="CX8" s="572"/>
      <c r="CY8" s="572"/>
      <c r="CZ8" s="572"/>
      <c r="DA8" s="572"/>
      <c r="DB8" s="572"/>
      <c r="DC8" s="572"/>
      <c r="DD8" s="572"/>
      <c r="DE8" s="572"/>
      <c r="DF8" s="572"/>
      <c r="DG8" s="572"/>
      <c r="DH8" s="572"/>
      <c r="DI8" s="572"/>
      <c r="DJ8" s="580">
        <f t="shared" si="9"/>
        <v>3560</v>
      </c>
      <c r="DK8" s="580">
        <f t="shared" si="9"/>
        <v>58530</v>
      </c>
      <c r="DL8" s="580">
        <f t="shared" si="9"/>
        <v>38164.800000000003</v>
      </c>
      <c r="DM8" s="664">
        <f t="shared" si="10"/>
        <v>1780</v>
      </c>
      <c r="DN8" s="664">
        <f t="shared" si="11"/>
        <v>29265</v>
      </c>
      <c r="DO8" s="665">
        <f t="shared" si="12"/>
        <v>19082.400000000001</v>
      </c>
      <c r="DP8" s="582">
        <f t="shared" si="13"/>
        <v>-8.1502988109173771</v>
      </c>
      <c r="DQ8" s="817">
        <f t="shared" si="14"/>
        <v>1.5491931898933302</v>
      </c>
    </row>
    <row r="9" spans="1:122">
      <c r="A9" s="572">
        <v>6</v>
      </c>
      <c r="B9" s="572" t="s">
        <v>237</v>
      </c>
      <c r="C9" s="572" t="s">
        <v>238</v>
      </c>
      <c r="D9" s="572" t="s">
        <v>236</v>
      </c>
      <c r="E9" s="572" t="s">
        <v>150</v>
      </c>
      <c r="F9" s="584" t="s">
        <v>347</v>
      </c>
      <c r="G9" s="575">
        <v>2195</v>
      </c>
      <c r="H9" s="575">
        <v>33730</v>
      </c>
      <c r="I9" s="575">
        <v>2065</v>
      </c>
      <c r="J9" s="575">
        <v>34150</v>
      </c>
      <c r="K9" s="575">
        <v>1725</v>
      </c>
      <c r="L9" s="575">
        <v>28650</v>
      </c>
      <c r="M9" s="575">
        <v>1340</v>
      </c>
      <c r="N9" s="575">
        <v>22500</v>
      </c>
      <c r="O9" s="575">
        <v>2230</v>
      </c>
      <c r="P9" s="575">
        <v>37610</v>
      </c>
      <c r="Q9" s="575">
        <v>2305</v>
      </c>
      <c r="R9" s="575">
        <v>37710</v>
      </c>
      <c r="S9" s="575">
        <v>1291</v>
      </c>
      <c r="T9" s="575">
        <v>20784</v>
      </c>
      <c r="U9" s="575">
        <v>2127</v>
      </c>
      <c r="V9" s="575">
        <v>34938</v>
      </c>
      <c r="W9" s="575">
        <v>1646</v>
      </c>
      <c r="X9" s="575">
        <v>27484</v>
      </c>
      <c r="Y9" s="575">
        <v>1615</v>
      </c>
      <c r="Z9" s="575">
        <v>26810</v>
      </c>
      <c r="AA9" s="575">
        <v>2040</v>
      </c>
      <c r="AB9" s="575">
        <v>32860</v>
      </c>
      <c r="AC9" s="575">
        <v>2000</v>
      </c>
      <c r="AD9" s="575">
        <v>32200</v>
      </c>
      <c r="AE9" s="576">
        <f t="shared" si="3"/>
        <v>22579</v>
      </c>
      <c r="AF9" s="576">
        <f t="shared" si="3"/>
        <v>369426</v>
      </c>
      <c r="AG9" s="577">
        <v>1590</v>
      </c>
      <c r="AH9" s="577">
        <v>26100</v>
      </c>
      <c r="AI9" s="577">
        <v>16725.599999999999</v>
      </c>
      <c r="AJ9" s="577">
        <v>2015</v>
      </c>
      <c r="AK9" s="577">
        <v>33510</v>
      </c>
      <c r="AL9" s="577">
        <v>21446.400000000001</v>
      </c>
      <c r="AM9" s="577">
        <v>1905</v>
      </c>
      <c r="AN9" s="577">
        <v>32040</v>
      </c>
      <c r="AO9" s="577">
        <v>20570.400000000001</v>
      </c>
      <c r="AP9" s="577">
        <v>2120</v>
      </c>
      <c r="AQ9" s="577">
        <v>34440</v>
      </c>
      <c r="AR9" s="577">
        <v>22128</v>
      </c>
      <c r="AS9" s="577">
        <v>1100</v>
      </c>
      <c r="AT9" s="577">
        <v>18700</v>
      </c>
      <c r="AU9" s="577">
        <v>11968</v>
      </c>
      <c r="AV9" s="577">
        <v>1315</v>
      </c>
      <c r="AW9" s="577">
        <v>20900</v>
      </c>
      <c r="AX9" s="577">
        <v>13505.6</v>
      </c>
      <c r="AY9" s="577">
        <v>1435</v>
      </c>
      <c r="AZ9" s="577">
        <v>24620</v>
      </c>
      <c r="BA9" s="577">
        <v>15836.000000000002</v>
      </c>
      <c r="BB9" s="577">
        <v>1250</v>
      </c>
      <c r="BC9" s="577">
        <v>21200</v>
      </c>
      <c r="BD9" s="577">
        <v>13568</v>
      </c>
      <c r="BE9" s="577">
        <v>1450</v>
      </c>
      <c r="BF9" s="578">
        <v>24340</v>
      </c>
      <c r="BG9" s="577">
        <v>15995.199999999999</v>
      </c>
      <c r="BH9" s="577">
        <v>1145</v>
      </c>
      <c r="BI9" s="577">
        <v>19530</v>
      </c>
      <c r="BJ9" s="577">
        <v>12499.199999999999</v>
      </c>
      <c r="BK9" s="577">
        <v>1910</v>
      </c>
      <c r="BL9" s="577">
        <v>31340</v>
      </c>
      <c r="BM9" s="577">
        <v>20057.599999999999</v>
      </c>
      <c r="BN9" s="577">
        <v>1080</v>
      </c>
      <c r="BO9" s="577">
        <v>17820</v>
      </c>
      <c r="BP9" s="577">
        <v>11404.8</v>
      </c>
      <c r="BQ9" s="579">
        <f t="shared" si="4"/>
        <v>18315</v>
      </c>
      <c r="BR9" s="579">
        <f t="shared" si="4"/>
        <v>304540</v>
      </c>
      <c r="BS9" s="579">
        <f t="shared" si="4"/>
        <v>195704.80000000002</v>
      </c>
      <c r="BT9" s="579">
        <f t="shared" si="5"/>
        <v>1802.5</v>
      </c>
      <c r="BU9" s="579">
        <f t="shared" si="6"/>
        <v>29805</v>
      </c>
      <c r="BV9" s="579">
        <f t="shared" si="7"/>
        <v>19086</v>
      </c>
      <c r="BW9" s="579">
        <f t="shared" si="8"/>
        <v>1526.25</v>
      </c>
      <c r="BX9" s="579">
        <f t="shared" si="1"/>
        <v>25378.333333333332</v>
      </c>
      <c r="BY9" s="579">
        <f t="shared" si="1"/>
        <v>16308.733333333335</v>
      </c>
      <c r="BZ9" s="577">
        <v>1670</v>
      </c>
      <c r="CA9" s="572">
        <v>27080</v>
      </c>
      <c r="CB9" s="572">
        <v>17331.199999999997</v>
      </c>
      <c r="CC9" s="287">
        <v>2140</v>
      </c>
      <c r="CD9" s="287">
        <v>34160</v>
      </c>
      <c r="CE9" s="287">
        <v>22078.400000000001</v>
      </c>
      <c r="CF9" s="572"/>
      <c r="CG9" s="572"/>
      <c r="CH9" s="572"/>
      <c r="CI9" s="572"/>
      <c r="CJ9" s="572"/>
      <c r="CK9" s="572"/>
      <c r="CL9" s="572"/>
      <c r="CM9" s="572"/>
      <c r="CN9" s="572"/>
      <c r="CO9" s="572"/>
      <c r="CP9" s="572"/>
      <c r="CQ9" s="572"/>
      <c r="CR9" s="572"/>
      <c r="CS9" s="572"/>
      <c r="CT9" s="572"/>
      <c r="CU9" s="572"/>
      <c r="CV9" s="572"/>
      <c r="CW9" s="572"/>
      <c r="CX9" s="572"/>
      <c r="CY9" s="572"/>
      <c r="CZ9" s="572"/>
      <c r="DA9" s="572"/>
      <c r="DB9" s="572"/>
      <c r="DC9" s="572"/>
      <c r="DD9" s="572"/>
      <c r="DE9" s="572"/>
      <c r="DF9" s="572"/>
      <c r="DG9" s="572"/>
      <c r="DH9" s="572"/>
      <c r="DI9" s="572"/>
      <c r="DJ9" s="580">
        <f t="shared" si="9"/>
        <v>3810</v>
      </c>
      <c r="DK9" s="580">
        <f t="shared" si="9"/>
        <v>61240</v>
      </c>
      <c r="DL9" s="580">
        <f t="shared" si="9"/>
        <v>39409.599999999999</v>
      </c>
      <c r="DM9" s="664">
        <f t="shared" si="10"/>
        <v>1905</v>
      </c>
      <c r="DN9" s="664">
        <f t="shared" si="11"/>
        <v>30620</v>
      </c>
      <c r="DO9" s="665">
        <f t="shared" si="12"/>
        <v>19704.8</v>
      </c>
      <c r="DP9" s="583">
        <f t="shared" si="13"/>
        <v>3.2421670334276342</v>
      </c>
      <c r="DQ9" s="817">
        <f t="shared" si="14"/>
        <v>20.823607801137214</v>
      </c>
    </row>
    <row r="10" spans="1:122">
      <c r="A10" s="572">
        <v>7</v>
      </c>
      <c r="B10" s="572" t="s">
        <v>242</v>
      </c>
      <c r="C10" s="572" t="s">
        <v>243</v>
      </c>
      <c r="D10" s="572" t="s">
        <v>241</v>
      </c>
      <c r="E10" s="572" t="s">
        <v>151</v>
      </c>
      <c r="F10" s="584" t="s">
        <v>347</v>
      </c>
      <c r="G10" s="575">
        <v>930</v>
      </c>
      <c r="H10" s="575">
        <v>13320</v>
      </c>
      <c r="I10" s="575">
        <v>400</v>
      </c>
      <c r="J10" s="575">
        <v>5600</v>
      </c>
      <c r="K10" s="575">
        <v>730</v>
      </c>
      <c r="L10" s="575">
        <v>10520</v>
      </c>
      <c r="M10" s="575">
        <v>730</v>
      </c>
      <c r="N10" s="575">
        <v>10520</v>
      </c>
      <c r="O10" s="575">
        <v>700</v>
      </c>
      <c r="P10" s="575">
        <v>9800</v>
      </c>
      <c r="Q10" s="575">
        <v>750</v>
      </c>
      <c r="R10" s="575">
        <v>10900</v>
      </c>
      <c r="S10" s="575">
        <v>960</v>
      </c>
      <c r="T10" s="575">
        <v>13840</v>
      </c>
      <c r="U10" s="575">
        <v>775</v>
      </c>
      <c r="V10" s="575">
        <v>11100</v>
      </c>
      <c r="W10" s="575">
        <v>230</v>
      </c>
      <c r="X10" s="575">
        <v>3520</v>
      </c>
      <c r="Y10" s="575">
        <v>1024</v>
      </c>
      <c r="Z10" s="575">
        <v>15436</v>
      </c>
      <c r="AA10" s="575">
        <v>700</v>
      </c>
      <c r="AB10" s="575">
        <v>10300</v>
      </c>
      <c r="AC10" s="575">
        <v>700</v>
      </c>
      <c r="AD10" s="575">
        <v>10800</v>
      </c>
      <c r="AE10" s="576">
        <f t="shared" si="3"/>
        <v>8629</v>
      </c>
      <c r="AF10" s="576">
        <f t="shared" si="3"/>
        <v>125656</v>
      </c>
      <c r="AG10" s="577">
        <v>850</v>
      </c>
      <c r="AH10" s="577">
        <v>12400</v>
      </c>
      <c r="AI10" s="577">
        <v>7888</v>
      </c>
      <c r="AJ10" s="577">
        <v>700</v>
      </c>
      <c r="AK10" s="577">
        <v>10800</v>
      </c>
      <c r="AL10" s="577">
        <v>6816</v>
      </c>
      <c r="AM10" s="577">
        <v>1000</v>
      </c>
      <c r="AN10" s="577">
        <v>16000</v>
      </c>
      <c r="AO10" s="577">
        <v>11968</v>
      </c>
      <c r="AP10" s="577">
        <v>450</v>
      </c>
      <c r="AQ10" s="577">
        <v>6800</v>
      </c>
      <c r="AR10" s="577">
        <v>4304</v>
      </c>
      <c r="AS10" s="577">
        <v>550</v>
      </c>
      <c r="AT10" s="577">
        <v>9200</v>
      </c>
      <c r="AU10" s="577">
        <v>5744</v>
      </c>
      <c r="AV10" s="577">
        <v>350</v>
      </c>
      <c r="AW10" s="577">
        <v>5400</v>
      </c>
      <c r="AX10" s="577">
        <v>3408</v>
      </c>
      <c r="AY10" s="577">
        <v>800</v>
      </c>
      <c r="AZ10" s="577">
        <v>12700</v>
      </c>
      <c r="BA10" s="577">
        <v>7984</v>
      </c>
      <c r="BB10" s="577">
        <v>470</v>
      </c>
      <c r="BC10" s="577">
        <v>6780</v>
      </c>
      <c r="BD10" s="577">
        <v>4334.3999999999996</v>
      </c>
      <c r="BE10" s="577">
        <v>800</v>
      </c>
      <c r="BF10" s="578">
        <v>12700</v>
      </c>
      <c r="BG10" s="577">
        <v>7984</v>
      </c>
      <c r="BH10" s="577">
        <v>800</v>
      </c>
      <c r="BI10" s="577">
        <v>12900</v>
      </c>
      <c r="BJ10" s="577">
        <v>8121.6</v>
      </c>
      <c r="BK10" s="577">
        <v>550</v>
      </c>
      <c r="BL10" s="577">
        <v>8200</v>
      </c>
      <c r="BM10" s="577">
        <v>5200</v>
      </c>
      <c r="BN10" s="577">
        <v>750</v>
      </c>
      <c r="BO10" s="577">
        <v>11000</v>
      </c>
      <c r="BP10" s="577">
        <v>6992</v>
      </c>
      <c r="BQ10" s="579">
        <f t="shared" si="4"/>
        <v>8070</v>
      </c>
      <c r="BR10" s="579">
        <f t="shared" si="4"/>
        <v>124880</v>
      </c>
      <c r="BS10" s="579">
        <f t="shared" si="4"/>
        <v>80744</v>
      </c>
      <c r="BT10" s="579">
        <f t="shared" si="5"/>
        <v>775</v>
      </c>
      <c r="BU10" s="579">
        <f t="shared" si="6"/>
        <v>11600</v>
      </c>
      <c r="BV10" s="579">
        <f t="shared" si="7"/>
        <v>7352</v>
      </c>
      <c r="BW10" s="579">
        <f t="shared" si="8"/>
        <v>672.5</v>
      </c>
      <c r="BX10" s="579">
        <f t="shared" si="1"/>
        <v>10406.666666666666</v>
      </c>
      <c r="BY10" s="579">
        <f t="shared" si="1"/>
        <v>6728.666666666667</v>
      </c>
      <c r="BZ10" s="577">
        <v>700</v>
      </c>
      <c r="CA10" s="572">
        <v>10800</v>
      </c>
      <c r="CB10" s="572">
        <v>6816</v>
      </c>
      <c r="CC10" s="287">
        <v>600</v>
      </c>
      <c r="CD10" s="287">
        <v>8400</v>
      </c>
      <c r="CE10" s="287">
        <v>5376</v>
      </c>
      <c r="CF10" s="572"/>
      <c r="CG10" s="572"/>
      <c r="CH10" s="572"/>
      <c r="CI10" s="572"/>
      <c r="CJ10" s="572"/>
      <c r="CK10" s="572"/>
      <c r="CL10" s="572"/>
      <c r="CM10" s="572"/>
      <c r="CN10" s="572"/>
      <c r="CO10" s="572"/>
      <c r="CP10" s="572"/>
      <c r="CQ10" s="572"/>
      <c r="CR10" s="572"/>
      <c r="CS10" s="572"/>
      <c r="CT10" s="572"/>
      <c r="CU10" s="572"/>
      <c r="CV10" s="572"/>
      <c r="CW10" s="572"/>
      <c r="CX10" s="572"/>
      <c r="CY10" s="572"/>
      <c r="CZ10" s="572"/>
      <c r="DA10" s="572"/>
      <c r="DB10" s="572"/>
      <c r="DC10" s="572"/>
      <c r="DD10" s="572"/>
      <c r="DE10" s="572"/>
      <c r="DF10" s="572"/>
      <c r="DG10" s="572"/>
      <c r="DH10" s="572"/>
      <c r="DI10" s="572"/>
      <c r="DJ10" s="580">
        <f t="shared" si="9"/>
        <v>1300</v>
      </c>
      <c r="DK10" s="580">
        <f t="shared" si="9"/>
        <v>19200</v>
      </c>
      <c r="DL10" s="580">
        <f t="shared" si="9"/>
        <v>12192</v>
      </c>
      <c r="DM10" s="664">
        <f t="shared" si="10"/>
        <v>650</v>
      </c>
      <c r="DN10" s="664">
        <f t="shared" si="11"/>
        <v>9600</v>
      </c>
      <c r="DO10" s="665">
        <f t="shared" si="12"/>
        <v>6096</v>
      </c>
      <c r="DP10" s="582">
        <f t="shared" si="13"/>
        <v>-17.083786724700772</v>
      </c>
      <c r="DQ10" s="817">
        <f t="shared" si="14"/>
        <v>-9.402556227088084</v>
      </c>
    </row>
    <row r="11" spans="1:122">
      <c r="A11" s="572">
        <v>8</v>
      </c>
      <c r="B11" s="572" t="s">
        <v>244</v>
      </c>
      <c r="C11" s="572" t="s">
        <v>245</v>
      </c>
      <c r="D11" s="572" t="s">
        <v>229</v>
      </c>
      <c r="E11" s="572" t="s">
        <v>147</v>
      </c>
      <c r="F11" s="584" t="s">
        <v>347</v>
      </c>
      <c r="G11" s="575">
        <v>10135</v>
      </c>
      <c r="H11" s="575">
        <v>144090</v>
      </c>
      <c r="I11" s="575">
        <v>4020</v>
      </c>
      <c r="J11" s="575">
        <v>58580</v>
      </c>
      <c r="K11" s="575">
        <v>2940</v>
      </c>
      <c r="L11" s="575">
        <v>43560</v>
      </c>
      <c r="M11" s="575">
        <v>3315</v>
      </c>
      <c r="N11" s="575">
        <v>49110</v>
      </c>
      <c r="O11" s="575">
        <v>5095</v>
      </c>
      <c r="P11" s="575">
        <v>74930</v>
      </c>
      <c r="Q11" s="575">
        <v>4712</v>
      </c>
      <c r="R11" s="575">
        <v>68226</v>
      </c>
      <c r="S11" s="575">
        <v>4261</v>
      </c>
      <c r="T11" s="575">
        <v>62212</v>
      </c>
      <c r="U11" s="575">
        <v>4865</v>
      </c>
      <c r="V11" s="575">
        <v>70410</v>
      </c>
      <c r="W11" s="575">
        <v>6505</v>
      </c>
      <c r="X11" s="575">
        <v>93370</v>
      </c>
      <c r="Y11" s="575">
        <v>4340</v>
      </c>
      <c r="Z11" s="575">
        <v>63810</v>
      </c>
      <c r="AA11" s="575">
        <v>5230</v>
      </c>
      <c r="AB11" s="575">
        <v>91520</v>
      </c>
      <c r="AC11" s="575">
        <v>5835</v>
      </c>
      <c r="AD11" s="575">
        <v>85990</v>
      </c>
      <c r="AE11" s="576">
        <f t="shared" si="3"/>
        <v>61253</v>
      </c>
      <c r="AF11" s="576">
        <f t="shared" si="3"/>
        <v>905808</v>
      </c>
      <c r="AG11" s="577">
        <v>5550</v>
      </c>
      <c r="AH11" s="577">
        <v>81900</v>
      </c>
      <c r="AI11" s="577">
        <v>52488.000000000007</v>
      </c>
      <c r="AJ11" s="577">
        <v>5550</v>
      </c>
      <c r="AK11" s="577">
        <v>80910</v>
      </c>
      <c r="AL11" s="577">
        <v>51892.800000000003</v>
      </c>
      <c r="AM11" s="577">
        <v>5550</v>
      </c>
      <c r="AN11" s="577">
        <v>85100</v>
      </c>
      <c r="AO11" s="577">
        <v>57300.800000000003</v>
      </c>
      <c r="AP11" s="577">
        <v>4305</v>
      </c>
      <c r="AQ11" s="577">
        <v>63220</v>
      </c>
      <c r="AR11" s="577">
        <v>40928.800000000003</v>
      </c>
      <c r="AS11" s="577">
        <v>6520</v>
      </c>
      <c r="AT11" s="577">
        <v>95580</v>
      </c>
      <c r="AU11" s="577">
        <v>61207.200000000012</v>
      </c>
      <c r="AV11" s="577">
        <v>5825</v>
      </c>
      <c r="AW11" s="577">
        <v>87000</v>
      </c>
      <c r="AX11" s="577">
        <v>55824.000000000007</v>
      </c>
      <c r="AY11" s="577">
        <v>4150</v>
      </c>
      <c r="AZ11" s="577">
        <v>61500</v>
      </c>
      <c r="BA11" s="577">
        <v>39395.999999999993</v>
      </c>
      <c r="BB11" s="577">
        <v>5395</v>
      </c>
      <c r="BC11" s="577">
        <v>78630</v>
      </c>
      <c r="BD11" s="577">
        <v>50395.199999999997</v>
      </c>
      <c r="BE11" s="577">
        <v>4715</v>
      </c>
      <c r="BF11" s="578">
        <v>69310</v>
      </c>
      <c r="BG11" s="577">
        <v>44358.400000000009</v>
      </c>
      <c r="BH11" s="577">
        <v>6470</v>
      </c>
      <c r="BI11" s="577">
        <v>94780</v>
      </c>
      <c r="BJ11" s="577">
        <v>60731.200000000004</v>
      </c>
      <c r="BK11" s="577">
        <v>6715</v>
      </c>
      <c r="BL11" s="577">
        <v>98860</v>
      </c>
      <c r="BM11" s="577">
        <v>63306.400000000001</v>
      </c>
      <c r="BN11" s="577">
        <v>6600</v>
      </c>
      <c r="BO11" s="577">
        <v>99440</v>
      </c>
      <c r="BP11" s="577">
        <v>63699.199999999997</v>
      </c>
      <c r="BQ11" s="579">
        <f t="shared" si="4"/>
        <v>67345</v>
      </c>
      <c r="BR11" s="579">
        <f t="shared" si="4"/>
        <v>996230</v>
      </c>
      <c r="BS11" s="579">
        <f t="shared" si="4"/>
        <v>641528</v>
      </c>
      <c r="BT11" s="579">
        <f t="shared" si="5"/>
        <v>5550</v>
      </c>
      <c r="BU11" s="579">
        <f t="shared" si="6"/>
        <v>81405</v>
      </c>
      <c r="BV11" s="579">
        <f t="shared" si="7"/>
        <v>52190.400000000009</v>
      </c>
      <c r="BW11" s="579">
        <f t="shared" si="8"/>
        <v>5612.083333333333</v>
      </c>
      <c r="BX11" s="579">
        <f t="shared" si="1"/>
        <v>83019.166666666672</v>
      </c>
      <c r="BY11" s="579">
        <f t="shared" si="1"/>
        <v>53460.666666666664</v>
      </c>
      <c r="BZ11" s="577">
        <v>5550</v>
      </c>
      <c r="CA11" s="572">
        <v>83900</v>
      </c>
      <c r="CB11" s="572">
        <v>53732</v>
      </c>
      <c r="CC11" s="287">
        <v>4605</v>
      </c>
      <c r="CD11" s="287">
        <v>69770</v>
      </c>
      <c r="CE11" s="287">
        <v>44688.800000000003</v>
      </c>
      <c r="CF11" s="572"/>
      <c r="CG11" s="572"/>
      <c r="CH11" s="572"/>
      <c r="CI11" s="572"/>
      <c r="CJ11" s="572"/>
      <c r="CK11" s="572"/>
      <c r="CL11" s="572"/>
      <c r="CM11" s="572"/>
      <c r="CN11" s="572"/>
      <c r="CO11" s="572"/>
      <c r="CP11" s="572"/>
      <c r="CQ11" s="572"/>
      <c r="CR11" s="572"/>
      <c r="CS11" s="572"/>
      <c r="CT11" s="572"/>
      <c r="CU11" s="572"/>
      <c r="CV11" s="572"/>
      <c r="CW11" s="572"/>
      <c r="CX11" s="572"/>
      <c r="CY11" s="572"/>
      <c r="CZ11" s="572"/>
      <c r="DA11" s="572"/>
      <c r="DB11" s="572"/>
      <c r="DC11" s="572"/>
      <c r="DD11" s="572"/>
      <c r="DE11" s="572"/>
      <c r="DF11" s="572"/>
      <c r="DG11" s="572"/>
      <c r="DH11" s="572"/>
      <c r="DI11" s="572"/>
      <c r="DJ11" s="580">
        <f t="shared" si="9"/>
        <v>10155</v>
      </c>
      <c r="DK11" s="580">
        <f t="shared" si="9"/>
        <v>153670</v>
      </c>
      <c r="DL11" s="580">
        <f t="shared" si="9"/>
        <v>98420.800000000003</v>
      </c>
      <c r="DM11" s="664">
        <f t="shared" si="10"/>
        <v>5077.5</v>
      </c>
      <c r="DN11" s="664">
        <f t="shared" si="11"/>
        <v>76835</v>
      </c>
      <c r="DO11" s="665">
        <f t="shared" si="12"/>
        <v>49210.400000000001</v>
      </c>
      <c r="DP11" s="582">
        <f t="shared" si="13"/>
        <v>-5.7098623501640304</v>
      </c>
      <c r="DQ11" s="817">
        <f t="shared" si="14"/>
        <v>-7.9502687333989996</v>
      </c>
    </row>
    <row r="12" spans="1:122">
      <c r="A12" s="572">
        <v>9</v>
      </c>
      <c r="B12" s="572" t="s">
        <v>246</v>
      </c>
      <c r="C12" s="572" t="s">
        <v>247</v>
      </c>
      <c r="D12" s="572" t="s">
        <v>248</v>
      </c>
      <c r="E12" s="572" t="s">
        <v>104</v>
      </c>
      <c r="F12" s="584" t="s">
        <v>347</v>
      </c>
      <c r="G12" s="575">
        <v>1900</v>
      </c>
      <c r="H12" s="575">
        <v>26500</v>
      </c>
      <c r="I12" s="575">
        <v>1320</v>
      </c>
      <c r="J12" s="575">
        <v>18670</v>
      </c>
      <c r="K12" s="575">
        <v>1405</v>
      </c>
      <c r="L12" s="575">
        <v>19570</v>
      </c>
      <c r="M12" s="575">
        <v>1325</v>
      </c>
      <c r="N12" s="575">
        <v>18550</v>
      </c>
      <c r="O12" s="575">
        <v>1899</v>
      </c>
      <c r="P12" s="575">
        <v>28474</v>
      </c>
      <c r="Q12" s="575">
        <v>2200</v>
      </c>
      <c r="R12" s="575">
        <v>30760</v>
      </c>
      <c r="S12" s="575">
        <v>1920</v>
      </c>
      <c r="T12" s="575">
        <v>28700</v>
      </c>
      <c r="U12" s="575">
        <v>1905</v>
      </c>
      <c r="V12" s="575">
        <v>28150</v>
      </c>
      <c r="W12" s="575">
        <v>2425</v>
      </c>
      <c r="X12" s="575">
        <v>35860</v>
      </c>
      <c r="Y12" s="575">
        <v>2490</v>
      </c>
      <c r="Z12" s="575">
        <v>36740</v>
      </c>
      <c r="AA12" s="575">
        <v>2900</v>
      </c>
      <c r="AB12" s="575">
        <v>43640</v>
      </c>
      <c r="AC12" s="575">
        <v>2758</v>
      </c>
      <c r="AD12" s="575">
        <v>41692</v>
      </c>
      <c r="AE12" s="576">
        <f t="shared" si="3"/>
        <v>24447</v>
      </c>
      <c r="AF12" s="576">
        <f t="shared" si="3"/>
        <v>357306</v>
      </c>
      <c r="AG12" s="577">
        <v>2720</v>
      </c>
      <c r="AH12" s="577">
        <v>42860</v>
      </c>
      <c r="AI12" s="577">
        <v>27137.599999999999</v>
      </c>
      <c r="AJ12" s="577">
        <v>2080</v>
      </c>
      <c r="AK12" s="577">
        <v>31420</v>
      </c>
      <c r="AL12" s="577">
        <v>19916.8</v>
      </c>
      <c r="AM12" s="577">
        <v>2548</v>
      </c>
      <c r="AN12" s="577">
        <v>38072</v>
      </c>
      <c r="AO12" s="577">
        <v>24246.080000000002</v>
      </c>
      <c r="AP12" s="577">
        <v>2760</v>
      </c>
      <c r="AQ12" s="577">
        <v>42680</v>
      </c>
      <c r="AR12" s="577">
        <v>27108.799999999999</v>
      </c>
      <c r="AS12" s="577">
        <v>2703</v>
      </c>
      <c r="AT12" s="577">
        <v>40712</v>
      </c>
      <c r="AU12" s="577">
        <v>26277.200000000001</v>
      </c>
      <c r="AV12" s="577">
        <v>2982</v>
      </c>
      <c r="AW12" s="577">
        <v>45668</v>
      </c>
      <c r="AX12" s="577">
        <v>29085.200000000001</v>
      </c>
      <c r="AY12" s="577">
        <v>2720</v>
      </c>
      <c r="AZ12" s="577">
        <v>40890</v>
      </c>
      <c r="BA12" s="577">
        <v>26629.199999999997</v>
      </c>
      <c r="BB12" s="577">
        <v>2949</v>
      </c>
      <c r="BC12" s="577">
        <v>44396</v>
      </c>
      <c r="BD12" s="577">
        <v>28811.840000000004</v>
      </c>
      <c r="BE12" s="577">
        <v>3354</v>
      </c>
      <c r="BF12" s="578">
        <v>50696</v>
      </c>
      <c r="BG12" s="577">
        <v>32971.040000000001</v>
      </c>
      <c r="BH12" s="577">
        <v>3205</v>
      </c>
      <c r="BI12" s="577">
        <v>47960</v>
      </c>
      <c r="BJ12" s="577">
        <v>31518.800000000003</v>
      </c>
      <c r="BK12" s="577">
        <v>3345</v>
      </c>
      <c r="BL12" s="577">
        <v>50810</v>
      </c>
      <c r="BM12" s="577">
        <v>33755.599999999999</v>
      </c>
      <c r="BN12" s="577">
        <v>3725</v>
      </c>
      <c r="BO12" s="577">
        <v>57280</v>
      </c>
      <c r="BP12" s="577">
        <v>37017.999999999993</v>
      </c>
      <c r="BQ12" s="579">
        <f t="shared" si="4"/>
        <v>35091</v>
      </c>
      <c r="BR12" s="579">
        <f t="shared" si="4"/>
        <v>533444</v>
      </c>
      <c r="BS12" s="579">
        <f t="shared" si="4"/>
        <v>344476.15999999997</v>
      </c>
      <c r="BT12" s="579">
        <f t="shared" si="5"/>
        <v>2400</v>
      </c>
      <c r="BU12" s="579">
        <f t="shared" si="6"/>
        <v>37140</v>
      </c>
      <c r="BV12" s="579">
        <f t="shared" si="7"/>
        <v>23527.199999999997</v>
      </c>
      <c r="BW12" s="579">
        <f t="shared" si="8"/>
        <v>2924.25</v>
      </c>
      <c r="BX12" s="579">
        <f t="shared" si="1"/>
        <v>44453.666666666664</v>
      </c>
      <c r="BY12" s="579">
        <f t="shared" si="1"/>
        <v>28706.346666666665</v>
      </c>
      <c r="BZ12" s="577">
        <v>3105</v>
      </c>
      <c r="CA12" s="572">
        <v>45700</v>
      </c>
      <c r="CB12" s="572">
        <v>29945.199999999997</v>
      </c>
      <c r="CC12" s="287">
        <v>2380</v>
      </c>
      <c r="CD12" s="287">
        <v>36340</v>
      </c>
      <c r="CE12" s="287">
        <v>24061.599999999999</v>
      </c>
      <c r="CF12" s="572"/>
      <c r="CG12" s="572"/>
      <c r="CH12" s="572"/>
      <c r="CI12" s="572"/>
      <c r="CJ12" s="572"/>
      <c r="CK12" s="572"/>
      <c r="CL12" s="572"/>
      <c r="CM12" s="572"/>
      <c r="CN12" s="572"/>
      <c r="CO12" s="572"/>
      <c r="CP12" s="572"/>
      <c r="CQ12" s="572"/>
      <c r="CR12" s="572"/>
      <c r="CS12" s="572"/>
      <c r="CT12" s="572"/>
      <c r="CU12" s="572"/>
      <c r="CV12" s="572"/>
      <c r="CW12" s="572"/>
      <c r="CX12" s="572"/>
      <c r="CY12" s="572"/>
      <c r="CZ12" s="572"/>
      <c r="DA12" s="572"/>
      <c r="DB12" s="572"/>
      <c r="DC12" s="572"/>
      <c r="DD12" s="572"/>
      <c r="DE12" s="572"/>
      <c r="DF12" s="572"/>
      <c r="DG12" s="572"/>
      <c r="DH12" s="572"/>
      <c r="DI12" s="572"/>
      <c r="DJ12" s="580">
        <f t="shared" si="9"/>
        <v>5485</v>
      </c>
      <c r="DK12" s="580">
        <f t="shared" si="9"/>
        <v>82040</v>
      </c>
      <c r="DL12" s="580">
        <f t="shared" si="9"/>
        <v>54006.799999999996</v>
      </c>
      <c r="DM12" s="664">
        <f t="shared" si="10"/>
        <v>2742.5</v>
      </c>
      <c r="DN12" s="664">
        <f t="shared" si="11"/>
        <v>41020</v>
      </c>
      <c r="DO12" s="665">
        <f t="shared" si="12"/>
        <v>27003.399999999998</v>
      </c>
      <c r="DP12" s="583">
        <f t="shared" si="13"/>
        <v>14.775238872454025</v>
      </c>
      <c r="DQ12" s="817">
        <f t="shared" si="14"/>
        <v>-5.9323002207177495</v>
      </c>
    </row>
    <row r="13" spans="1:122">
      <c r="A13" s="572">
        <v>10</v>
      </c>
      <c r="B13" s="572" t="s">
        <v>249</v>
      </c>
      <c r="C13" s="572" t="s">
        <v>250</v>
      </c>
      <c r="D13" s="572" t="s">
        <v>248</v>
      </c>
      <c r="E13" s="572" t="s">
        <v>104</v>
      </c>
      <c r="F13" s="584" t="s">
        <v>347</v>
      </c>
      <c r="G13" s="575">
        <v>920</v>
      </c>
      <c r="H13" s="575">
        <v>12680</v>
      </c>
      <c r="I13" s="575">
        <v>1180</v>
      </c>
      <c r="J13" s="575">
        <v>16820</v>
      </c>
      <c r="K13" s="575">
        <v>1600</v>
      </c>
      <c r="L13" s="575">
        <v>22400</v>
      </c>
      <c r="M13" s="575">
        <v>1400</v>
      </c>
      <c r="N13" s="575">
        <v>19300</v>
      </c>
      <c r="O13" s="575">
        <v>1850</v>
      </c>
      <c r="P13" s="575">
        <v>26900</v>
      </c>
      <c r="Q13" s="575">
        <v>1830</v>
      </c>
      <c r="R13" s="575">
        <v>25720</v>
      </c>
      <c r="S13" s="575">
        <v>1630</v>
      </c>
      <c r="T13" s="575">
        <v>22460</v>
      </c>
      <c r="U13" s="575">
        <v>1940</v>
      </c>
      <c r="V13" s="575">
        <v>27060</v>
      </c>
      <c r="W13" s="575">
        <v>770</v>
      </c>
      <c r="X13" s="575">
        <v>11380</v>
      </c>
      <c r="Y13" s="575">
        <v>2013</v>
      </c>
      <c r="Z13" s="575">
        <v>27718</v>
      </c>
      <c r="AA13" s="575">
        <v>1269</v>
      </c>
      <c r="AB13" s="575">
        <v>19478</v>
      </c>
      <c r="AC13" s="575">
        <v>2030</v>
      </c>
      <c r="AD13" s="575">
        <v>27420</v>
      </c>
      <c r="AE13" s="576">
        <f t="shared" si="3"/>
        <v>18432</v>
      </c>
      <c r="AF13" s="576">
        <f t="shared" si="3"/>
        <v>259336</v>
      </c>
      <c r="AG13" s="577">
        <v>1861</v>
      </c>
      <c r="AH13" s="577">
        <v>27924</v>
      </c>
      <c r="AI13" s="577">
        <v>18806.400000000001</v>
      </c>
      <c r="AJ13" s="577">
        <v>1730</v>
      </c>
      <c r="AK13" s="577">
        <v>24520</v>
      </c>
      <c r="AL13" s="577">
        <v>15692.8</v>
      </c>
      <c r="AM13" s="577">
        <v>1215</v>
      </c>
      <c r="AN13" s="577">
        <v>17560</v>
      </c>
      <c r="AO13" s="577">
        <v>13398.4</v>
      </c>
      <c r="AP13" s="577">
        <v>1500</v>
      </c>
      <c r="AQ13" s="577">
        <v>23000</v>
      </c>
      <c r="AR13" s="577">
        <v>15176</v>
      </c>
      <c r="AS13" s="577">
        <v>2650</v>
      </c>
      <c r="AT13" s="577">
        <v>38800</v>
      </c>
      <c r="AU13" s="577">
        <v>26320</v>
      </c>
      <c r="AV13" s="577">
        <v>2238.5</v>
      </c>
      <c r="AW13" s="577">
        <v>33512</v>
      </c>
      <c r="AX13" s="577">
        <v>22238.6</v>
      </c>
      <c r="AY13" s="577">
        <v>1400</v>
      </c>
      <c r="AZ13" s="577">
        <v>19900</v>
      </c>
      <c r="BA13" s="577">
        <v>14152</v>
      </c>
      <c r="BB13" s="577">
        <v>2160</v>
      </c>
      <c r="BC13" s="577">
        <v>33840</v>
      </c>
      <c r="BD13" s="577">
        <v>22353.599999999999</v>
      </c>
      <c r="BE13" s="577">
        <v>2515</v>
      </c>
      <c r="BF13" s="578">
        <v>33360</v>
      </c>
      <c r="BG13" s="577">
        <v>25670.400000000001</v>
      </c>
      <c r="BH13" s="577">
        <v>1765</v>
      </c>
      <c r="BI13" s="577">
        <v>28760</v>
      </c>
      <c r="BJ13" s="577">
        <v>18238.400000000001</v>
      </c>
      <c r="BK13" s="577">
        <v>3915</v>
      </c>
      <c r="BL13" s="577">
        <v>60560</v>
      </c>
      <c r="BM13" s="577">
        <v>39046.400000000001</v>
      </c>
      <c r="BN13" s="577">
        <v>2060</v>
      </c>
      <c r="BO13" s="577">
        <v>34440</v>
      </c>
      <c r="BP13" s="577">
        <v>23625.599999999999</v>
      </c>
      <c r="BQ13" s="579">
        <f t="shared" si="4"/>
        <v>25009.5</v>
      </c>
      <c r="BR13" s="579">
        <f t="shared" si="4"/>
        <v>376176</v>
      </c>
      <c r="BS13" s="579">
        <f t="shared" si="4"/>
        <v>254718.6</v>
      </c>
      <c r="BT13" s="579">
        <f t="shared" si="5"/>
        <v>1795.5</v>
      </c>
      <c r="BU13" s="579">
        <f t="shared" si="6"/>
        <v>26222</v>
      </c>
      <c r="BV13" s="579">
        <f t="shared" si="7"/>
        <v>17249.599999999999</v>
      </c>
      <c r="BW13" s="579">
        <f t="shared" si="8"/>
        <v>2084.125</v>
      </c>
      <c r="BX13" s="579">
        <f t="shared" si="1"/>
        <v>31348</v>
      </c>
      <c r="BY13" s="579">
        <f t="shared" si="1"/>
        <v>21226.55</v>
      </c>
      <c r="BZ13" s="577">
        <v>880</v>
      </c>
      <c r="CA13" s="572">
        <v>12620</v>
      </c>
      <c r="CB13" s="572">
        <v>8076.8</v>
      </c>
      <c r="CC13" s="287">
        <v>510</v>
      </c>
      <c r="CD13" s="287">
        <v>7740</v>
      </c>
      <c r="CE13" s="287">
        <v>4953.6000000000004</v>
      </c>
      <c r="CF13" s="572"/>
      <c r="CG13" s="572"/>
      <c r="CH13" s="572"/>
      <c r="CI13" s="572"/>
      <c r="CJ13" s="572"/>
      <c r="CK13" s="572"/>
      <c r="CL13" s="572"/>
      <c r="CM13" s="572"/>
      <c r="CN13" s="572"/>
      <c r="CO13" s="572"/>
      <c r="CP13" s="572"/>
      <c r="CQ13" s="572"/>
      <c r="CR13" s="572"/>
      <c r="CS13" s="572"/>
      <c r="CT13" s="572"/>
      <c r="CU13" s="572"/>
      <c r="CV13" s="572"/>
      <c r="CW13" s="572"/>
      <c r="CX13" s="572"/>
      <c r="CY13" s="572"/>
      <c r="CZ13" s="572"/>
      <c r="DA13" s="572"/>
      <c r="DB13" s="572"/>
      <c r="DC13" s="572"/>
      <c r="DD13" s="572"/>
      <c r="DE13" s="572"/>
      <c r="DF13" s="572"/>
      <c r="DG13" s="572"/>
      <c r="DH13" s="572"/>
      <c r="DI13" s="572"/>
      <c r="DJ13" s="580">
        <f t="shared" si="9"/>
        <v>1390</v>
      </c>
      <c r="DK13" s="580">
        <f t="shared" si="9"/>
        <v>20360</v>
      </c>
      <c r="DL13" s="580">
        <f t="shared" si="9"/>
        <v>13030.400000000001</v>
      </c>
      <c r="DM13" s="664">
        <f t="shared" si="10"/>
        <v>695</v>
      </c>
      <c r="DN13" s="664">
        <f t="shared" si="11"/>
        <v>10180</v>
      </c>
      <c r="DO13" s="665">
        <f t="shared" si="12"/>
        <v>6515.2000000000007</v>
      </c>
      <c r="DP13" s="582">
        <f t="shared" si="13"/>
        <v>-62.229848808088292</v>
      </c>
      <c r="DQ13" s="817">
        <f t="shared" si="14"/>
        <v>-69.30636396399791</v>
      </c>
      <c r="DR13" s="820" t="s">
        <v>324</v>
      </c>
    </row>
    <row r="14" spans="1:122">
      <c r="A14" s="572">
        <v>11</v>
      </c>
      <c r="B14" s="572" t="s">
        <v>253</v>
      </c>
      <c r="C14" s="572" t="s">
        <v>254</v>
      </c>
      <c r="D14" s="572" t="s">
        <v>248</v>
      </c>
      <c r="E14" s="572" t="s">
        <v>104</v>
      </c>
      <c r="F14" s="584" t="s">
        <v>347</v>
      </c>
      <c r="G14" s="575">
        <v>1470</v>
      </c>
      <c r="H14" s="575">
        <v>21680</v>
      </c>
      <c r="I14" s="575">
        <v>610</v>
      </c>
      <c r="J14" s="575">
        <v>9660</v>
      </c>
      <c r="K14" s="575">
        <v>700</v>
      </c>
      <c r="L14" s="575">
        <v>9800</v>
      </c>
      <c r="M14" s="575">
        <v>1450</v>
      </c>
      <c r="N14" s="575">
        <v>20200</v>
      </c>
      <c r="O14" s="575">
        <v>742</v>
      </c>
      <c r="P14" s="575">
        <v>14216</v>
      </c>
      <c r="Q14" s="575">
        <v>1540</v>
      </c>
      <c r="R14" s="575">
        <v>22060</v>
      </c>
      <c r="S14" s="575">
        <v>1010</v>
      </c>
      <c r="T14" s="575">
        <v>16740</v>
      </c>
      <c r="U14" s="575">
        <v>1098</v>
      </c>
      <c r="V14" s="575">
        <v>17980</v>
      </c>
      <c r="W14" s="575">
        <v>960</v>
      </c>
      <c r="X14" s="575">
        <v>16050</v>
      </c>
      <c r="Y14" s="575">
        <v>1820</v>
      </c>
      <c r="Z14" s="575">
        <v>30672</v>
      </c>
      <c r="AA14" s="575">
        <v>1084</v>
      </c>
      <c r="AB14" s="575">
        <v>15542</v>
      </c>
      <c r="AC14" s="575">
        <v>1423</v>
      </c>
      <c r="AD14" s="575">
        <v>22122</v>
      </c>
      <c r="AE14" s="576">
        <f t="shared" si="3"/>
        <v>13907</v>
      </c>
      <c r="AF14" s="576">
        <f t="shared" si="3"/>
        <v>216722</v>
      </c>
      <c r="AG14" s="577">
        <v>1225</v>
      </c>
      <c r="AH14" s="577">
        <v>17820</v>
      </c>
      <c r="AI14" s="577">
        <v>11811.6</v>
      </c>
      <c r="AJ14" s="577">
        <v>990</v>
      </c>
      <c r="AK14" s="577">
        <v>17260</v>
      </c>
      <c r="AL14" s="577">
        <v>10806.400000000001</v>
      </c>
      <c r="AM14" s="577">
        <v>1114</v>
      </c>
      <c r="AN14" s="577">
        <v>15796</v>
      </c>
      <c r="AO14" s="577">
        <v>10748.8</v>
      </c>
      <c r="AP14" s="577">
        <v>1350</v>
      </c>
      <c r="AQ14" s="577">
        <v>22700</v>
      </c>
      <c r="AR14" s="577">
        <v>14456</v>
      </c>
      <c r="AS14" s="577">
        <v>1386</v>
      </c>
      <c r="AT14" s="577">
        <v>20116</v>
      </c>
      <c r="AU14" s="577">
        <v>13031.199999999999</v>
      </c>
      <c r="AV14" s="577">
        <v>1339.5</v>
      </c>
      <c r="AW14" s="577">
        <v>20912</v>
      </c>
      <c r="AX14" s="577">
        <v>13580.6</v>
      </c>
      <c r="AY14" s="577">
        <v>820</v>
      </c>
      <c r="AZ14" s="577">
        <v>13060</v>
      </c>
      <c r="BA14" s="577">
        <v>8152</v>
      </c>
      <c r="BB14" s="577">
        <v>1395</v>
      </c>
      <c r="BC14" s="577">
        <v>20980</v>
      </c>
      <c r="BD14" s="577">
        <v>13345.6</v>
      </c>
      <c r="BE14" s="577">
        <v>1000</v>
      </c>
      <c r="BF14" s="578">
        <v>16300</v>
      </c>
      <c r="BG14" s="577">
        <v>10240</v>
      </c>
      <c r="BH14" s="577">
        <v>1000</v>
      </c>
      <c r="BI14" s="577">
        <v>14600</v>
      </c>
      <c r="BJ14" s="577">
        <v>10112</v>
      </c>
      <c r="BK14" s="577">
        <v>1360</v>
      </c>
      <c r="BL14" s="577">
        <v>21140</v>
      </c>
      <c r="BM14" s="577">
        <v>13356.8</v>
      </c>
      <c r="BN14" s="577">
        <v>1280</v>
      </c>
      <c r="BO14" s="577">
        <v>22220</v>
      </c>
      <c r="BP14" s="577">
        <v>13836.8</v>
      </c>
      <c r="BQ14" s="579">
        <f t="shared" si="4"/>
        <v>14259.5</v>
      </c>
      <c r="BR14" s="579">
        <f t="shared" si="4"/>
        <v>222904</v>
      </c>
      <c r="BS14" s="579">
        <f t="shared" si="4"/>
        <v>143477.80000000002</v>
      </c>
      <c r="BT14" s="579">
        <f t="shared" si="5"/>
        <v>1107.5</v>
      </c>
      <c r="BU14" s="579">
        <f t="shared" si="6"/>
        <v>17540</v>
      </c>
      <c r="BV14" s="579">
        <f t="shared" si="7"/>
        <v>11309</v>
      </c>
      <c r="BW14" s="579">
        <f t="shared" si="8"/>
        <v>1188.2916666666667</v>
      </c>
      <c r="BX14" s="579">
        <f t="shared" si="1"/>
        <v>18575.333333333332</v>
      </c>
      <c r="BY14" s="579">
        <f t="shared" si="1"/>
        <v>11956.483333333335</v>
      </c>
      <c r="BZ14" s="577">
        <v>1135</v>
      </c>
      <c r="CA14" s="572">
        <v>17790</v>
      </c>
      <c r="CB14" s="572">
        <v>11673.6</v>
      </c>
      <c r="CC14" s="287">
        <v>930</v>
      </c>
      <c r="CD14" s="287">
        <v>13120</v>
      </c>
      <c r="CE14" s="287">
        <v>8828.7999999999993</v>
      </c>
      <c r="CF14" s="572"/>
      <c r="CG14" s="572"/>
      <c r="CH14" s="572"/>
      <c r="CI14" s="572"/>
      <c r="CJ14" s="572"/>
      <c r="CK14" s="572"/>
      <c r="CL14" s="572"/>
      <c r="CM14" s="572"/>
      <c r="CN14" s="572"/>
      <c r="CO14" s="572"/>
      <c r="CP14" s="572"/>
      <c r="CQ14" s="572"/>
      <c r="CR14" s="572"/>
      <c r="CS14" s="572"/>
      <c r="CT14" s="572"/>
      <c r="CU14" s="572"/>
      <c r="CV14" s="572"/>
      <c r="CW14" s="572"/>
      <c r="CX14" s="572"/>
      <c r="CY14" s="572"/>
      <c r="CZ14" s="572"/>
      <c r="DA14" s="572"/>
      <c r="DB14" s="572"/>
      <c r="DC14" s="572"/>
      <c r="DD14" s="572"/>
      <c r="DE14" s="572"/>
      <c r="DF14" s="572"/>
      <c r="DG14" s="572"/>
      <c r="DH14" s="572"/>
      <c r="DI14" s="572"/>
      <c r="DJ14" s="580">
        <f t="shared" si="9"/>
        <v>2065</v>
      </c>
      <c r="DK14" s="580">
        <f t="shared" si="9"/>
        <v>30910</v>
      </c>
      <c r="DL14" s="580">
        <f t="shared" si="9"/>
        <v>20502.400000000001</v>
      </c>
      <c r="DM14" s="664">
        <f t="shared" si="10"/>
        <v>1032.5</v>
      </c>
      <c r="DN14" s="664">
        <f t="shared" si="11"/>
        <v>15455</v>
      </c>
      <c r="DO14" s="665">
        <f t="shared" si="12"/>
        <v>10251.200000000001</v>
      </c>
      <c r="DP14" s="582">
        <f t="shared" si="13"/>
        <v>-9.3536121673003692</v>
      </c>
      <c r="DQ14" s="817">
        <f t="shared" si="14"/>
        <v>-14.262415509577096</v>
      </c>
      <c r="DR14" s="820" t="s">
        <v>324</v>
      </c>
    </row>
    <row r="15" spans="1:122">
      <c r="A15" s="572">
        <v>12</v>
      </c>
      <c r="B15" s="572" t="s">
        <v>255</v>
      </c>
      <c r="C15" s="572" t="s">
        <v>256</v>
      </c>
      <c r="D15" s="572" t="s">
        <v>248</v>
      </c>
      <c r="E15" s="572" t="s">
        <v>104</v>
      </c>
      <c r="F15" s="584" t="s">
        <v>347</v>
      </c>
      <c r="G15" s="575">
        <v>700</v>
      </c>
      <c r="H15" s="575">
        <v>9800</v>
      </c>
      <c r="I15" s="575">
        <v>1130</v>
      </c>
      <c r="J15" s="575">
        <v>16120</v>
      </c>
      <c r="K15" s="575">
        <v>1150</v>
      </c>
      <c r="L15" s="575">
        <v>16100</v>
      </c>
      <c r="M15" s="575">
        <v>950</v>
      </c>
      <c r="N15" s="575">
        <v>13800</v>
      </c>
      <c r="O15" s="575">
        <v>1054</v>
      </c>
      <c r="P15" s="575">
        <v>15236</v>
      </c>
      <c r="Q15" s="575">
        <v>872</v>
      </c>
      <c r="R15" s="575">
        <v>12916</v>
      </c>
      <c r="S15" s="575">
        <v>1174</v>
      </c>
      <c r="T15" s="575">
        <v>17426</v>
      </c>
      <c r="U15" s="575">
        <v>1322</v>
      </c>
      <c r="V15" s="575">
        <v>19476</v>
      </c>
      <c r="W15" s="575">
        <v>1570</v>
      </c>
      <c r="X15" s="575">
        <v>23980</v>
      </c>
      <c r="Y15" s="575">
        <v>1355</v>
      </c>
      <c r="Z15" s="575">
        <v>20478</v>
      </c>
      <c r="AA15" s="575">
        <v>1225</v>
      </c>
      <c r="AB15" s="575">
        <v>18780</v>
      </c>
      <c r="AC15" s="575">
        <v>1237</v>
      </c>
      <c r="AD15" s="575">
        <v>18298</v>
      </c>
      <c r="AE15" s="576">
        <f t="shared" si="3"/>
        <v>13739</v>
      </c>
      <c r="AF15" s="576">
        <f t="shared" si="3"/>
        <v>202410</v>
      </c>
      <c r="AG15" s="577">
        <v>1100</v>
      </c>
      <c r="AH15" s="577">
        <v>15900</v>
      </c>
      <c r="AI15" s="577">
        <v>10128</v>
      </c>
      <c r="AJ15" s="577">
        <v>970</v>
      </c>
      <c r="AK15" s="577">
        <v>14180</v>
      </c>
      <c r="AL15" s="577">
        <v>9046.4</v>
      </c>
      <c r="AM15" s="577">
        <v>590</v>
      </c>
      <c r="AN15" s="577">
        <v>8660</v>
      </c>
      <c r="AO15" s="577">
        <v>5523.2</v>
      </c>
      <c r="AP15" s="577">
        <v>1060</v>
      </c>
      <c r="AQ15" s="577">
        <v>15940</v>
      </c>
      <c r="AR15" s="577">
        <v>10153.6</v>
      </c>
      <c r="AS15" s="577">
        <v>1110.5</v>
      </c>
      <c r="AT15" s="577">
        <v>16344</v>
      </c>
      <c r="AU15" s="577">
        <v>10408.200000000001</v>
      </c>
      <c r="AV15" s="577">
        <v>1792.5</v>
      </c>
      <c r="AW15" s="577">
        <v>25424</v>
      </c>
      <c r="AX15" s="577">
        <v>16149.800000000001</v>
      </c>
      <c r="AY15" s="577">
        <v>550</v>
      </c>
      <c r="AZ15" s="577">
        <v>7700</v>
      </c>
      <c r="BA15" s="577">
        <v>4928</v>
      </c>
      <c r="BB15" s="577">
        <v>1115</v>
      </c>
      <c r="BC15" s="577">
        <v>16020</v>
      </c>
      <c r="BD15" s="577">
        <v>10320</v>
      </c>
      <c r="BE15" s="577">
        <v>868</v>
      </c>
      <c r="BF15" s="578">
        <v>12612</v>
      </c>
      <c r="BG15" s="577">
        <v>8110.08</v>
      </c>
      <c r="BH15" s="577">
        <v>1200</v>
      </c>
      <c r="BI15" s="577">
        <v>17320</v>
      </c>
      <c r="BJ15" s="577">
        <v>11209.6</v>
      </c>
      <c r="BK15" s="577">
        <v>885</v>
      </c>
      <c r="BL15" s="577">
        <v>12480</v>
      </c>
      <c r="BM15" s="577">
        <v>8116.7999999999993</v>
      </c>
      <c r="BN15" s="577">
        <v>1500</v>
      </c>
      <c r="BO15" s="577">
        <v>21520</v>
      </c>
      <c r="BP15" s="577">
        <v>13897.6</v>
      </c>
      <c r="BQ15" s="579">
        <f t="shared" si="4"/>
        <v>12741</v>
      </c>
      <c r="BR15" s="579">
        <f t="shared" si="4"/>
        <v>184100</v>
      </c>
      <c r="BS15" s="579">
        <f t="shared" si="4"/>
        <v>117991.28000000003</v>
      </c>
      <c r="BT15" s="579">
        <f t="shared" si="5"/>
        <v>1035</v>
      </c>
      <c r="BU15" s="579">
        <f t="shared" si="6"/>
        <v>15040</v>
      </c>
      <c r="BV15" s="579">
        <f t="shared" si="7"/>
        <v>9587.2000000000007</v>
      </c>
      <c r="BW15" s="579">
        <f t="shared" si="8"/>
        <v>1061.75</v>
      </c>
      <c r="BX15" s="579">
        <f t="shared" si="1"/>
        <v>15341.666666666666</v>
      </c>
      <c r="BY15" s="579">
        <f t="shared" si="1"/>
        <v>9832.6066666666684</v>
      </c>
      <c r="BZ15" s="577">
        <v>790</v>
      </c>
      <c r="CA15" s="572">
        <v>12220</v>
      </c>
      <c r="CB15" s="572">
        <v>7811.2</v>
      </c>
      <c r="CC15" s="287">
        <v>1060</v>
      </c>
      <c r="CD15" s="287">
        <v>15460</v>
      </c>
      <c r="CE15" s="287">
        <v>10019.200000000001</v>
      </c>
      <c r="CF15" s="572"/>
      <c r="CG15" s="572"/>
      <c r="CH15" s="572"/>
      <c r="CI15" s="572"/>
      <c r="CJ15" s="572"/>
      <c r="CK15" s="572"/>
      <c r="CL15" s="572"/>
      <c r="CM15" s="572"/>
      <c r="CN15" s="572"/>
      <c r="CO15" s="572"/>
      <c r="CP15" s="572"/>
      <c r="CQ15" s="572"/>
      <c r="CR15" s="572"/>
      <c r="CS15" s="572"/>
      <c r="CT15" s="572"/>
      <c r="CU15" s="572"/>
      <c r="CV15" s="572"/>
      <c r="CW15" s="572"/>
      <c r="CX15" s="572"/>
      <c r="CY15" s="572"/>
      <c r="CZ15" s="572"/>
      <c r="DA15" s="572"/>
      <c r="DB15" s="572"/>
      <c r="DC15" s="572"/>
      <c r="DD15" s="572"/>
      <c r="DE15" s="572"/>
      <c r="DF15" s="572"/>
      <c r="DG15" s="572"/>
      <c r="DH15" s="572"/>
      <c r="DI15" s="572"/>
      <c r="DJ15" s="580">
        <f t="shared" si="9"/>
        <v>1850</v>
      </c>
      <c r="DK15" s="580">
        <f t="shared" si="9"/>
        <v>27680</v>
      </c>
      <c r="DL15" s="580">
        <f t="shared" si="9"/>
        <v>17830.400000000001</v>
      </c>
      <c r="DM15" s="664">
        <f t="shared" si="10"/>
        <v>925</v>
      </c>
      <c r="DN15" s="664">
        <f t="shared" si="11"/>
        <v>13840</v>
      </c>
      <c r="DO15" s="665">
        <f t="shared" si="12"/>
        <v>8915.2000000000007</v>
      </c>
      <c r="DP15" s="582">
        <f t="shared" si="13"/>
        <v>-7.0093457943925159</v>
      </c>
      <c r="DQ15" s="817">
        <f t="shared" si="14"/>
        <v>-9.3302488116071061</v>
      </c>
      <c r="DR15" s="820" t="s">
        <v>324</v>
      </c>
    </row>
    <row r="16" spans="1:122">
      <c r="A16" s="572">
        <v>13</v>
      </c>
      <c r="B16" s="572" t="s">
        <v>257</v>
      </c>
      <c r="C16" s="572" t="s">
        <v>258</v>
      </c>
      <c r="D16" s="572" t="s">
        <v>248</v>
      </c>
      <c r="E16" s="572" t="s">
        <v>104</v>
      </c>
      <c r="F16" s="584" t="s">
        <v>347</v>
      </c>
      <c r="G16" s="575">
        <v>675</v>
      </c>
      <c r="H16" s="575">
        <v>9450</v>
      </c>
      <c r="I16" s="575">
        <v>450</v>
      </c>
      <c r="J16" s="575">
        <v>6300</v>
      </c>
      <c r="K16" s="575">
        <v>650</v>
      </c>
      <c r="L16" s="575">
        <v>9100</v>
      </c>
      <c r="M16" s="575">
        <v>600</v>
      </c>
      <c r="N16" s="575">
        <v>8400</v>
      </c>
      <c r="O16" s="575">
        <v>752</v>
      </c>
      <c r="P16" s="575">
        <v>10536</v>
      </c>
      <c r="Q16" s="575">
        <v>955</v>
      </c>
      <c r="R16" s="575">
        <v>13420</v>
      </c>
      <c r="S16" s="575">
        <v>650</v>
      </c>
      <c r="T16" s="575">
        <v>9100</v>
      </c>
      <c r="U16" s="575">
        <v>602</v>
      </c>
      <c r="V16" s="575">
        <v>8436</v>
      </c>
      <c r="W16" s="575">
        <v>702</v>
      </c>
      <c r="X16" s="575">
        <v>9824</v>
      </c>
      <c r="Y16" s="575">
        <v>503</v>
      </c>
      <c r="Z16" s="575">
        <v>7068</v>
      </c>
      <c r="AA16" s="575">
        <v>983</v>
      </c>
      <c r="AB16" s="575">
        <v>13918</v>
      </c>
      <c r="AC16" s="575">
        <v>800</v>
      </c>
      <c r="AD16" s="575">
        <v>11200</v>
      </c>
      <c r="AE16" s="576">
        <f t="shared" si="3"/>
        <v>8322</v>
      </c>
      <c r="AF16" s="576">
        <f t="shared" si="3"/>
        <v>116752</v>
      </c>
      <c r="AG16" s="577">
        <v>1050</v>
      </c>
      <c r="AH16" s="577">
        <v>15200</v>
      </c>
      <c r="AI16" s="577">
        <v>9680</v>
      </c>
      <c r="AJ16" s="577">
        <v>1050</v>
      </c>
      <c r="AK16" s="577">
        <v>14700</v>
      </c>
      <c r="AL16" s="577">
        <v>9408</v>
      </c>
      <c r="AM16" s="577">
        <v>800</v>
      </c>
      <c r="AN16" s="577">
        <v>11200</v>
      </c>
      <c r="AO16" s="577">
        <v>7168</v>
      </c>
      <c r="AP16" s="577">
        <v>720</v>
      </c>
      <c r="AQ16" s="577">
        <v>10040</v>
      </c>
      <c r="AR16" s="577">
        <v>6512</v>
      </c>
      <c r="AS16" s="577">
        <v>782</v>
      </c>
      <c r="AT16" s="577">
        <v>10756</v>
      </c>
      <c r="AU16" s="577">
        <v>7309.6</v>
      </c>
      <c r="AV16" s="577">
        <v>606</v>
      </c>
      <c r="AW16" s="577">
        <v>8532</v>
      </c>
      <c r="AX16" s="577">
        <v>5426.4000000000005</v>
      </c>
      <c r="AY16" s="577">
        <v>1375</v>
      </c>
      <c r="AZ16" s="577">
        <v>19250</v>
      </c>
      <c r="BA16" s="577">
        <v>12320</v>
      </c>
      <c r="BB16" s="577">
        <v>880</v>
      </c>
      <c r="BC16" s="577">
        <v>12320</v>
      </c>
      <c r="BD16" s="577">
        <v>7884.8</v>
      </c>
      <c r="BE16" s="577">
        <v>1300</v>
      </c>
      <c r="BF16" s="578">
        <v>18200</v>
      </c>
      <c r="BG16" s="577">
        <v>11648</v>
      </c>
      <c r="BH16" s="577">
        <v>1025</v>
      </c>
      <c r="BI16" s="577">
        <v>14250</v>
      </c>
      <c r="BJ16" s="577">
        <v>9336</v>
      </c>
      <c r="BK16" s="577">
        <v>1400</v>
      </c>
      <c r="BL16" s="577">
        <v>19600</v>
      </c>
      <c r="BM16" s="577">
        <v>12544</v>
      </c>
      <c r="BN16" s="577">
        <v>800</v>
      </c>
      <c r="BO16" s="577">
        <v>11200</v>
      </c>
      <c r="BP16" s="577">
        <v>7168</v>
      </c>
      <c r="BQ16" s="579">
        <f t="shared" si="4"/>
        <v>11788</v>
      </c>
      <c r="BR16" s="579">
        <f t="shared" si="4"/>
        <v>165248</v>
      </c>
      <c r="BS16" s="579">
        <f t="shared" si="4"/>
        <v>106404.8</v>
      </c>
      <c r="BT16" s="579">
        <f t="shared" si="5"/>
        <v>1050</v>
      </c>
      <c r="BU16" s="579">
        <f t="shared" si="6"/>
        <v>14950</v>
      </c>
      <c r="BV16" s="579">
        <f t="shared" si="7"/>
        <v>9544</v>
      </c>
      <c r="BW16" s="579">
        <f t="shared" si="8"/>
        <v>982.33333333333337</v>
      </c>
      <c r="BX16" s="579">
        <f t="shared" si="1"/>
        <v>13770.666666666666</v>
      </c>
      <c r="BY16" s="579">
        <f t="shared" si="1"/>
        <v>8867.0666666666675</v>
      </c>
      <c r="BZ16" s="577">
        <v>1550</v>
      </c>
      <c r="CA16" s="572">
        <v>21700</v>
      </c>
      <c r="CB16" s="572">
        <v>13888</v>
      </c>
      <c r="CC16" s="287">
        <v>700</v>
      </c>
      <c r="CD16" s="287">
        <v>9750</v>
      </c>
      <c r="CE16" s="287">
        <v>6348</v>
      </c>
      <c r="CF16" s="572"/>
      <c r="CG16" s="572"/>
      <c r="CH16" s="572"/>
      <c r="CI16" s="572"/>
      <c r="CJ16" s="572"/>
      <c r="CK16" s="572"/>
      <c r="CL16" s="572"/>
      <c r="CM16" s="572"/>
      <c r="CN16" s="572"/>
      <c r="CO16" s="572"/>
      <c r="CP16" s="572"/>
      <c r="CQ16" s="572"/>
      <c r="CR16" s="572"/>
      <c r="CS16" s="572"/>
      <c r="CT16" s="572"/>
      <c r="CU16" s="572"/>
      <c r="CV16" s="572"/>
      <c r="CW16" s="572"/>
      <c r="CX16" s="572"/>
      <c r="CY16" s="572"/>
      <c r="CZ16" s="572"/>
      <c r="DA16" s="572"/>
      <c r="DB16" s="572"/>
      <c r="DC16" s="572"/>
      <c r="DD16" s="572"/>
      <c r="DE16" s="572"/>
      <c r="DF16" s="572"/>
      <c r="DG16" s="572"/>
      <c r="DH16" s="572"/>
      <c r="DI16" s="572"/>
      <c r="DJ16" s="580">
        <f t="shared" si="9"/>
        <v>2250</v>
      </c>
      <c r="DK16" s="580">
        <f t="shared" si="9"/>
        <v>31450</v>
      </c>
      <c r="DL16" s="580">
        <f t="shared" si="9"/>
        <v>20236</v>
      </c>
      <c r="DM16" s="664">
        <f t="shared" si="10"/>
        <v>1125</v>
      </c>
      <c r="DN16" s="664">
        <f t="shared" si="11"/>
        <v>15725</v>
      </c>
      <c r="DO16" s="665">
        <f t="shared" si="12"/>
        <v>10118</v>
      </c>
      <c r="DP16" s="583">
        <f t="shared" si="13"/>
        <v>6.0142497904442536</v>
      </c>
      <c r="DQ16" s="817">
        <f t="shared" si="14"/>
        <v>14.10763424206425</v>
      </c>
    </row>
    <row r="17" spans="1:122">
      <c r="A17" s="572">
        <v>14</v>
      </c>
      <c r="B17" s="572" t="s">
        <v>259</v>
      </c>
      <c r="C17" s="572" t="s">
        <v>260</v>
      </c>
      <c r="D17" s="572" t="s">
        <v>261</v>
      </c>
      <c r="E17" s="572" t="s">
        <v>262</v>
      </c>
      <c r="F17" s="584" t="s">
        <v>347</v>
      </c>
      <c r="G17" s="575">
        <v>700</v>
      </c>
      <c r="H17" s="575">
        <v>9800</v>
      </c>
      <c r="I17" s="575">
        <v>900</v>
      </c>
      <c r="J17" s="575">
        <v>12600</v>
      </c>
      <c r="K17" s="575">
        <v>600</v>
      </c>
      <c r="L17" s="575">
        <v>8400</v>
      </c>
      <c r="M17" s="575">
        <v>800</v>
      </c>
      <c r="N17" s="575">
        <v>11200</v>
      </c>
      <c r="O17" s="575">
        <v>850</v>
      </c>
      <c r="P17" s="575">
        <v>11900</v>
      </c>
      <c r="Q17" s="575">
        <v>750</v>
      </c>
      <c r="R17" s="575">
        <v>11000</v>
      </c>
      <c r="S17" s="575">
        <v>850</v>
      </c>
      <c r="T17" s="575">
        <v>12650</v>
      </c>
      <c r="U17" s="575">
        <v>800</v>
      </c>
      <c r="V17" s="575">
        <v>11450</v>
      </c>
      <c r="W17" s="575">
        <v>945</v>
      </c>
      <c r="X17" s="575">
        <v>13190</v>
      </c>
      <c r="Y17" s="575">
        <v>1248</v>
      </c>
      <c r="Z17" s="575">
        <v>18392</v>
      </c>
      <c r="AA17" s="575">
        <v>900</v>
      </c>
      <c r="AB17" s="575">
        <v>13100</v>
      </c>
      <c r="AC17" s="575">
        <v>1400</v>
      </c>
      <c r="AD17" s="575">
        <v>20000</v>
      </c>
      <c r="AE17" s="576">
        <f t="shared" si="3"/>
        <v>10743</v>
      </c>
      <c r="AF17" s="576">
        <f t="shared" si="3"/>
        <v>153682</v>
      </c>
      <c r="AG17" s="577">
        <v>1460</v>
      </c>
      <c r="AH17" s="577">
        <v>20980</v>
      </c>
      <c r="AI17" s="577">
        <v>13960</v>
      </c>
      <c r="AJ17" s="577">
        <v>1320</v>
      </c>
      <c r="AK17" s="577">
        <v>18740</v>
      </c>
      <c r="AL17" s="577">
        <v>12512</v>
      </c>
      <c r="AM17" s="577">
        <v>950</v>
      </c>
      <c r="AN17" s="577">
        <v>13300</v>
      </c>
      <c r="AO17" s="577">
        <v>8512</v>
      </c>
      <c r="AP17" s="577">
        <v>900</v>
      </c>
      <c r="AQ17" s="577">
        <v>12900</v>
      </c>
      <c r="AR17" s="577">
        <v>8256</v>
      </c>
      <c r="AS17" s="577">
        <v>980</v>
      </c>
      <c r="AT17" s="577">
        <v>14170</v>
      </c>
      <c r="AU17" s="577">
        <v>9157.6</v>
      </c>
      <c r="AV17" s="577">
        <v>1110</v>
      </c>
      <c r="AW17" s="577">
        <v>16140</v>
      </c>
      <c r="AX17" s="577">
        <v>10329.6</v>
      </c>
      <c r="AY17" s="577">
        <v>450</v>
      </c>
      <c r="AZ17" s="577">
        <v>6300</v>
      </c>
      <c r="BA17" s="577">
        <v>4032</v>
      </c>
      <c r="BB17" s="577">
        <v>1170</v>
      </c>
      <c r="BC17" s="577">
        <v>16340</v>
      </c>
      <c r="BD17" s="577">
        <v>10544</v>
      </c>
      <c r="BE17" s="577">
        <v>290</v>
      </c>
      <c r="BF17" s="578">
        <v>4240</v>
      </c>
      <c r="BG17" s="577">
        <v>2972.8</v>
      </c>
      <c r="BH17" s="577">
        <v>1277</v>
      </c>
      <c r="BI17" s="577">
        <v>17338</v>
      </c>
      <c r="BJ17" s="577">
        <v>12910.720000000001</v>
      </c>
      <c r="BK17" s="577">
        <v>980</v>
      </c>
      <c r="BL17" s="577">
        <v>13960</v>
      </c>
      <c r="BM17" s="577">
        <v>9064</v>
      </c>
      <c r="BN17" s="577">
        <v>2480</v>
      </c>
      <c r="BO17" s="577">
        <v>34960</v>
      </c>
      <c r="BP17" s="577">
        <v>22916.799999999999</v>
      </c>
      <c r="BQ17" s="579">
        <f t="shared" si="4"/>
        <v>13367</v>
      </c>
      <c r="BR17" s="579">
        <f t="shared" si="4"/>
        <v>189368</v>
      </c>
      <c r="BS17" s="579">
        <f t="shared" si="4"/>
        <v>125167.52</v>
      </c>
      <c r="BT17" s="579">
        <f t="shared" si="5"/>
        <v>1390</v>
      </c>
      <c r="BU17" s="579">
        <f t="shared" si="6"/>
        <v>19860</v>
      </c>
      <c r="BV17" s="579">
        <f t="shared" si="7"/>
        <v>13236</v>
      </c>
      <c r="BW17" s="579">
        <f t="shared" si="8"/>
        <v>1113.9166666666667</v>
      </c>
      <c r="BX17" s="579">
        <f t="shared" si="1"/>
        <v>15780.666666666666</v>
      </c>
      <c r="BY17" s="579">
        <f t="shared" si="1"/>
        <v>10430.626666666667</v>
      </c>
      <c r="BZ17" s="577">
        <v>100</v>
      </c>
      <c r="CA17" s="572">
        <v>1200</v>
      </c>
      <c r="CB17" s="572">
        <v>1200</v>
      </c>
      <c r="CC17" s="287">
        <v>450</v>
      </c>
      <c r="CD17" s="287">
        <v>5900</v>
      </c>
      <c r="CE17" s="287">
        <v>4640</v>
      </c>
      <c r="CF17" s="572"/>
      <c r="CG17" s="572"/>
      <c r="CH17" s="572"/>
      <c r="CI17" s="572"/>
      <c r="CJ17" s="572"/>
      <c r="CK17" s="572"/>
      <c r="CL17" s="572"/>
      <c r="CM17" s="572"/>
      <c r="CN17" s="572"/>
      <c r="CO17" s="572"/>
      <c r="CP17" s="572"/>
      <c r="CQ17" s="572"/>
      <c r="CR17" s="572"/>
      <c r="CS17" s="572"/>
      <c r="CT17" s="572"/>
      <c r="CU17" s="572"/>
      <c r="CV17" s="572"/>
      <c r="CW17" s="572"/>
      <c r="CX17" s="572"/>
      <c r="CY17" s="572"/>
      <c r="CZ17" s="572"/>
      <c r="DA17" s="572"/>
      <c r="DB17" s="572"/>
      <c r="DC17" s="572"/>
      <c r="DD17" s="572"/>
      <c r="DE17" s="572"/>
      <c r="DF17" s="572"/>
      <c r="DG17" s="572"/>
      <c r="DH17" s="572"/>
      <c r="DI17" s="572"/>
      <c r="DJ17" s="580">
        <f t="shared" si="9"/>
        <v>550</v>
      </c>
      <c r="DK17" s="580">
        <f t="shared" si="9"/>
        <v>7100</v>
      </c>
      <c r="DL17" s="580">
        <f t="shared" si="9"/>
        <v>5840</v>
      </c>
      <c r="DM17" s="664">
        <f t="shared" si="10"/>
        <v>275</v>
      </c>
      <c r="DN17" s="664">
        <f t="shared" si="11"/>
        <v>3550</v>
      </c>
      <c r="DO17" s="665">
        <f t="shared" si="12"/>
        <v>2920</v>
      </c>
      <c r="DP17" s="582">
        <f t="shared" si="13"/>
        <v>-77.938954366878207</v>
      </c>
      <c r="DQ17" s="817">
        <f t="shared" si="14"/>
        <v>-72.00551708622173</v>
      </c>
      <c r="DR17" s="820" t="s">
        <v>324</v>
      </c>
    </row>
    <row r="18" spans="1:122">
      <c r="A18" s="572">
        <v>15</v>
      </c>
      <c r="B18" s="572" t="s">
        <v>348</v>
      </c>
      <c r="C18" s="572" t="s">
        <v>349</v>
      </c>
      <c r="D18" s="572" t="s">
        <v>241</v>
      </c>
      <c r="E18" s="572" t="s">
        <v>151</v>
      </c>
      <c r="F18" s="584" t="s">
        <v>347</v>
      </c>
      <c r="G18" s="572"/>
      <c r="H18" s="572"/>
      <c r="I18" s="572"/>
      <c r="J18" s="572"/>
      <c r="K18" s="572"/>
      <c r="L18" s="572"/>
      <c r="M18" s="572"/>
      <c r="N18" s="572"/>
      <c r="O18" s="572"/>
      <c r="P18" s="572"/>
      <c r="Q18" s="572"/>
      <c r="R18" s="572"/>
      <c r="S18" s="572"/>
      <c r="T18" s="572"/>
      <c r="U18" s="572"/>
      <c r="V18" s="572"/>
      <c r="W18" s="572"/>
      <c r="X18" s="572"/>
      <c r="Y18" s="572"/>
      <c r="Z18" s="572"/>
      <c r="AA18" s="572"/>
      <c r="AB18" s="572"/>
      <c r="AC18" s="572"/>
      <c r="AD18" s="572"/>
      <c r="AE18" s="576">
        <f t="shared" si="3"/>
        <v>0</v>
      </c>
      <c r="AF18" s="576">
        <f t="shared" si="3"/>
        <v>0</v>
      </c>
      <c r="AG18" s="572"/>
      <c r="AH18" s="572"/>
      <c r="AI18" s="572"/>
      <c r="AJ18" s="572"/>
      <c r="AK18" s="572"/>
      <c r="AL18" s="572"/>
      <c r="AM18" s="572"/>
      <c r="AN18" s="572"/>
      <c r="AO18" s="572"/>
      <c r="AP18" s="572"/>
      <c r="AQ18" s="572"/>
      <c r="AR18" s="572"/>
      <c r="AS18" s="572"/>
      <c r="AT18" s="572"/>
      <c r="AU18" s="572"/>
      <c r="AV18" s="572"/>
      <c r="AW18" s="572"/>
      <c r="AX18" s="572"/>
      <c r="AY18" s="572"/>
      <c r="AZ18" s="572"/>
      <c r="BA18" s="572"/>
      <c r="BB18" s="572"/>
      <c r="BC18" s="572"/>
      <c r="BD18" s="572"/>
      <c r="BE18" s="572"/>
      <c r="BF18" s="572"/>
      <c r="BG18" s="572"/>
      <c r="BH18" s="572"/>
      <c r="BI18" s="572"/>
      <c r="BJ18" s="572"/>
      <c r="BK18" s="572"/>
      <c r="BL18" s="572"/>
      <c r="BM18" s="572"/>
      <c r="BN18" s="572"/>
      <c r="BO18" s="572"/>
      <c r="BP18" s="572"/>
      <c r="BQ18" s="579">
        <f t="shared" si="4"/>
        <v>0</v>
      </c>
      <c r="BR18" s="579">
        <f t="shared" si="4"/>
        <v>0</v>
      </c>
      <c r="BS18" s="579">
        <f t="shared" si="4"/>
        <v>0</v>
      </c>
      <c r="BT18" s="579">
        <f t="shared" si="5"/>
        <v>0</v>
      </c>
      <c r="BU18" s="579">
        <f t="shared" si="6"/>
        <v>0</v>
      </c>
      <c r="BV18" s="579">
        <f t="shared" si="7"/>
        <v>0</v>
      </c>
      <c r="BW18" s="579">
        <f t="shared" si="8"/>
        <v>0</v>
      </c>
      <c r="BX18" s="579">
        <f t="shared" si="1"/>
        <v>0</v>
      </c>
      <c r="BY18" s="579">
        <f t="shared" si="1"/>
        <v>0</v>
      </c>
      <c r="BZ18" s="572">
        <v>312</v>
      </c>
      <c r="CA18" s="572">
        <v>4248</v>
      </c>
      <c r="CB18" s="572">
        <v>3131.52</v>
      </c>
      <c r="CC18" s="287">
        <v>350</v>
      </c>
      <c r="CD18" s="287">
        <v>5000</v>
      </c>
      <c r="CE18" s="287">
        <v>3603.2</v>
      </c>
      <c r="CF18" s="572"/>
      <c r="CG18" s="572"/>
      <c r="CH18" s="572"/>
      <c r="CI18" s="572"/>
      <c r="CJ18" s="572"/>
      <c r="CK18" s="572"/>
      <c r="CL18" s="572"/>
      <c r="CM18" s="572"/>
      <c r="CN18" s="572"/>
      <c r="CO18" s="572"/>
      <c r="CP18" s="572"/>
      <c r="CQ18" s="572"/>
      <c r="CR18" s="572"/>
      <c r="CS18" s="572"/>
      <c r="CT18" s="572"/>
      <c r="CU18" s="572"/>
      <c r="CV18" s="572"/>
      <c r="CW18" s="572"/>
      <c r="CX18" s="572"/>
      <c r="CY18" s="572"/>
      <c r="CZ18" s="572"/>
      <c r="DA18" s="572"/>
      <c r="DB18" s="572"/>
      <c r="DC18" s="572"/>
      <c r="DD18" s="572"/>
      <c r="DE18" s="572"/>
      <c r="DF18" s="572"/>
      <c r="DG18" s="572"/>
      <c r="DH18" s="572"/>
      <c r="DI18" s="572"/>
      <c r="DJ18" s="580">
        <f t="shared" si="9"/>
        <v>662</v>
      </c>
      <c r="DK18" s="580">
        <f t="shared" si="9"/>
        <v>9248</v>
      </c>
      <c r="DL18" s="580">
        <f t="shared" si="9"/>
        <v>6734.7199999999993</v>
      </c>
      <c r="DM18" s="664">
        <f t="shared" si="10"/>
        <v>331</v>
      </c>
      <c r="DN18" s="664">
        <f t="shared" si="11"/>
        <v>4624</v>
      </c>
      <c r="DO18" s="665">
        <f t="shared" si="12"/>
        <v>3367.3599999999997</v>
      </c>
      <c r="DP18" s="583"/>
      <c r="DQ18" s="817"/>
    </row>
    <row r="19" spans="1:122">
      <c r="A19" s="572">
        <v>16</v>
      </c>
      <c r="B19" s="572" t="s">
        <v>275</v>
      </c>
      <c r="C19" s="572" t="s">
        <v>276</v>
      </c>
      <c r="D19" s="572" t="s">
        <v>265</v>
      </c>
      <c r="E19" s="572" t="s">
        <v>108</v>
      </c>
      <c r="F19" s="584" t="s">
        <v>347</v>
      </c>
      <c r="G19" s="575">
        <v>500</v>
      </c>
      <c r="H19" s="575">
        <v>7000</v>
      </c>
      <c r="I19" s="575"/>
      <c r="J19" s="575"/>
      <c r="K19" s="575">
        <v>300</v>
      </c>
      <c r="L19" s="575">
        <v>4200</v>
      </c>
      <c r="M19" s="575">
        <v>400</v>
      </c>
      <c r="N19" s="575">
        <v>5600</v>
      </c>
      <c r="O19" s="575"/>
      <c r="P19" s="575"/>
      <c r="Q19" s="575">
        <v>400</v>
      </c>
      <c r="R19" s="575">
        <v>5600</v>
      </c>
      <c r="S19" s="575">
        <v>400</v>
      </c>
      <c r="T19" s="575">
        <v>5600</v>
      </c>
      <c r="U19" s="575">
        <v>300</v>
      </c>
      <c r="V19" s="575">
        <v>4200</v>
      </c>
      <c r="W19" s="575">
        <v>100</v>
      </c>
      <c r="X19" s="575">
        <v>1400</v>
      </c>
      <c r="Y19" s="575">
        <v>317</v>
      </c>
      <c r="Z19" s="575">
        <v>4438</v>
      </c>
      <c r="AA19" s="575">
        <v>650</v>
      </c>
      <c r="AB19" s="575">
        <v>9100</v>
      </c>
      <c r="AC19" s="575">
        <v>200</v>
      </c>
      <c r="AD19" s="575">
        <v>2800</v>
      </c>
      <c r="AE19" s="576">
        <f t="shared" si="3"/>
        <v>3567</v>
      </c>
      <c r="AF19" s="576">
        <f t="shared" si="3"/>
        <v>49938</v>
      </c>
      <c r="AG19" s="577"/>
      <c r="AH19" s="577"/>
      <c r="AI19" s="577"/>
      <c r="AJ19" s="577"/>
      <c r="AK19" s="577"/>
      <c r="AL19" s="577"/>
      <c r="AM19" s="577">
        <v>1060</v>
      </c>
      <c r="AN19" s="577">
        <v>14320</v>
      </c>
      <c r="AO19" s="577">
        <v>10288</v>
      </c>
      <c r="AP19" s="577">
        <v>500</v>
      </c>
      <c r="AQ19" s="577">
        <v>6400</v>
      </c>
      <c r="AR19" s="577">
        <v>5392</v>
      </c>
      <c r="AS19" s="577">
        <v>469</v>
      </c>
      <c r="AT19" s="577">
        <v>6368</v>
      </c>
      <c r="AU19" s="577">
        <v>4503.2</v>
      </c>
      <c r="AV19" s="577">
        <v>450</v>
      </c>
      <c r="AW19" s="577">
        <v>5900</v>
      </c>
      <c r="AX19" s="577">
        <v>3680</v>
      </c>
      <c r="AY19" s="577">
        <v>750</v>
      </c>
      <c r="AZ19" s="577">
        <v>9900</v>
      </c>
      <c r="BA19" s="577">
        <v>7632</v>
      </c>
      <c r="BB19" s="577">
        <v>550</v>
      </c>
      <c r="BC19" s="577">
        <v>7760</v>
      </c>
      <c r="BD19" s="577">
        <v>5388.8</v>
      </c>
      <c r="BE19" s="577">
        <v>1300</v>
      </c>
      <c r="BF19" s="578">
        <v>15800</v>
      </c>
      <c r="BG19" s="577">
        <v>15296</v>
      </c>
      <c r="BH19" s="577">
        <v>300</v>
      </c>
      <c r="BI19" s="577">
        <v>3800</v>
      </c>
      <c r="BJ19" s="577">
        <v>3296</v>
      </c>
      <c r="BK19" s="577">
        <v>1430</v>
      </c>
      <c r="BL19" s="577">
        <v>17960</v>
      </c>
      <c r="BM19" s="577">
        <v>15944</v>
      </c>
      <c r="BN19" s="577">
        <v>600</v>
      </c>
      <c r="BO19" s="577">
        <v>8000</v>
      </c>
      <c r="BP19" s="577">
        <v>5984</v>
      </c>
      <c r="BQ19" s="579">
        <f t="shared" si="4"/>
        <v>7409</v>
      </c>
      <c r="BR19" s="579">
        <f t="shared" si="4"/>
        <v>96208</v>
      </c>
      <c r="BS19" s="579">
        <f t="shared" si="4"/>
        <v>77404</v>
      </c>
      <c r="BT19" s="579">
        <f t="shared" si="5"/>
        <v>0</v>
      </c>
      <c r="BU19" s="579">
        <f t="shared" si="6"/>
        <v>0</v>
      </c>
      <c r="BV19" s="579">
        <f t="shared" si="7"/>
        <v>0</v>
      </c>
      <c r="BW19" s="579">
        <f t="shared" si="8"/>
        <v>617.41666666666663</v>
      </c>
      <c r="BX19" s="579">
        <f t="shared" si="1"/>
        <v>8017.333333333333</v>
      </c>
      <c r="BY19" s="579">
        <f t="shared" si="1"/>
        <v>6450.333333333333</v>
      </c>
      <c r="BZ19" s="577">
        <v>250</v>
      </c>
      <c r="CA19" s="572">
        <v>3400</v>
      </c>
      <c r="CB19" s="572">
        <v>2392</v>
      </c>
      <c r="CC19" s="287">
        <v>0</v>
      </c>
      <c r="CD19" s="287">
        <v>0</v>
      </c>
      <c r="CE19" s="287">
        <v>0</v>
      </c>
      <c r="CF19" s="572"/>
      <c r="CG19" s="572"/>
      <c r="CH19" s="572"/>
      <c r="CI19" s="572"/>
      <c r="CJ19" s="572"/>
      <c r="CK19" s="572"/>
      <c r="CL19" s="572"/>
      <c r="CM19" s="572"/>
      <c r="CN19" s="572"/>
      <c r="CO19" s="572"/>
      <c r="CP19" s="572"/>
      <c r="CQ19" s="572"/>
      <c r="CR19" s="572"/>
      <c r="CS19" s="572"/>
      <c r="CT19" s="572"/>
      <c r="CU19" s="572"/>
      <c r="CV19" s="572"/>
      <c r="CW19" s="572"/>
      <c r="CX19" s="572"/>
      <c r="CY19" s="572"/>
      <c r="CZ19" s="572"/>
      <c r="DA19" s="572"/>
      <c r="DB19" s="572"/>
      <c r="DC19" s="572"/>
      <c r="DD19" s="572"/>
      <c r="DE19" s="572"/>
      <c r="DF19" s="572"/>
      <c r="DG19" s="572"/>
      <c r="DH19" s="572"/>
      <c r="DI19" s="572"/>
      <c r="DJ19" s="580">
        <f t="shared" si="9"/>
        <v>250</v>
      </c>
      <c r="DK19" s="580">
        <f t="shared" si="9"/>
        <v>3400</v>
      </c>
      <c r="DL19" s="580">
        <f t="shared" si="9"/>
        <v>2392</v>
      </c>
      <c r="DM19" s="664">
        <f t="shared" si="10"/>
        <v>125</v>
      </c>
      <c r="DN19" s="664">
        <f t="shared" si="11"/>
        <v>1700</v>
      </c>
      <c r="DO19" s="665">
        <f t="shared" si="12"/>
        <v>1196</v>
      </c>
      <c r="DP19" s="583"/>
      <c r="DQ19" s="817">
        <f t="shared" si="14"/>
        <v>-81.458322567309182</v>
      </c>
      <c r="DR19" s="820" t="s">
        <v>324</v>
      </c>
    </row>
    <row r="20" spans="1:122">
      <c r="A20" s="572">
        <v>17</v>
      </c>
      <c r="B20" s="572" t="s">
        <v>219</v>
      </c>
      <c r="C20" s="572" t="s">
        <v>219</v>
      </c>
      <c r="D20" s="572" t="s">
        <v>216</v>
      </c>
      <c r="E20" s="572" t="s">
        <v>217</v>
      </c>
      <c r="F20" s="572" t="s">
        <v>346</v>
      </c>
      <c r="G20" s="575">
        <v>1984</v>
      </c>
      <c r="H20" s="575">
        <v>33356</v>
      </c>
      <c r="I20" s="575">
        <v>699</v>
      </c>
      <c r="J20" s="575">
        <v>13206</v>
      </c>
      <c r="K20" s="575">
        <v>1415</v>
      </c>
      <c r="L20" s="575">
        <v>23520</v>
      </c>
      <c r="M20" s="575">
        <v>930</v>
      </c>
      <c r="N20" s="575">
        <v>15920</v>
      </c>
      <c r="O20" s="575">
        <v>2040</v>
      </c>
      <c r="P20" s="575">
        <v>35040</v>
      </c>
      <c r="Q20" s="575">
        <v>665</v>
      </c>
      <c r="R20" s="575">
        <v>9660</v>
      </c>
      <c r="S20" s="575">
        <v>1290</v>
      </c>
      <c r="T20" s="575">
        <v>22820</v>
      </c>
      <c r="U20" s="575">
        <v>923</v>
      </c>
      <c r="V20" s="575">
        <v>14922</v>
      </c>
      <c r="W20" s="575">
        <v>865</v>
      </c>
      <c r="X20" s="575">
        <v>15610</v>
      </c>
      <c r="Y20" s="575">
        <v>1517</v>
      </c>
      <c r="Z20" s="575">
        <v>24138</v>
      </c>
      <c r="AA20" s="575">
        <v>1180</v>
      </c>
      <c r="AB20" s="575">
        <v>22420</v>
      </c>
      <c r="AC20" s="575">
        <v>1993</v>
      </c>
      <c r="AD20" s="575">
        <v>31182</v>
      </c>
      <c r="AE20" s="576">
        <f t="shared" si="3"/>
        <v>15501</v>
      </c>
      <c r="AF20" s="576">
        <f t="shared" si="3"/>
        <v>261794</v>
      </c>
      <c r="AG20" s="577">
        <v>1030</v>
      </c>
      <c r="AH20" s="577">
        <v>16720</v>
      </c>
      <c r="AI20" s="577">
        <v>10700.8</v>
      </c>
      <c r="AJ20" s="577">
        <v>1110</v>
      </c>
      <c r="AK20" s="577">
        <v>18230</v>
      </c>
      <c r="AL20" s="577">
        <v>11670.800000000001</v>
      </c>
      <c r="AM20" s="577">
        <v>2180</v>
      </c>
      <c r="AN20" s="577">
        <v>37340</v>
      </c>
      <c r="AO20" s="577">
        <v>23962.400000000001</v>
      </c>
      <c r="AP20" s="577">
        <v>485</v>
      </c>
      <c r="AQ20" s="577">
        <v>6840</v>
      </c>
      <c r="AR20" s="577">
        <v>4377.6000000000004</v>
      </c>
      <c r="AS20" s="577">
        <v>973</v>
      </c>
      <c r="AT20" s="577">
        <v>14622</v>
      </c>
      <c r="AU20" s="577">
        <v>9358.08</v>
      </c>
      <c r="AV20" s="577">
        <v>1035</v>
      </c>
      <c r="AW20" s="577">
        <v>14960</v>
      </c>
      <c r="AX20" s="577">
        <v>9771.2000000000007</v>
      </c>
      <c r="AY20" s="577">
        <v>1785</v>
      </c>
      <c r="AZ20" s="577">
        <v>29580</v>
      </c>
      <c r="BA20" s="577">
        <v>18916.8</v>
      </c>
      <c r="BB20" s="577">
        <v>790</v>
      </c>
      <c r="BC20" s="577">
        <v>15260</v>
      </c>
      <c r="BD20" s="577">
        <v>9766.4</v>
      </c>
      <c r="BE20" s="577">
        <v>2170</v>
      </c>
      <c r="BF20" s="578">
        <v>38140</v>
      </c>
      <c r="BG20" s="577">
        <v>24496</v>
      </c>
      <c r="BH20" s="577">
        <v>1920</v>
      </c>
      <c r="BI20" s="577">
        <v>33880</v>
      </c>
      <c r="BJ20" s="577">
        <v>21683.199999999997</v>
      </c>
      <c r="BK20" s="577">
        <v>1990</v>
      </c>
      <c r="BL20" s="577">
        <v>35660</v>
      </c>
      <c r="BM20" s="577">
        <v>22822.400000000001</v>
      </c>
      <c r="BN20" s="577">
        <v>2130</v>
      </c>
      <c r="BO20" s="577">
        <v>37840</v>
      </c>
      <c r="BP20" s="577">
        <v>24390.399999999998</v>
      </c>
      <c r="BQ20" s="579">
        <f t="shared" si="4"/>
        <v>17598</v>
      </c>
      <c r="BR20" s="579">
        <f t="shared" si="4"/>
        <v>299072</v>
      </c>
      <c r="BS20" s="579">
        <f t="shared" si="4"/>
        <v>191916.08</v>
      </c>
      <c r="BT20" s="579">
        <f t="shared" si="5"/>
        <v>1070</v>
      </c>
      <c r="BU20" s="579">
        <f t="shared" si="6"/>
        <v>17475</v>
      </c>
      <c r="BV20" s="579">
        <f t="shared" si="7"/>
        <v>11185.8</v>
      </c>
      <c r="BW20" s="579">
        <f t="shared" si="8"/>
        <v>1466.5</v>
      </c>
      <c r="BX20" s="579">
        <f t="shared" si="8"/>
        <v>24922.666666666668</v>
      </c>
      <c r="BY20" s="579">
        <f t="shared" si="8"/>
        <v>15993.006666666666</v>
      </c>
      <c r="BZ20" s="577">
        <v>2180</v>
      </c>
      <c r="CA20" s="572">
        <v>39280</v>
      </c>
      <c r="CB20" s="572">
        <v>25225.599999999999</v>
      </c>
      <c r="CC20" s="287">
        <v>2010</v>
      </c>
      <c r="CD20" s="287">
        <v>34040</v>
      </c>
      <c r="CE20" s="287">
        <v>22217.599999999999</v>
      </c>
      <c r="CF20" s="572"/>
      <c r="CG20" s="572"/>
      <c r="CH20" s="572"/>
      <c r="CI20" s="572"/>
      <c r="CJ20" s="572"/>
      <c r="CK20" s="572"/>
      <c r="CL20" s="572"/>
      <c r="CM20" s="572"/>
      <c r="CN20" s="572"/>
      <c r="CO20" s="572"/>
      <c r="CP20" s="572"/>
      <c r="CQ20" s="572"/>
      <c r="CR20" s="572"/>
      <c r="CS20" s="572"/>
      <c r="CT20" s="572"/>
      <c r="CU20" s="572"/>
      <c r="CV20" s="572"/>
      <c r="CW20" s="572"/>
      <c r="CX20" s="572"/>
      <c r="CY20" s="572"/>
      <c r="CZ20" s="572"/>
      <c r="DA20" s="572"/>
      <c r="DB20" s="572"/>
      <c r="DC20" s="572"/>
      <c r="DD20" s="572"/>
      <c r="DE20" s="572"/>
      <c r="DF20" s="572"/>
      <c r="DG20" s="572"/>
      <c r="DH20" s="572"/>
      <c r="DI20" s="572"/>
      <c r="DJ20" s="580">
        <f t="shared" si="9"/>
        <v>4190</v>
      </c>
      <c r="DK20" s="580">
        <f t="shared" si="9"/>
        <v>73320</v>
      </c>
      <c r="DL20" s="580">
        <f t="shared" si="9"/>
        <v>47443.199999999997</v>
      </c>
      <c r="DM20" s="664">
        <f t="shared" si="10"/>
        <v>2095</v>
      </c>
      <c r="DN20" s="664">
        <f t="shared" si="11"/>
        <v>36660</v>
      </c>
      <c r="DO20" s="665">
        <f t="shared" si="12"/>
        <v>23721.599999999999</v>
      </c>
      <c r="DP20" s="583">
        <f t="shared" si="13"/>
        <v>112.06887303545568</v>
      </c>
      <c r="DQ20" s="817">
        <f t="shared" si="14"/>
        <v>48.324830311248547</v>
      </c>
    </row>
    <row r="21" spans="1:122">
      <c r="A21" s="572">
        <v>18</v>
      </c>
      <c r="B21" s="572" t="s">
        <v>221</v>
      </c>
      <c r="C21" s="572" t="s">
        <v>221</v>
      </c>
      <c r="D21" s="572" t="s">
        <v>216</v>
      </c>
      <c r="E21" s="572" t="s">
        <v>217</v>
      </c>
      <c r="F21" s="572" t="s">
        <v>346</v>
      </c>
      <c r="G21" s="575">
        <v>1805</v>
      </c>
      <c r="H21" s="575">
        <v>31720</v>
      </c>
      <c r="I21" s="575">
        <v>1590</v>
      </c>
      <c r="J21" s="575">
        <v>28010</v>
      </c>
      <c r="K21" s="575">
        <v>1280</v>
      </c>
      <c r="L21" s="575">
        <v>22500</v>
      </c>
      <c r="M21" s="575">
        <v>1555</v>
      </c>
      <c r="N21" s="575">
        <v>26940</v>
      </c>
      <c r="O21" s="575">
        <v>1365</v>
      </c>
      <c r="P21" s="575">
        <v>23600</v>
      </c>
      <c r="Q21" s="575">
        <v>1295</v>
      </c>
      <c r="R21" s="575">
        <v>22900</v>
      </c>
      <c r="S21" s="575">
        <v>1395</v>
      </c>
      <c r="T21" s="575">
        <v>24420</v>
      </c>
      <c r="U21" s="575">
        <v>1360</v>
      </c>
      <c r="V21" s="575">
        <v>25120</v>
      </c>
      <c r="W21" s="575">
        <v>1435</v>
      </c>
      <c r="X21" s="575">
        <v>25200</v>
      </c>
      <c r="Y21" s="575">
        <v>1495</v>
      </c>
      <c r="Z21" s="575">
        <v>26440</v>
      </c>
      <c r="AA21" s="575">
        <v>1530</v>
      </c>
      <c r="AB21" s="575">
        <v>26680</v>
      </c>
      <c r="AC21" s="575">
        <v>1665</v>
      </c>
      <c r="AD21" s="575">
        <v>29220</v>
      </c>
      <c r="AE21" s="576">
        <f t="shared" si="3"/>
        <v>17770</v>
      </c>
      <c r="AF21" s="576">
        <f t="shared" si="3"/>
        <v>312750</v>
      </c>
      <c r="AG21" s="577">
        <v>1375</v>
      </c>
      <c r="AH21" s="577">
        <v>24100</v>
      </c>
      <c r="AI21" s="577">
        <v>16072</v>
      </c>
      <c r="AJ21" s="577">
        <v>1230</v>
      </c>
      <c r="AK21" s="577">
        <v>21740</v>
      </c>
      <c r="AL21" s="577">
        <v>14302.400000000003</v>
      </c>
      <c r="AM21" s="577">
        <v>1485</v>
      </c>
      <c r="AN21" s="577">
        <v>26340</v>
      </c>
      <c r="AO21" s="577">
        <v>17505.600000000002</v>
      </c>
      <c r="AP21" s="577">
        <v>1303</v>
      </c>
      <c r="AQ21" s="577">
        <v>23132</v>
      </c>
      <c r="AR21" s="577">
        <v>15106.880000000001</v>
      </c>
      <c r="AS21" s="577">
        <v>1355</v>
      </c>
      <c r="AT21" s="577">
        <v>23920</v>
      </c>
      <c r="AU21" s="577">
        <v>15956.800000000003</v>
      </c>
      <c r="AV21" s="577">
        <v>905</v>
      </c>
      <c r="AW21" s="577">
        <v>16520</v>
      </c>
      <c r="AX21" s="577">
        <v>11004.800000000003</v>
      </c>
      <c r="AY21" s="577">
        <v>1205</v>
      </c>
      <c r="AZ21" s="577">
        <v>20760</v>
      </c>
      <c r="BA21" s="577">
        <v>13632.000000000002</v>
      </c>
      <c r="BB21" s="577">
        <v>1250</v>
      </c>
      <c r="BC21" s="577">
        <v>21640</v>
      </c>
      <c r="BD21" s="577">
        <v>14411.200000000003</v>
      </c>
      <c r="BE21" s="577">
        <v>1740</v>
      </c>
      <c r="BF21" s="578">
        <v>29880</v>
      </c>
      <c r="BG21" s="577">
        <v>20160.000000000004</v>
      </c>
      <c r="BH21" s="577">
        <v>1695</v>
      </c>
      <c r="BI21" s="577">
        <v>28260</v>
      </c>
      <c r="BJ21" s="577">
        <v>19641.600000000006</v>
      </c>
      <c r="BK21" s="577">
        <v>1686</v>
      </c>
      <c r="BL21" s="577">
        <v>29152</v>
      </c>
      <c r="BM21" s="577">
        <v>19417.600000000006</v>
      </c>
      <c r="BN21" s="577">
        <v>1910</v>
      </c>
      <c r="BO21" s="577">
        <v>32560</v>
      </c>
      <c r="BP21" s="577">
        <v>22091.200000000004</v>
      </c>
      <c r="BQ21" s="579">
        <f t="shared" si="4"/>
        <v>17139</v>
      </c>
      <c r="BR21" s="579">
        <f t="shared" si="4"/>
        <v>298004</v>
      </c>
      <c r="BS21" s="579">
        <f t="shared" si="4"/>
        <v>199302.08000000005</v>
      </c>
      <c r="BT21" s="579">
        <f t="shared" si="5"/>
        <v>1302.5</v>
      </c>
      <c r="BU21" s="579">
        <f t="shared" si="6"/>
        <v>22920</v>
      </c>
      <c r="BV21" s="579">
        <f t="shared" si="7"/>
        <v>15187.2</v>
      </c>
      <c r="BW21" s="579">
        <f t="shared" si="8"/>
        <v>1428.25</v>
      </c>
      <c r="BX21" s="579">
        <f t="shared" si="8"/>
        <v>24833.666666666668</v>
      </c>
      <c r="BY21" s="579">
        <f t="shared" si="8"/>
        <v>16608.506666666672</v>
      </c>
      <c r="BZ21" s="577">
        <v>1622</v>
      </c>
      <c r="CA21" s="572">
        <v>27388</v>
      </c>
      <c r="CB21" s="572">
        <v>18910.72</v>
      </c>
      <c r="CC21" s="287">
        <v>1410</v>
      </c>
      <c r="CD21" s="287">
        <v>24860</v>
      </c>
      <c r="CE21" s="287">
        <v>16731.2</v>
      </c>
      <c r="CF21" s="572"/>
      <c r="CG21" s="572"/>
      <c r="CH21" s="572"/>
      <c r="CI21" s="572"/>
      <c r="CJ21" s="572"/>
      <c r="CK21" s="572"/>
      <c r="CL21" s="572"/>
      <c r="CM21" s="572"/>
      <c r="CN21" s="572"/>
      <c r="CO21" s="572"/>
      <c r="CP21" s="572"/>
      <c r="CQ21" s="572"/>
      <c r="CR21" s="572"/>
      <c r="CS21" s="572"/>
      <c r="CT21" s="572"/>
      <c r="CU21" s="572"/>
      <c r="CV21" s="572"/>
      <c r="CW21" s="572"/>
      <c r="CX21" s="572"/>
      <c r="CY21" s="572"/>
      <c r="CZ21" s="572"/>
      <c r="DA21" s="572"/>
      <c r="DB21" s="572"/>
      <c r="DC21" s="572"/>
      <c r="DD21" s="572"/>
      <c r="DE21" s="572"/>
      <c r="DF21" s="572"/>
      <c r="DG21" s="572"/>
      <c r="DH21" s="572"/>
      <c r="DI21" s="572"/>
      <c r="DJ21" s="580">
        <f t="shared" si="9"/>
        <v>3032</v>
      </c>
      <c r="DK21" s="580">
        <f t="shared" si="9"/>
        <v>52248</v>
      </c>
      <c r="DL21" s="580">
        <f t="shared" si="9"/>
        <v>35641.919999999998</v>
      </c>
      <c r="DM21" s="664">
        <f t="shared" si="10"/>
        <v>1516</v>
      </c>
      <c r="DN21" s="664">
        <f t="shared" si="11"/>
        <v>26124</v>
      </c>
      <c r="DO21" s="665">
        <f t="shared" si="12"/>
        <v>17820.96</v>
      </c>
      <c r="DP21" s="583">
        <f t="shared" si="13"/>
        <v>17.341972187104915</v>
      </c>
      <c r="DQ21" s="817">
        <f t="shared" si="14"/>
        <v>7.3001947596331718</v>
      </c>
    </row>
    <row r="22" spans="1:122">
      <c r="A22" s="572">
        <v>19</v>
      </c>
      <c r="B22" s="572" t="s">
        <v>222</v>
      </c>
      <c r="C22" s="572" t="s">
        <v>223</v>
      </c>
      <c r="D22" s="572" t="s">
        <v>216</v>
      </c>
      <c r="E22" s="572" t="s">
        <v>217</v>
      </c>
      <c r="F22" s="572" t="s">
        <v>346</v>
      </c>
      <c r="G22" s="575">
        <v>680</v>
      </c>
      <c r="H22" s="575">
        <v>11720</v>
      </c>
      <c r="I22" s="575">
        <v>550</v>
      </c>
      <c r="J22" s="575">
        <v>9700</v>
      </c>
      <c r="K22" s="575">
        <v>655</v>
      </c>
      <c r="L22" s="575">
        <v>10920</v>
      </c>
      <c r="M22" s="575">
        <v>500</v>
      </c>
      <c r="N22" s="575">
        <v>8250</v>
      </c>
      <c r="O22" s="575">
        <v>375</v>
      </c>
      <c r="P22" s="575">
        <v>6850</v>
      </c>
      <c r="Q22" s="575">
        <v>595</v>
      </c>
      <c r="R22" s="575">
        <v>10030</v>
      </c>
      <c r="S22" s="575">
        <v>635</v>
      </c>
      <c r="T22" s="575">
        <v>10690</v>
      </c>
      <c r="U22" s="575">
        <v>690</v>
      </c>
      <c r="V22" s="575">
        <v>11360</v>
      </c>
      <c r="W22" s="575">
        <v>530</v>
      </c>
      <c r="X22" s="575">
        <v>9050</v>
      </c>
      <c r="Y22" s="575">
        <v>610</v>
      </c>
      <c r="Z22" s="575">
        <v>10340</v>
      </c>
      <c r="AA22" s="575">
        <v>565</v>
      </c>
      <c r="AB22" s="575">
        <v>9660</v>
      </c>
      <c r="AC22" s="575">
        <v>655</v>
      </c>
      <c r="AD22" s="575">
        <v>11220</v>
      </c>
      <c r="AE22" s="576">
        <f t="shared" si="3"/>
        <v>7040</v>
      </c>
      <c r="AF22" s="576">
        <f t="shared" si="3"/>
        <v>119790</v>
      </c>
      <c r="AG22" s="577">
        <v>515</v>
      </c>
      <c r="AH22" s="577">
        <v>8860</v>
      </c>
      <c r="AI22" s="577">
        <v>5670.4</v>
      </c>
      <c r="AJ22" s="577">
        <v>670</v>
      </c>
      <c r="AK22" s="577">
        <v>11080</v>
      </c>
      <c r="AL22" s="577">
        <v>7091.1999999999989</v>
      </c>
      <c r="AM22" s="577">
        <v>495</v>
      </c>
      <c r="AN22" s="577">
        <v>8630</v>
      </c>
      <c r="AO22" s="577">
        <v>5523.2000000000007</v>
      </c>
      <c r="AP22" s="577">
        <v>410</v>
      </c>
      <c r="AQ22" s="577">
        <v>7390</v>
      </c>
      <c r="AR22" s="577">
        <v>4729.6000000000004</v>
      </c>
      <c r="AS22" s="577">
        <v>605</v>
      </c>
      <c r="AT22" s="577">
        <v>10970</v>
      </c>
      <c r="AU22" s="577">
        <v>7280</v>
      </c>
      <c r="AV22" s="577">
        <v>480</v>
      </c>
      <c r="AW22" s="577">
        <v>8420</v>
      </c>
      <c r="AX22" s="577">
        <v>5388.8</v>
      </c>
      <c r="AY22" s="577">
        <v>595</v>
      </c>
      <c r="AZ22" s="577">
        <v>10480</v>
      </c>
      <c r="BA22" s="577">
        <v>6707.2000000000007</v>
      </c>
      <c r="BB22" s="577">
        <v>445</v>
      </c>
      <c r="BC22" s="577">
        <v>7930</v>
      </c>
      <c r="BD22" s="577">
        <v>5075.2000000000007</v>
      </c>
      <c r="BE22" s="577">
        <v>470</v>
      </c>
      <c r="BF22" s="578">
        <v>8230</v>
      </c>
      <c r="BG22" s="577">
        <v>5267.2</v>
      </c>
      <c r="BH22" s="577">
        <v>500</v>
      </c>
      <c r="BI22" s="577">
        <v>9000</v>
      </c>
      <c r="BJ22" s="577">
        <v>5760</v>
      </c>
      <c r="BK22" s="577">
        <v>615</v>
      </c>
      <c r="BL22" s="577">
        <v>10460</v>
      </c>
      <c r="BM22" s="577">
        <v>6694.4000000000005</v>
      </c>
      <c r="BN22" s="577">
        <v>410</v>
      </c>
      <c r="BO22" s="577">
        <v>7340</v>
      </c>
      <c r="BP22" s="577">
        <v>4697.6000000000004</v>
      </c>
      <c r="BQ22" s="579">
        <f t="shared" si="4"/>
        <v>6210</v>
      </c>
      <c r="BR22" s="579">
        <f t="shared" si="4"/>
        <v>108790</v>
      </c>
      <c r="BS22" s="579">
        <f t="shared" si="4"/>
        <v>69884.800000000003</v>
      </c>
      <c r="BT22" s="579">
        <f t="shared" si="5"/>
        <v>592.5</v>
      </c>
      <c r="BU22" s="579">
        <f t="shared" si="6"/>
        <v>9970</v>
      </c>
      <c r="BV22" s="579">
        <f t="shared" si="7"/>
        <v>6380.7999999999993</v>
      </c>
      <c r="BW22" s="579">
        <f t="shared" si="8"/>
        <v>517.5</v>
      </c>
      <c r="BX22" s="579">
        <f t="shared" si="8"/>
        <v>9065.8333333333339</v>
      </c>
      <c r="BY22" s="579">
        <f t="shared" si="8"/>
        <v>5823.7333333333336</v>
      </c>
      <c r="BZ22" s="577">
        <v>510</v>
      </c>
      <c r="CA22" s="572">
        <v>9140</v>
      </c>
      <c r="CB22" s="572">
        <v>5849.6</v>
      </c>
      <c r="CC22" s="287">
        <v>420</v>
      </c>
      <c r="CD22" s="287">
        <v>7580</v>
      </c>
      <c r="CE22" s="287">
        <v>4851.2</v>
      </c>
      <c r="CF22" s="572"/>
      <c r="CG22" s="572"/>
      <c r="CH22" s="572"/>
      <c r="CI22" s="572"/>
      <c r="CJ22" s="572"/>
      <c r="CK22" s="572"/>
      <c r="CL22" s="572"/>
      <c r="CM22" s="572"/>
      <c r="CN22" s="572"/>
      <c r="CO22" s="572"/>
      <c r="CP22" s="572"/>
      <c r="CQ22" s="572"/>
      <c r="CR22" s="572"/>
      <c r="CS22" s="572"/>
      <c r="CT22" s="572"/>
      <c r="CU22" s="572"/>
      <c r="CV22" s="572"/>
      <c r="CW22" s="572"/>
      <c r="CX22" s="572"/>
      <c r="CY22" s="572"/>
      <c r="CZ22" s="572"/>
      <c r="DA22" s="572"/>
      <c r="DB22" s="572"/>
      <c r="DC22" s="572"/>
      <c r="DD22" s="572"/>
      <c r="DE22" s="572"/>
      <c r="DF22" s="572"/>
      <c r="DG22" s="572"/>
      <c r="DH22" s="572"/>
      <c r="DI22" s="572"/>
      <c r="DJ22" s="580">
        <f t="shared" si="9"/>
        <v>930</v>
      </c>
      <c r="DK22" s="580">
        <f t="shared" si="9"/>
        <v>16720</v>
      </c>
      <c r="DL22" s="580">
        <f t="shared" si="9"/>
        <v>10700.8</v>
      </c>
      <c r="DM22" s="664">
        <f t="shared" si="10"/>
        <v>465</v>
      </c>
      <c r="DN22" s="664">
        <f t="shared" si="11"/>
        <v>8360</v>
      </c>
      <c r="DO22" s="665">
        <f t="shared" si="12"/>
        <v>5350.4</v>
      </c>
      <c r="DP22" s="582">
        <f t="shared" si="13"/>
        <v>-16.148445336008024</v>
      </c>
      <c r="DQ22" s="817">
        <f t="shared" si="14"/>
        <v>-8.127661522963507</v>
      </c>
    </row>
    <row r="23" spans="1:122">
      <c r="A23" s="572">
        <v>20</v>
      </c>
      <c r="B23" s="572" t="s">
        <v>224</v>
      </c>
      <c r="C23" s="572" t="s">
        <v>225</v>
      </c>
      <c r="D23" s="572" t="s">
        <v>226</v>
      </c>
      <c r="E23" s="572" t="s">
        <v>99</v>
      </c>
      <c r="F23" s="572" t="s">
        <v>346</v>
      </c>
      <c r="G23" s="575">
        <v>820</v>
      </c>
      <c r="H23" s="575">
        <v>12240</v>
      </c>
      <c r="I23" s="575">
        <v>1091</v>
      </c>
      <c r="J23" s="575">
        <v>15944</v>
      </c>
      <c r="K23" s="575">
        <v>1010</v>
      </c>
      <c r="L23" s="575">
        <v>14850</v>
      </c>
      <c r="M23" s="575">
        <v>1210</v>
      </c>
      <c r="N23" s="575">
        <v>17820</v>
      </c>
      <c r="O23" s="575">
        <v>1050</v>
      </c>
      <c r="P23" s="575">
        <v>15550</v>
      </c>
      <c r="Q23" s="575">
        <v>830</v>
      </c>
      <c r="R23" s="575">
        <v>12290</v>
      </c>
      <c r="S23" s="575">
        <v>1315</v>
      </c>
      <c r="T23" s="575">
        <v>19480</v>
      </c>
      <c r="U23" s="575">
        <v>1150</v>
      </c>
      <c r="V23" s="575">
        <v>17060</v>
      </c>
      <c r="W23" s="575">
        <v>1185</v>
      </c>
      <c r="X23" s="575">
        <v>17750</v>
      </c>
      <c r="Y23" s="575">
        <v>1055</v>
      </c>
      <c r="Z23" s="575">
        <v>15730</v>
      </c>
      <c r="AA23" s="575">
        <v>880</v>
      </c>
      <c r="AB23" s="575">
        <v>13380</v>
      </c>
      <c r="AC23" s="575">
        <v>695</v>
      </c>
      <c r="AD23" s="575">
        <v>10370</v>
      </c>
      <c r="AE23" s="576">
        <f t="shared" si="3"/>
        <v>12291</v>
      </c>
      <c r="AF23" s="576">
        <f t="shared" si="3"/>
        <v>182464</v>
      </c>
      <c r="AG23" s="577">
        <v>820</v>
      </c>
      <c r="AH23" s="577">
        <v>12290</v>
      </c>
      <c r="AI23" s="577">
        <v>7898</v>
      </c>
      <c r="AJ23" s="577">
        <v>525</v>
      </c>
      <c r="AK23" s="577">
        <v>8050</v>
      </c>
      <c r="AL23" s="577">
        <v>5170</v>
      </c>
      <c r="AM23" s="577">
        <v>790</v>
      </c>
      <c r="AN23" s="577">
        <v>12280</v>
      </c>
      <c r="AO23" s="577">
        <v>7870</v>
      </c>
      <c r="AP23" s="577">
        <v>668</v>
      </c>
      <c r="AQ23" s="577">
        <v>10932</v>
      </c>
      <c r="AR23" s="577">
        <v>7003.68</v>
      </c>
      <c r="AS23" s="577">
        <v>660</v>
      </c>
      <c r="AT23" s="577">
        <v>10920</v>
      </c>
      <c r="AU23" s="577">
        <v>7014.0000000000009</v>
      </c>
      <c r="AV23" s="577">
        <v>510</v>
      </c>
      <c r="AW23" s="577">
        <v>7630</v>
      </c>
      <c r="AX23" s="577">
        <v>4886.8</v>
      </c>
      <c r="AY23" s="577">
        <v>595</v>
      </c>
      <c r="AZ23" s="577">
        <v>8560</v>
      </c>
      <c r="BA23" s="577">
        <v>5467.6</v>
      </c>
      <c r="BB23" s="577">
        <v>575</v>
      </c>
      <c r="BC23" s="577">
        <v>8500</v>
      </c>
      <c r="BD23" s="577">
        <v>5440</v>
      </c>
      <c r="BE23" s="577">
        <v>530</v>
      </c>
      <c r="BF23" s="578">
        <v>7860</v>
      </c>
      <c r="BG23" s="577">
        <v>5034</v>
      </c>
      <c r="BH23" s="577">
        <v>695</v>
      </c>
      <c r="BI23" s="577">
        <v>10220</v>
      </c>
      <c r="BJ23" s="577">
        <v>6544.4</v>
      </c>
      <c r="BK23" s="577">
        <v>535</v>
      </c>
      <c r="BL23" s="577">
        <v>8090</v>
      </c>
      <c r="BM23" s="577">
        <v>5177.6000000000004</v>
      </c>
      <c r="BN23" s="577">
        <v>445</v>
      </c>
      <c r="BO23" s="577">
        <v>6820</v>
      </c>
      <c r="BP23" s="577">
        <v>4368.3999999999996</v>
      </c>
      <c r="BQ23" s="579">
        <f t="shared" si="4"/>
        <v>7348</v>
      </c>
      <c r="BR23" s="579">
        <f t="shared" si="4"/>
        <v>112152</v>
      </c>
      <c r="BS23" s="579">
        <f t="shared" si="4"/>
        <v>71874.48</v>
      </c>
      <c r="BT23" s="579">
        <f t="shared" si="5"/>
        <v>672.5</v>
      </c>
      <c r="BU23" s="579">
        <f t="shared" si="6"/>
        <v>10170</v>
      </c>
      <c r="BV23" s="579">
        <f t="shared" si="7"/>
        <v>6534</v>
      </c>
      <c r="BW23" s="579">
        <f t="shared" si="8"/>
        <v>612.33333333333337</v>
      </c>
      <c r="BX23" s="579">
        <f t="shared" si="8"/>
        <v>9346</v>
      </c>
      <c r="BY23" s="579">
        <f t="shared" si="8"/>
        <v>5989.54</v>
      </c>
      <c r="BZ23" s="577">
        <v>435</v>
      </c>
      <c r="CA23" s="572">
        <v>6740</v>
      </c>
      <c r="CB23" s="572">
        <v>4313.6000000000004</v>
      </c>
      <c r="CC23" s="287">
        <v>375</v>
      </c>
      <c r="CD23" s="287">
        <v>5850</v>
      </c>
      <c r="CE23" s="287">
        <v>3744.0000000000005</v>
      </c>
      <c r="CF23" s="572"/>
      <c r="CG23" s="572"/>
      <c r="CH23" s="572"/>
      <c r="CI23" s="572"/>
      <c r="CJ23" s="572"/>
      <c r="CK23" s="572"/>
      <c r="CL23" s="572"/>
      <c r="CM23" s="572"/>
      <c r="CN23" s="572"/>
      <c r="CO23" s="572"/>
      <c r="CP23" s="572"/>
      <c r="CQ23" s="572"/>
      <c r="CR23" s="572"/>
      <c r="CS23" s="572"/>
      <c r="CT23" s="572"/>
      <c r="CU23" s="572"/>
      <c r="CV23" s="572"/>
      <c r="CW23" s="572"/>
      <c r="CX23" s="572"/>
      <c r="CY23" s="572"/>
      <c r="CZ23" s="572"/>
      <c r="DA23" s="572"/>
      <c r="DB23" s="572"/>
      <c r="DC23" s="572"/>
      <c r="DD23" s="572"/>
      <c r="DE23" s="572"/>
      <c r="DF23" s="572"/>
      <c r="DG23" s="572"/>
      <c r="DH23" s="572"/>
      <c r="DI23" s="572"/>
      <c r="DJ23" s="580">
        <f t="shared" si="9"/>
        <v>810</v>
      </c>
      <c r="DK23" s="580">
        <f t="shared" si="9"/>
        <v>12590</v>
      </c>
      <c r="DL23" s="580">
        <f t="shared" si="9"/>
        <v>8057.6</v>
      </c>
      <c r="DM23" s="664">
        <f t="shared" si="10"/>
        <v>405</v>
      </c>
      <c r="DN23" s="664">
        <f t="shared" si="11"/>
        <v>6295</v>
      </c>
      <c r="DO23" s="665">
        <f t="shared" si="12"/>
        <v>4028.8</v>
      </c>
      <c r="DP23" s="582">
        <f t="shared" si="13"/>
        <v>-38.340985613712888</v>
      </c>
      <c r="DQ23" s="817">
        <f t="shared" si="14"/>
        <v>-32.736069881827319</v>
      </c>
      <c r="DR23" s="820" t="s">
        <v>324</v>
      </c>
    </row>
    <row r="24" spans="1:122">
      <c r="A24" s="572">
        <v>21</v>
      </c>
      <c r="B24" s="572" t="s">
        <v>227</v>
      </c>
      <c r="C24" s="572" t="s">
        <v>228</v>
      </c>
      <c r="D24" s="572" t="s">
        <v>229</v>
      </c>
      <c r="E24" s="572" t="s">
        <v>147</v>
      </c>
      <c r="F24" s="572" t="s">
        <v>346</v>
      </c>
      <c r="G24" s="575">
        <v>600</v>
      </c>
      <c r="H24" s="575">
        <v>8000</v>
      </c>
      <c r="I24" s="575">
        <v>420</v>
      </c>
      <c r="J24" s="575">
        <v>6120</v>
      </c>
      <c r="K24" s="575">
        <v>710</v>
      </c>
      <c r="L24" s="575">
        <v>10520</v>
      </c>
      <c r="M24" s="575">
        <v>530</v>
      </c>
      <c r="N24" s="575">
        <v>7560</v>
      </c>
      <c r="O24" s="575">
        <v>350</v>
      </c>
      <c r="P24" s="575">
        <v>5300</v>
      </c>
      <c r="Q24" s="575">
        <v>410</v>
      </c>
      <c r="R24" s="575">
        <v>5580</v>
      </c>
      <c r="S24" s="575">
        <v>600</v>
      </c>
      <c r="T24" s="575">
        <v>8580</v>
      </c>
      <c r="U24" s="575">
        <v>580</v>
      </c>
      <c r="V24" s="575">
        <v>8380</v>
      </c>
      <c r="W24" s="575">
        <v>590</v>
      </c>
      <c r="X24" s="575">
        <v>8060</v>
      </c>
      <c r="Y24" s="575">
        <v>540</v>
      </c>
      <c r="Z24" s="575">
        <v>7680</v>
      </c>
      <c r="AA24" s="575">
        <v>630</v>
      </c>
      <c r="AB24" s="575">
        <v>8920</v>
      </c>
      <c r="AC24" s="575">
        <v>580</v>
      </c>
      <c r="AD24" s="575">
        <v>8480</v>
      </c>
      <c r="AE24" s="576">
        <f t="shared" si="3"/>
        <v>6540</v>
      </c>
      <c r="AF24" s="576">
        <f t="shared" si="3"/>
        <v>93180</v>
      </c>
      <c r="AG24" s="577">
        <v>710</v>
      </c>
      <c r="AH24" s="577">
        <v>10540</v>
      </c>
      <c r="AI24" s="577">
        <v>6817.6</v>
      </c>
      <c r="AJ24" s="577">
        <v>410</v>
      </c>
      <c r="AK24" s="577">
        <v>5580</v>
      </c>
      <c r="AL24" s="577">
        <v>3664.8</v>
      </c>
      <c r="AM24" s="577">
        <v>680</v>
      </c>
      <c r="AN24" s="577">
        <v>9720</v>
      </c>
      <c r="AO24" s="577">
        <v>6328.8</v>
      </c>
      <c r="AP24" s="577">
        <v>490</v>
      </c>
      <c r="AQ24" s="577">
        <v>7160</v>
      </c>
      <c r="AR24" s="577">
        <v>4582.3999999999996</v>
      </c>
      <c r="AS24" s="577">
        <v>200</v>
      </c>
      <c r="AT24" s="577">
        <v>2900</v>
      </c>
      <c r="AU24" s="577">
        <v>1892</v>
      </c>
      <c r="AV24" s="577">
        <v>250</v>
      </c>
      <c r="AW24" s="577">
        <v>3400</v>
      </c>
      <c r="AX24" s="577">
        <v>2212</v>
      </c>
      <c r="AY24" s="577">
        <v>250</v>
      </c>
      <c r="AZ24" s="577">
        <v>3300</v>
      </c>
      <c r="BA24" s="577">
        <v>2184</v>
      </c>
      <c r="BB24" s="577">
        <v>270</v>
      </c>
      <c r="BC24" s="577">
        <v>3980</v>
      </c>
      <c r="BD24" s="577">
        <v>2547.1999999999998</v>
      </c>
      <c r="BE24" s="577">
        <v>200</v>
      </c>
      <c r="BF24" s="578">
        <v>2700</v>
      </c>
      <c r="BG24" s="577">
        <v>1764</v>
      </c>
      <c r="BH24" s="577">
        <v>540</v>
      </c>
      <c r="BI24" s="577">
        <v>7510</v>
      </c>
      <c r="BJ24" s="577">
        <v>4896.3999999999996</v>
      </c>
      <c r="BK24" s="577">
        <v>570</v>
      </c>
      <c r="BL24" s="577">
        <v>8080</v>
      </c>
      <c r="BM24" s="577">
        <v>5207.2</v>
      </c>
      <c r="BN24" s="577">
        <v>350</v>
      </c>
      <c r="BO24" s="577">
        <v>4800</v>
      </c>
      <c r="BP24" s="577">
        <v>3108</v>
      </c>
      <c r="BQ24" s="579">
        <f t="shared" si="4"/>
        <v>4920</v>
      </c>
      <c r="BR24" s="579">
        <f t="shared" si="4"/>
        <v>69670</v>
      </c>
      <c r="BS24" s="579">
        <f t="shared" si="4"/>
        <v>45204.399999999994</v>
      </c>
      <c r="BT24" s="579">
        <f t="shared" si="5"/>
        <v>560</v>
      </c>
      <c r="BU24" s="579">
        <f t="shared" si="6"/>
        <v>8060</v>
      </c>
      <c r="BV24" s="579">
        <f t="shared" si="7"/>
        <v>5241.2000000000007</v>
      </c>
      <c r="BW24" s="579">
        <f t="shared" si="8"/>
        <v>410</v>
      </c>
      <c r="BX24" s="579">
        <f t="shared" si="8"/>
        <v>5805.833333333333</v>
      </c>
      <c r="BY24" s="579">
        <f t="shared" si="8"/>
        <v>3767.0333333333328</v>
      </c>
      <c r="BZ24" s="577">
        <v>370</v>
      </c>
      <c r="CA24" s="572">
        <v>5080</v>
      </c>
      <c r="CB24" s="572">
        <v>3287.2</v>
      </c>
      <c r="CC24" s="287">
        <v>550</v>
      </c>
      <c r="CD24" s="287">
        <v>7660</v>
      </c>
      <c r="CE24" s="287">
        <v>4988.7999999999993</v>
      </c>
      <c r="CF24" s="572"/>
      <c r="CG24" s="572"/>
      <c r="CH24" s="572"/>
      <c r="CI24" s="572"/>
      <c r="CJ24" s="572"/>
      <c r="CK24" s="572"/>
      <c r="CL24" s="572"/>
      <c r="CM24" s="572"/>
      <c r="CN24" s="572"/>
      <c r="CO24" s="572"/>
      <c r="CP24" s="572"/>
      <c r="CQ24" s="572"/>
      <c r="CR24" s="572"/>
      <c r="CS24" s="572"/>
      <c r="CT24" s="572"/>
      <c r="CU24" s="572"/>
      <c r="CV24" s="572"/>
      <c r="CW24" s="572"/>
      <c r="CX24" s="572"/>
      <c r="CY24" s="572"/>
      <c r="CZ24" s="572"/>
      <c r="DA24" s="572"/>
      <c r="DB24" s="572"/>
      <c r="DC24" s="572"/>
      <c r="DD24" s="572"/>
      <c r="DE24" s="572"/>
      <c r="DF24" s="572"/>
      <c r="DG24" s="572"/>
      <c r="DH24" s="572"/>
      <c r="DI24" s="572"/>
      <c r="DJ24" s="580">
        <f t="shared" si="9"/>
        <v>920</v>
      </c>
      <c r="DK24" s="580">
        <f t="shared" si="9"/>
        <v>12740</v>
      </c>
      <c r="DL24" s="580">
        <f t="shared" si="9"/>
        <v>8276</v>
      </c>
      <c r="DM24" s="664">
        <f t="shared" si="10"/>
        <v>460</v>
      </c>
      <c r="DN24" s="664">
        <f t="shared" si="11"/>
        <v>6370</v>
      </c>
      <c r="DO24" s="665">
        <f t="shared" si="12"/>
        <v>4138</v>
      </c>
      <c r="DP24" s="582">
        <f t="shared" si="13"/>
        <v>-21.048614821033368</v>
      </c>
      <c r="DQ24" s="817">
        <f t="shared" si="14"/>
        <v>9.8477139393510384</v>
      </c>
      <c r="DR24" s="820" t="s">
        <v>324</v>
      </c>
    </row>
    <row r="25" spans="1:122">
      <c r="A25" s="572">
        <v>22</v>
      </c>
      <c r="B25" s="572" t="s">
        <v>239</v>
      </c>
      <c r="C25" s="572" t="s">
        <v>240</v>
      </c>
      <c r="D25" s="572" t="s">
        <v>241</v>
      </c>
      <c r="E25" s="572" t="s">
        <v>151</v>
      </c>
      <c r="F25" s="572" t="s">
        <v>346</v>
      </c>
      <c r="G25" s="575">
        <v>600</v>
      </c>
      <c r="H25" s="575">
        <v>8200</v>
      </c>
      <c r="I25" s="575">
        <v>400</v>
      </c>
      <c r="J25" s="575">
        <v>5600</v>
      </c>
      <c r="K25" s="575">
        <v>900</v>
      </c>
      <c r="L25" s="575">
        <v>12600</v>
      </c>
      <c r="M25" s="575">
        <v>300</v>
      </c>
      <c r="N25" s="575">
        <v>5600</v>
      </c>
      <c r="O25" s="575">
        <v>400</v>
      </c>
      <c r="P25" s="575">
        <v>5600</v>
      </c>
      <c r="Q25" s="575">
        <v>400</v>
      </c>
      <c r="R25" s="575">
        <v>5600</v>
      </c>
      <c r="S25" s="575">
        <v>200</v>
      </c>
      <c r="T25" s="575">
        <v>2800</v>
      </c>
      <c r="U25" s="575">
        <v>300</v>
      </c>
      <c r="V25" s="575">
        <v>4200</v>
      </c>
      <c r="W25" s="575">
        <v>300</v>
      </c>
      <c r="X25" s="575">
        <v>4200</v>
      </c>
      <c r="Y25" s="575">
        <v>400</v>
      </c>
      <c r="Z25" s="575">
        <v>5600</v>
      </c>
      <c r="AA25" s="575">
        <v>300</v>
      </c>
      <c r="AB25" s="575">
        <v>4200</v>
      </c>
      <c r="AC25" s="575">
        <v>500</v>
      </c>
      <c r="AD25" s="575">
        <v>8000</v>
      </c>
      <c r="AE25" s="576">
        <f t="shared" si="3"/>
        <v>5000</v>
      </c>
      <c r="AF25" s="576">
        <f t="shared" si="3"/>
        <v>72200</v>
      </c>
      <c r="AG25" s="577">
        <v>200</v>
      </c>
      <c r="AH25" s="577">
        <v>2800</v>
      </c>
      <c r="AI25" s="577">
        <v>1792</v>
      </c>
      <c r="AJ25" s="577">
        <v>550</v>
      </c>
      <c r="AK25" s="577">
        <v>8700</v>
      </c>
      <c r="AL25" s="577">
        <v>5472</v>
      </c>
      <c r="AM25" s="577">
        <v>300</v>
      </c>
      <c r="AN25" s="577">
        <v>4200</v>
      </c>
      <c r="AO25" s="577">
        <v>2688</v>
      </c>
      <c r="AP25" s="577">
        <v>100</v>
      </c>
      <c r="AQ25" s="577">
        <v>2400</v>
      </c>
      <c r="AR25" s="577">
        <v>1440</v>
      </c>
      <c r="AS25" s="577">
        <v>270</v>
      </c>
      <c r="AT25" s="577">
        <v>4740</v>
      </c>
      <c r="AU25" s="577">
        <v>2947.2</v>
      </c>
      <c r="AV25" s="577">
        <v>200</v>
      </c>
      <c r="AW25" s="577">
        <v>2700</v>
      </c>
      <c r="AX25" s="577">
        <v>1944</v>
      </c>
      <c r="AY25" s="577">
        <v>400</v>
      </c>
      <c r="AZ25" s="577">
        <v>6600</v>
      </c>
      <c r="BA25" s="577">
        <v>4128</v>
      </c>
      <c r="BB25" s="577">
        <v>280</v>
      </c>
      <c r="BC25" s="577">
        <v>4920</v>
      </c>
      <c r="BD25" s="577">
        <v>3052.8</v>
      </c>
      <c r="BE25" s="577">
        <v>330</v>
      </c>
      <c r="BF25" s="578">
        <v>5060</v>
      </c>
      <c r="BG25" s="577">
        <v>3204.8</v>
      </c>
      <c r="BH25" s="577">
        <v>250</v>
      </c>
      <c r="BI25" s="577">
        <v>4000</v>
      </c>
      <c r="BJ25" s="577">
        <v>2512</v>
      </c>
      <c r="BK25" s="577">
        <v>330</v>
      </c>
      <c r="BL25" s="577">
        <v>6620</v>
      </c>
      <c r="BM25" s="577">
        <v>4044.8</v>
      </c>
      <c r="BN25" s="577">
        <v>200</v>
      </c>
      <c r="BO25" s="577">
        <v>2800</v>
      </c>
      <c r="BP25" s="577">
        <v>1792</v>
      </c>
      <c r="BQ25" s="579">
        <f t="shared" si="4"/>
        <v>3410</v>
      </c>
      <c r="BR25" s="579">
        <f t="shared" si="4"/>
        <v>55540</v>
      </c>
      <c r="BS25" s="579">
        <f t="shared" si="4"/>
        <v>35017.599999999999</v>
      </c>
      <c r="BT25" s="579">
        <f t="shared" si="5"/>
        <v>375</v>
      </c>
      <c r="BU25" s="579">
        <f t="shared" si="6"/>
        <v>5750</v>
      </c>
      <c r="BV25" s="579">
        <f t="shared" si="7"/>
        <v>3632</v>
      </c>
      <c r="BW25" s="579">
        <f t="shared" si="8"/>
        <v>284.16666666666669</v>
      </c>
      <c r="BX25" s="579">
        <f t="shared" si="8"/>
        <v>4628.333333333333</v>
      </c>
      <c r="BY25" s="579">
        <f t="shared" si="8"/>
        <v>2918.1333333333332</v>
      </c>
      <c r="BZ25" s="577">
        <v>500</v>
      </c>
      <c r="CA25" s="572">
        <v>7800</v>
      </c>
      <c r="CB25" s="572">
        <v>5328</v>
      </c>
      <c r="CC25" s="287">
        <v>450</v>
      </c>
      <c r="CD25" s="287">
        <v>8300</v>
      </c>
      <c r="CE25" s="287">
        <v>5120</v>
      </c>
      <c r="CF25" s="572"/>
      <c r="CG25" s="572"/>
      <c r="CH25" s="572"/>
      <c r="CI25" s="572"/>
      <c r="CJ25" s="572"/>
      <c r="CK25" s="572"/>
      <c r="CL25" s="572"/>
      <c r="CM25" s="572"/>
      <c r="CN25" s="572"/>
      <c r="CO25" s="572"/>
      <c r="CP25" s="572"/>
      <c r="CQ25" s="572"/>
      <c r="CR25" s="572"/>
      <c r="CS25" s="572"/>
      <c r="CT25" s="572"/>
      <c r="CU25" s="572"/>
      <c r="CV25" s="572"/>
      <c r="CW25" s="572"/>
      <c r="CX25" s="572"/>
      <c r="CY25" s="572"/>
      <c r="CZ25" s="572"/>
      <c r="DA25" s="572"/>
      <c r="DB25" s="572"/>
      <c r="DC25" s="572"/>
      <c r="DD25" s="572"/>
      <c r="DE25" s="572"/>
      <c r="DF25" s="572"/>
      <c r="DG25" s="572"/>
      <c r="DH25" s="572"/>
      <c r="DI25" s="572"/>
      <c r="DJ25" s="580">
        <f t="shared" si="9"/>
        <v>950</v>
      </c>
      <c r="DK25" s="580">
        <f t="shared" si="9"/>
        <v>16100</v>
      </c>
      <c r="DL25" s="580">
        <f t="shared" si="9"/>
        <v>10448</v>
      </c>
      <c r="DM25" s="664">
        <f t="shared" si="10"/>
        <v>475</v>
      </c>
      <c r="DN25" s="664">
        <f t="shared" si="11"/>
        <v>8050</v>
      </c>
      <c r="DO25" s="665">
        <f t="shared" si="12"/>
        <v>5224</v>
      </c>
      <c r="DP25" s="583">
        <f t="shared" si="13"/>
        <v>43.832599118942738</v>
      </c>
      <c r="DQ25" s="817">
        <f t="shared" si="14"/>
        <v>79.018550671662268</v>
      </c>
    </row>
    <row r="26" spans="1:122">
      <c r="A26" s="572">
        <v>23</v>
      </c>
      <c r="B26" s="572" t="s">
        <v>251</v>
      </c>
      <c r="C26" s="572" t="s">
        <v>252</v>
      </c>
      <c r="D26" s="572" t="s">
        <v>248</v>
      </c>
      <c r="E26" s="572" t="s">
        <v>104</v>
      </c>
      <c r="F26" s="572" t="s">
        <v>346</v>
      </c>
      <c r="G26" s="575">
        <v>500</v>
      </c>
      <c r="H26" s="575">
        <v>7000</v>
      </c>
      <c r="I26" s="575">
        <v>500</v>
      </c>
      <c r="J26" s="575">
        <v>7000</v>
      </c>
      <c r="K26" s="575">
        <v>500</v>
      </c>
      <c r="L26" s="575">
        <v>7000</v>
      </c>
      <c r="M26" s="575">
        <v>500</v>
      </c>
      <c r="N26" s="575">
        <v>7000</v>
      </c>
      <c r="O26" s="575">
        <v>652</v>
      </c>
      <c r="P26" s="575">
        <v>9136</v>
      </c>
      <c r="Q26" s="575">
        <v>499</v>
      </c>
      <c r="R26" s="575">
        <v>7116</v>
      </c>
      <c r="S26" s="575">
        <v>400</v>
      </c>
      <c r="T26" s="575">
        <v>5900</v>
      </c>
      <c r="U26" s="575">
        <v>750</v>
      </c>
      <c r="V26" s="575">
        <v>10500</v>
      </c>
      <c r="W26" s="575">
        <v>360</v>
      </c>
      <c r="X26" s="575">
        <v>5540</v>
      </c>
      <c r="Y26" s="575">
        <v>660</v>
      </c>
      <c r="Z26" s="575">
        <v>9780</v>
      </c>
      <c r="AA26" s="575">
        <v>311</v>
      </c>
      <c r="AB26" s="575">
        <v>4406</v>
      </c>
      <c r="AC26" s="575">
        <v>400</v>
      </c>
      <c r="AD26" s="575">
        <v>5600</v>
      </c>
      <c r="AE26" s="576">
        <f t="shared" si="3"/>
        <v>6032</v>
      </c>
      <c r="AF26" s="576">
        <f t="shared" si="3"/>
        <v>85978</v>
      </c>
      <c r="AG26" s="577">
        <v>600</v>
      </c>
      <c r="AH26" s="577">
        <v>8400</v>
      </c>
      <c r="AI26" s="577">
        <v>5376</v>
      </c>
      <c r="AJ26" s="577">
        <v>250</v>
      </c>
      <c r="AK26" s="577">
        <v>3500</v>
      </c>
      <c r="AL26" s="577">
        <v>2240</v>
      </c>
      <c r="AM26" s="577">
        <v>600</v>
      </c>
      <c r="AN26" s="577">
        <v>8400</v>
      </c>
      <c r="AO26" s="577">
        <v>5376</v>
      </c>
      <c r="AP26" s="577">
        <v>650</v>
      </c>
      <c r="AQ26" s="577">
        <v>9100</v>
      </c>
      <c r="AR26" s="577">
        <v>5824</v>
      </c>
      <c r="AS26" s="577">
        <v>301.45833333333331</v>
      </c>
      <c r="AT26" s="577">
        <v>4229</v>
      </c>
      <c r="AU26" s="577">
        <v>2700.25</v>
      </c>
      <c r="AV26" s="577">
        <v>500</v>
      </c>
      <c r="AW26" s="577">
        <v>7000</v>
      </c>
      <c r="AX26" s="577">
        <v>4480</v>
      </c>
      <c r="AY26" s="577">
        <v>550</v>
      </c>
      <c r="AZ26" s="577">
        <v>7700</v>
      </c>
      <c r="BA26" s="577">
        <v>4928</v>
      </c>
      <c r="BB26" s="577">
        <v>300</v>
      </c>
      <c r="BC26" s="577">
        <v>4200</v>
      </c>
      <c r="BD26" s="577">
        <v>2688</v>
      </c>
      <c r="BE26" s="577">
        <v>530</v>
      </c>
      <c r="BF26" s="578">
        <v>7720</v>
      </c>
      <c r="BG26" s="577">
        <v>4912</v>
      </c>
      <c r="BH26" s="577">
        <v>300</v>
      </c>
      <c r="BI26" s="577">
        <v>4200</v>
      </c>
      <c r="BJ26" s="577">
        <v>2688</v>
      </c>
      <c r="BK26" s="577">
        <v>550</v>
      </c>
      <c r="BL26" s="577">
        <v>7700</v>
      </c>
      <c r="BM26" s="577">
        <v>4928</v>
      </c>
      <c r="BN26" s="577">
        <v>280</v>
      </c>
      <c r="BO26" s="577">
        <v>4220</v>
      </c>
      <c r="BP26" s="577">
        <v>2672</v>
      </c>
      <c r="BQ26" s="579">
        <f t="shared" si="4"/>
        <v>5411.4583333333339</v>
      </c>
      <c r="BR26" s="579">
        <f t="shared" si="4"/>
        <v>76369</v>
      </c>
      <c r="BS26" s="579">
        <f t="shared" si="4"/>
        <v>48812.25</v>
      </c>
      <c r="BT26" s="579">
        <f t="shared" si="5"/>
        <v>425</v>
      </c>
      <c r="BU26" s="579">
        <f t="shared" si="6"/>
        <v>5950</v>
      </c>
      <c r="BV26" s="579">
        <f t="shared" si="7"/>
        <v>3808</v>
      </c>
      <c r="BW26" s="579">
        <f t="shared" si="8"/>
        <v>450.95486111111114</v>
      </c>
      <c r="BX26" s="579">
        <f t="shared" si="8"/>
        <v>6364.083333333333</v>
      </c>
      <c r="BY26" s="579">
        <f t="shared" si="8"/>
        <v>4067.6875</v>
      </c>
      <c r="BZ26" s="577">
        <v>510</v>
      </c>
      <c r="CA26" s="572">
        <v>7440</v>
      </c>
      <c r="CB26" s="572">
        <v>4732.8</v>
      </c>
      <c r="CC26" s="287">
        <v>280</v>
      </c>
      <c r="CD26" s="287">
        <v>4220</v>
      </c>
      <c r="CE26" s="287">
        <v>2672</v>
      </c>
      <c r="CF26" s="572"/>
      <c r="CG26" s="572"/>
      <c r="CH26" s="572"/>
      <c r="CI26" s="572"/>
      <c r="CJ26" s="572"/>
      <c r="CK26" s="572"/>
      <c r="CL26" s="572"/>
      <c r="CM26" s="572"/>
      <c r="CN26" s="572"/>
      <c r="CO26" s="572"/>
      <c r="CP26" s="572"/>
      <c r="CQ26" s="572"/>
      <c r="CR26" s="572"/>
      <c r="CS26" s="572"/>
      <c r="CT26" s="572"/>
      <c r="CU26" s="572"/>
      <c r="CV26" s="572"/>
      <c r="CW26" s="572"/>
      <c r="CX26" s="572"/>
      <c r="CY26" s="572"/>
      <c r="CZ26" s="572"/>
      <c r="DA26" s="572"/>
      <c r="DB26" s="572"/>
      <c r="DC26" s="572"/>
      <c r="DD26" s="572"/>
      <c r="DE26" s="572"/>
      <c r="DF26" s="572"/>
      <c r="DG26" s="572"/>
      <c r="DH26" s="572"/>
      <c r="DI26" s="572"/>
      <c r="DJ26" s="580">
        <f t="shared" si="9"/>
        <v>790</v>
      </c>
      <c r="DK26" s="580">
        <f t="shared" si="9"/>
        <v>11660</v>
      </c>
      <c r="DL26" s="580">
        <f t="shared" si="9"/>
        <v>7404.8</v>
      </c>
      <c r="DM26" s="664">
        <f t="shared" si="10"/>
        <v>395</v>
      </c>
      <c r="DN26" s="664">
        <f t="shared" si="11"/>
        <v>5830</v>
      </c>
      <c r="DO26" s="665">
        <f t="shared" si="12"/>
        <v>3702.4</v>
      </c>
      <c r="DP26" s="582">
        <f t="shared" si="13"/>
        <v>-2.7731092436974762</v>
      </c>
      <c r="DQ26" s="817">
        <f t="shared" si="14"/>
        <v>-8.9802252508335556</v>
      </c>
    </row>
    <row r="27" spans="1:122">
      <c r="A27" s="572">
        <v>24</v>
      </c>
      <c r="B27" s="572" t="s">
        <v>266</v>
      </c>
      <c r="C27" s="572" t="s">
        <v>267</v>
      </c>
      <c r="D27" s="572" t="s">
        <v>268</v>
      </c>
      <c r="E27" s="572" t="s">
        <v>107</v>
      </c>
      <c r="F27" s="572" t="s">
        <v>346</v>
      </c>
      <c r="G27" s="575">
        <v>100</v>
      </c>
      <c r="H27" s="575">
        <v>1400</v>
      </c>
      <c r="I27" s="575">
        <v>250</v>
      </c>
      <c r="J27" s="575">
        <v>3300</v>
      </c>
      <c r="K27" s="575">
        <v>300</v>
      </c>
      <c r="L27" s="575">
        <v>4100</v>
      </c>
      <c r="M27" s="575">
        <v>1000</v>
      </c>
      <c r="N27" s="575">
        <v>13000</v>
      </c>
      <c r="O27" s="575">
        <v>525</v>
      </c>
      <c r="P27" s="575">
        <v>7600</v>
      </c>
      <c r="Q27" s="575">
        <v>300</v>
      </c>
      <c r="R27" s="575">
        <v>5200</v>
      </c>
      <c r="S27" s="575">
        <v>600</v>
      </c>
      <c r="T27" s="575">
        <v>8000</v>
      </c>
      <c r="U27" s="575">
        <v>650</v>
      </c>
      <c r="V27" s="575">
        <v>9200</v>
      </c>
      <c r="W27" s="575">
        <v>600</v>
      </c>
      <c r="X27" s="575">
        <v>8400</v>
      </c>
      <c r="Y27" s="575">
        <v>600</v>
      </c>
      <c r="Z27" s="575">
        <v>8040</v>
      </c>
      <c r="AA27" s="575">
        <v>300</v>
      </c>
      <c r="AB27" s="575">
        <v>4800</v>
      </c>
      <c r="AC27" s="575">
        <v>250</v>
      </c>
      <c r="AD27" s="575">
        <v>3760</v>
      </c>
      <c r="AE27" s="576">
        <f t="shared" si="3"/>
        <v>5475</v>
      </c>
      <c r="AF27" s="576">
        <f t="shared" si="3"/>
        <v>76800</v>
      </c>
      <c r="AG27" s="577">
        <v>0</v>
      </c>
      <c r="AH27" s="577">
        <v>0</v>
      </c>
      <c r="AI27" s="577">
        <v>0</v>
      </c>
      <c r="AJ27" s="577">
        <v>90</v>
      </c>
      <c r="AK27" s="577">
        <v>1080</v>
      </c>
      <c r="AL27" s="577">
        <v>1080</v>
      </c>
      <c r="AM27" s="577">
        <v>2100</v>
      </c>
      <c r="AN27" s="577">
        <v>28930</v>
      </c>
      <c r="AO27" s="577">
        <v>21690.400000000001</v>
      </c>
      <c r="AP27" s="577">
        <v>0</v>
      </c>
      <c r="AQ27" s="577">
        <v>0</v>
      </c>
      <c r="AR27" s="577">
        <v>0</v>
      </c>
      <c r="AS27" s="577">
        <v>100</v>
      </c>
      <c r="AT27" s="577">
        <v>2400</v>
      </c>
      <c r="AU27" s="577">
        <v>1536</v>
      </c>
      <c r="AV27" s="577">
        <v>114</v>
      </c>
      <c r="AW27" s="577">
        <v>1576</v>
      </c>
      <c r="AX27" s="577">
        <v>1003.8399999999999</v>
      </c>
      <c r="AY27" s="577">
        <v>597</v>
      </c>
      <c r="AZ27" s="577">
        <v>8328</v>
      </c>
      <c r="BA27" s="577">
        <v>7489.92</v>
      </c>
      <c r="BB27" s="577">
        <v>450</v>
      </c>
      <c r="BC27" s="577">
        <v>6300</v>
      </c>
      <c r="BD27" s="577">
        <v>4032</v>
      </c>
      <c r="BE27" s="577">
        <v>550</v>
      </c>
      <c r="BF27" s="578">
        <v>7100</v>
      </c>
      <c r="BG27" s="577">
        <v>5840</v>
      </c>
      <c r="BH27" s="577">
        <v>1550</v>
      </c>
      <c r="BI27" s="577">
        <v>20700</v>
      </c>
      <c r="BJ27" s="577">
        <v>17568</v>
      </c>
      <c r="BK27" s="577">
        <v>50</v>
      </c>
      <c r="BL27" s="577">
        <v>1200</v>
      </c>
      <c r="BM27" s="577">
        <v>768</v>
      </c>
      <c r="BN27" s="577">
        <v>200</v>
      </c>
      <c r="BO27" s="577">
        <v>2800</v>
      </c>
      <c r="BP27" s="577">
        <v>1792</v>
      </c>
      <c r="BQ27" s="579">
        <f t="shared" si="4"/>
        <v>5801</v>
      </c>
      <c r="BR27" s="579">
        <f t="shared" si="4"/>
        <v>80414</v>
      </c>
      <c r="BS27" s="579">
        <f t="shared" si="4"/>
        <v>62800.160000000003</v>
      </c>
      <c r="BT27" s="579">
        <f t="shared" si="5"/>
        <v>45</v>
      </c>
      <c r="BU27" s="579">
        <f t="shared" si="6"/>
        <v>540</v>
      </c>
      <c r="BV27" s="579">
        <f t="shared" si="7"/>
        <v>540</v>
      </c>
      <c r="BW27" s="579">
        <f t="shared" si="8"/>
        <v>483.41666666666669</v>
      </c>
      <c r="BX27" s="579">
        <f t="shared" si="8"/>
        <v>6701.166666666667</v>
      </c>
      <c r="BY27" s="579">
        <f t="shared" si="8"/>
        <v>5233.3466666666673</v>
      </c>
      <c r="BZ27" s="577">
        <v>0</v>
      </c>
      <c r="CA27" s="572">
        <v>0</v>
      </c>
      <c r="CB27" s="572">
        <v>0</v>
      </c>
      <c r="CC27" s="287">
        <v>580</v>
      </c>
      <c r="CD27" s="287">
        <v>8920</v>
      </c>
      <c r="CE27" s="287">
        <v>5708.8</v>
      </c>
      <c r="CF27" s="572"/>
      <c r="CG27" s="572"/>
      <c r="CH27" s="572"/>
      <c r="CI27" s="572"/>
      <c r="CJ27" s="572"/>
      <c r="CK27" s="572"/>
      <c r="CL27" s="572"/>
      <c r="CM27" s="572"/>
      <c r="CN27" s="572"/>
      <c r="CO27" s="572"/>
      <c r="CP27" s="572"/>
      <c r="CQ27" s="572"/>
      <c r="CR27" s="572"/>
      <c r="CS27" s="572"/>
      <c r="CT27" s="572"/>
      <c r="CU27" s="572"/>
      <c r="CV27" s="572"/>
      <c r="CW27" s="572"/>
      <c r="CX27" s="572"/>
      <c r="CY27" s="572"/>
      <c r="CZ27" s="572"/>
      <c r="DA27" s="572"/>
      <c r="DB27" s="572"/>
      <c r="DC27" s="572"/>
      <c r="DD27" s="572"/>
      <c r="DE27" s="572"/>
      <c r="DF27" s="572"/>
      <c r="DG27" s="572"/>
      <c r="DH27" s="572"/>
      <c r="DI27" s="572"/>
      <c r="DJ27" s="580">
        <f t="shared" si="9"/>
        <v>580</v>
      </c>
      <c r="DK27" s="580">
        <f t="shared" si="9"/>
        <v>8920</v>
      </c>
      <c r="DL27" s="580">
        <f t="shared" si="9"/>
        <v>5708.8</v>
      </c>
      <c r="DM27" s="664">
        <f t="shared" si="10"/>
        <v>290</v>
      </c>
      <c r="DN27" s="664">
        <f t="shared" si="11"/>
        <v>4460</v>
      </c>
      <c r="DO27" s="665">
        <f t="shared" si="12"/>
        <v>2854.4</v>
      </c>
      <c r="DP27" s="583"/>
      <c r="DQ27" s="817">
        <f t="shared" si="14"/>
        <v>-45.45746380264</v>
      </c>
      <c r="DR27" s="820" t="s">
        <v>324</v>
      </c>
    </row>
    <row r="28" spans="1:122">
      <c r="A28" s="572">
        <v>25</v>
      </c>
      <c r="B28" s="572" t="s">
        <v>263</v>
      </c>
      <c r="C28" s="572" t="s">
        <v>264</v>
      </c>
      <c r="D28" s="572" t="s">
        <v>265</v>
      </c>
      <c r="E28" s="572" t="s">
        <v>108</v>
      </c>
      <c r="F28" s="572" t="s">
        <v>346</v>
      </c>
      <c r="G28" s="575">
        <v>1100</v>
      </c>
      <c r="H28" s="575">
        <v>15400</v>
      </c>
      <c r="I28" s="575">
        <v>1000</v>
      </c>
      <c r="J28" s="575">
        <v>14000</v>
      </c>
      <c r="K28" s="575">
        <v>450</v>
      </c>
      <c r="L28" s="575">
        <v>6300</v>
      </c>
      <c r="M28" s="575">
        <v>400</v>
      </c>
      <c r="N28" s="575">
        <v>5600</v>
      </c>
      <c r="O28" s="575">
        <v>300</v>
      </c>
      <c r="P28" s="575">
        <v>4200</v>
      </c>
      <c r="Q28" s="575">
        <v>600</v>
      </c>
      <c r="R28" s="575">
        <v>8400</v>
      </c>
      <c r="S28" s="575">
        <v>300</v>
      </c>
      <c r="T28" s="575">
        <v>4200</v>
      </c>
      <c r="U28" s="575">
        <v>399</v>
      </c>
      <c r="V28" s="575">
        <v>5586</v>
      </c>
      <c r="W28" s="575">
        <v>650</v>
      </c>
      <c r="X28" s="575">
        <v>9100</v>
      </c>
      <c r="Y28" s="575">
        <v>212</v>
      </c>
      <c r="Z28" s="575">
        <v>2968</v>
      </c>
      <c r="AA28" s="575">
        <v>500</v>
      </c>
      <c r="AB28" s="575">
        <v>7000</v>
      </c>
      <c r="AC28" s="575">
        <v>850</v>
      </c>
      <c r="AD28" s="575">
        <v>11900</v>
      </c>
      <c r="AE28" s="576">
        <f t="shared" si="3"/>
        <v>6761</v>
      </c>
      <c r="AF28" s="576">
        <f t="shared" si="3"/>
        <v>94654</v>
      </c>
      <c r="AG28" s="577">
        <v>750</v>
      </c>
      <c r="AH28" s="577">
        <v>10400</v>
      </c>
      <c r="AI28" s="577">
        <v>6872</v>
      </c>
      <c r="AJ28" s="577">
        <v>765</v>
      </c>
      <c r="AK28" s="577">
        <v>11910</v>
      </c>
      <c r="AL28" s="577">
        <v>7838.4</v>
      </c>
      <c r="AM28" s="577">
        <v>500</v>
      </c>
      <c r="AN28" s="577">
        <v>7400</v>
      </c>
      <c r="AO28" s="577">
        <v>4952</v>
      </c>
      <c r="AP28" s="577">
        <v>780</v>
      </c>
      <c r="AQ28" s="577">
        <v>10920</v>
      </c>
      <c r="AR28" s="577">
        <v>6988.8</v>
      </c>
      <c r="AS28" s="577">
        <v>800</v>
      </c>
      <c r="AT28" s="577">
        <v>12000</v>
      </c>
      <c r="AU28" s="577">
        <v>8112</v>
      </c>
      <c r="AV28" s="577">
        <v>905</v>
      </c>
      <c r="AW28" s="577">
        <v>12670</v>
      </c>
      <c r="AX28" s="577">
        <v>8108.8000000000011</v>
      </c>
      <c r="AY28" s="577">
        <v>300</v>
      </c>
      <c r="AZ28" s="577">
        <v>4200</v>
      </c>
      <c r="BA28" s="577">
        <v>2688</v>
      </c>
      <c r="BB28" s="577">
        <v>380</v>
      </c>
      <c r="BC28" s="577">
        <v>5320</v>
      </c>
      <c r="BD28" s="577">
        <v>3404.8</v>
      </c>
      <c r="BE28" s="577">
        <v>300</v>
      </c>
      <c r="BF28" s="578">
        <v>4200</v>
      </c>
      <c r="BG28" s="577">
        <v>2688</v>
      </c>
      <c r="BH28" s="577">
        <v>720</v>
      </c>
      <c r="BI28" s="577">
        <v>10080</v>
      </c>
      <c r="BJ28" s="577">
        <v>6451.2</v>
      </c>
      <c r="BK28" s="577">
        <v>380</v>
      </c>
      <c r="BL28" s="577">
        <v>5320</v>
      </c>
      <c r="BM28" s="577">
        <v>3404.8</v>
      </c>
      <c r="BN28" s="577">
        <v>375</v>
      </c>
      <c r="BO28" s="577">
        <v>4850</v>
      </c>
      <c r="BP28" s="577">
        <v>3968</v>
      </c>
      <c r="BQ28" s="579">
        <f t="shared" si="4"/>
        <v>6955</v>
      </c>
      <c r="BR28" s="579">
        <f t="shared" si="4"/>
        <v>99270</v>
      </c>
      <c r="BS28" s="579">
        <f t="shared" si="4"/>
        <v>65476.800000000003</v>
      </c>
      <c r="BT28" s="579">
        <f t="shared" si="5"/>
        <v>757.5</v>
      </c>
      <c r="BU28" s="579">
        <f t="shared" si="6"/>
        <v>11155</v>
      </c>
      <c r="BV28" s="579">
        <f t="shared" si="7"/>
        <v>7355.2</v>
      </c>
      <c r="BW28" s="579">
        <f t="shared" si="8"/>
        <v>579.58333333333337</v>
      </c>
      <c r="BX28" s="579">
        <f t="shared" si="8"/>
        <v>8272.5</v>
      </c>
      <c r="BY28" s="579">
        <f t="shared" si="8"/>
        <v>5456.4000000000005</v>
      </c>
      <c r="BZ28" s="577">
        <v>550</v>
      </c>
      <c r="CA28" s="572">
        <v>7700</v>
      </c>
      <c r="CB28" s="572">
        <v>4928</v>
      </c>
      <c r="CC28" s="287">
        <v>0</v>
      </c>
      <c r="CD28" s="287">
        <v>0</v>
      </c>
      <c r="CE28" s="287">
        <v>0</v>
      </c>
      <c r="CF28" s="572"/>
      <c r="CG28" s="572"/>
      <c r="CH28" s="572"/>
      <c r="CI28" s="572"/>
      <c r="CJ28" s="572"/>
      <c r="CK28" s="572"/>
      <c r="CL28" s="572"/>
      <c r="CM28" s="572"/>
      <c r="CN28" s="572"/>
      <c r="CO28" s="572"/>
      <c r="CP28" s="572"/>
      <c r="CQ28" s="572"/>
      <c r="CR28" s="572"/>
      <c r="CS28" s="572"/>
      <c r="CT28" s="572"/>
      <c r="CU28" s="572"/>
      <c r="CV28" s="572"/>
      <c r="CW28" s="572"/>
      <c r="CX28" s="572"/>
      <c r="CY28" s="572"/>
      <c r="CZ28" s="572"/>
      <c r="DA28" s="572"/>
      <c r="DB28" s="572"/>
      <c r="DC28" s="572"/>
      <c r="DD28" s="572"/>
      <c r="DE28" s="572"/>
      <c r="DF28" s="572"/>
      <c r="DG28" s="572"/>
      <c r="DH28" s="572"/>
      <c r="DI28" s="572"/>
      <c r="DJ28" s="580">
        <f t="shared" si="9"/>
        <v>550</v>
      </c>
      <c r="DK28" s="580">
        <f t="shared" si="9"/>
        <v>7700</v>
      </c>
      <c r="DL28" s="580">
        <f t="shared" si="9"/>
        <v>4928</v>
      </c>
      <c r="DM28" s="664">
        <f t="shared" si="10"/>
        <v>275</v>
      </c>
      <c r="DN28" s="664">
        <f t="shared" si="11"/>
        <v>3850</v>
      </c>
      <c r="DO28" s="665">
        <f t="shared" si="12"/>
        <v>2464</v>
      </c>
      <c r="DP28" s="582">
        <f t="shared" si="13"/>
        <v>-66.499891233413095</v>
      </c>
      <c r="DQ28" s="817">
        <f t="shared" si="14"/>
        <v>-54.842020379737562</v>
      </c>
      <c r="DR28" s="820" t="s">
        <v>324</v>
      </c>
    </row>
    <row r="29" spans="1:122">
      <c r="A29" s="572">
        <v>24</v>
      </c>
      <c r="B29" s="572" t="s">
        <v>273</v>
      </c>
      <c r="C29" s="572" t="s">
        <v>274</v>
      </c>
      <c r="D29" s="572" t="s">
        <v>268</v>
      </c>
      <c r="E29" s="572" t="s">
        <v>107</v>
      </c>
      <c r="F29" s="572" t="s">
        <v>220</v>
      </c>
      <c r="G29" s="575">
        <v>305</v>
      </c>
      <c r="H29" s="575">
        <v>4160</v>
      </c>
      <c r="I29" s="575">
        <v>625</v>
      </c>
      <c r="J29" s="575">
        <v>8480</v>
      </c>
      <c r="K29" s="575">
        <v>300</v>
      </c>
      <c r="L29" s="575">
        <v>4140</v>
      </c>
      <c r="M29" s="575">
        <v>100</v>
      </c>
      <c r="N29" s="575">
        <v>2400</v>
      </c>
      <c r="O29" s="575">
        <v>300</v>
      </c>
      <c r="P29" s="575">
        <v>4200</v>
      </c>
      <c r="Q29" s="575">
        <v>300</v>
      </c>
      <c r="R29" s="575">
        <v>4100</v>
      </c>
      <c r="S29" s="575">
        <v>605</v>
      </c>
      <c r="T29" s="575">
        <v>8340</v>
      </c>
      <c r="U29" s="575">
        <v>305</v>
      </c>
      <c r="V29" s="575">
        <v>4100</v>
      </c>
      <c r="W29" s="575">
        <v>300</v>
      </c>
      <c r="X29" s="575">
        <v>4140</v>
      </c>
      <c r="Y29" s="575">
        <v>600</v>
      </c>
      <c r="Z29" s="575">
        <v>8180</v>
      </c>
      <c r="AA29" s="575">
        <v>300</v>
      </c>
      <c r="AB29" s="575">
        <v>4020</v>
      </c>
      <c r="AC29" s="575">
        <v>250</v>
      </c>
      <c r="AD29" s="575">
        <v>3760</v>
      </c>
      <c r="AE29" s="576">
        <f t="shared" si="3"/>
        <v>4290</v>
      </c>
      <c r="AF29" s="576">
        <f t="shared" si="3"/>
        <v>60020</v>
      </c>
      <c r="AG29" s="577">
        <v>575</v>
      </c>
      <c r="AH29" s="577">
        <v>8920</v>
      </c>
      <c r="AI29" s="577">
        <v>5971.6</v>
      </c>
      <c r="AJ29" s="577">
        <v>305</v>
      </c>
      <c r="AK29" s="577">
        <v>4140</v>
      </c>
      <c r="AL29" s="577">
        <v>2912.4</v>
      </c>
      <c r="AM29" s="577">
        <v>565</v>
      </c>
      <c r="AN29" s="577">
        <v>8580</v>
      </c>
      <c r="AO29" s="577">
        <v>6150</v>
      </c>
      <c r="AP29" s="577">
        <v>200</v>
      </c>
      <c r="AQ29" s="577">
        <v>3300</v>
      </c>
      <c r="AR29" s="577">
        <v>2112</v>
      </c>
      <c r="AS29" s="577">
        <v>240</v>
      </c>
      <c r="AT29" s="577">
        <v>4140</v>
      </c>
      <c r="AU29" s="577">
        <v>3088.8</v>
      </c>
      <c r="AV29" s="577">
        <v>0</v>
      </c>
      <c r="AW29" s="577">
        <v>0</v>
      </c>
      <c r="AX29" s="577">
        <v>0</v>
      </c>
      <c r="AY29" s="577">
        <v>370</v>
      </c>
      <c r="AZ29" s="577">
        <v>5290</v>
      </c>
      <c r="BA29" s="577">
        <v>4132</v>
      </c>
      <c r="BB29" s="577">
        <v>300</v>
      </c>
      <c r="BC29" s="577">
        <v>4000</v>
      </c>
      <c r="BD29" s="577">
        <v>2992</v>
      </c>
      <c r="BE29" s="577">
        <v>85</v>
      </c>
      <c r="BF29" s="578">
        <v>1680</v>
      </c>
      <c r="BG29" s="577">
        <v>1078.8</v>
      </c>
      <c r="BH29" s="577">
        <v>0</v>
      </c>
      <c r="BI29" s="577">
        <v>0</v>
      </c>
      <c r="BJ29" s="577">
        <v>0</v>
      </c>
      <c r="BK29" s="577">
        <v>135</v>
      </c>
      <c r="BL29" s="577">
        <v>2180</v>
      </c>
      <c r="BM29" s="577">
        <v>1416.8</v>
      </c>
      <c r="BN29" s="577">
        <v>250</v>
      </c>
      <c r="BO29" s="577">
        <v>3200</v>
      </c>
      <c r="BP29" s="577">
        <v>2696</v>
      </c>
      <c r="BQ29" s="579">
        <f t="shared" si="4"/>
        <v>3025</v>
      </c>
      <c r="BR29" s="579">
        <f t="shared" si="4"/>
        <v>45430</v>
      </c>
      <c r="BS29" s="579">
        <f t="shared" si="4"/>
        <v>32550.399999999998</v>
      </c>
      <c r="BT29" s="579">
        <f t="shared" si="5"/>
        <v>440</v>
      </c>
      <c r="BU29" s="579">
        <f t="shared" si="6"/>
        <v>6530</v>
      </c>
      <c r="BV29" s="579">
        <f t="shared" si="7"/>
        <v>4442</v>
      </c>
      <c r="BW29" s="579">
        <f t="shared" si="8"/>
        <v>252.08333333333334</v>
      </c>
      <c r="BX29" s="579">
        <f t="shared" si="8"/>
        <v>3785.8333333333335</v>
      </c>
      <c r="BY29" s="579">
        <f t="shared" si="8"/>
        <v>2712.5333333333333</v>
      </c>
      <c r="BZ29" s="579"/>
      <c r="CA29" s="572"/>
      <c r="CB29" s="572"/>
      <c r="CC29" s="287"/>
      <c r="CD29" s="287"/>
      <c r="CE29" s="287"/>
      <c r="CF29" s="572"/>
      <c r="CG29" s="572"/>
      <c r="CH29" s="572"/>
      <c r="CI29" s="572"/>
      <c r="CJ29" s="572"/>
      <c r="CK29" s="572"/>
      <c r="CL29" s="572"/>
      <c r="CM29" s="572"/>
      <c r="CN29" s="572"/>
      <c r="CO29" s="572"/>
      <c r="CP29" s="572"/>
      <c r="CQ29" s="572"/>
      <c r="CR29" s="572"/>
      <c r="CS29" s="572"/>
      <c r="CT29" s="572"/>
      <c r="CU29" s="572"/>
      <c r="CV29" s="572"/>
      <c r="CW29" s="572"/>
      <c r="CX29" s="572"/>
      <c r="CY29" s="572"/>
      <c r="CZ29" s="572"/>
      <c r="DA29" s="572"/>
      <c r="DB29" s="572"/>
      <c r="DC29" s="572"/>
      <c r="DD29" s="572"/>
      <c r="DE29" s="572"/>
      <c r="DF29" s="572"/>
      <c r="DG29" s="572"/>
      <c r="DH29" s="572"/>
      <c r="DI29" s="572"/>
      <c r="DJ29" s="580">
        <f t="shared" si="9"/>
        <v>0</v>
      </c>
      <c r="DK29" s="580">
        <f t="shared" si="9"/>
        <v>0</v>
      </c>
      <c r="DL29" s="580">
        <f t="shared" si="9"/>
        <v>0</v>
      </c>
      <c r="DM29" s="664">
        <f t="shared" si="10"/>
        <v>0</v>
      </c>
      <c r="DN29" s="664">
        <f t="shared" si="11"/>
        <v>0</v>
      </c>
      <c r="DO29" s="665">
        <f t="shared" si="12"/>
        <v>0</v>
      </c>
      <c r="DP29" s="582">
        <f t="shared" si="13"/>
        <v>-100</v>
      </c>
      <c r="DQ29" s="817">
        <f t="shared" si="14"/>
        <v>-100</v>
      </c>
      <c r="DR29" s="820" t="s">
        <v>324</v>
      </c>
    </row>
    <row r="30" spans="1:122" s="587" customFormat="1">
      <c r="A30" s="866" t="s">
        <v>277</v>
      </c>
      <c r="B30" s="866"/>
      <c r="C30" s="866"/>
      <c r="D30" s="866"/>
      <c r="E30" s="866"/>
      <c r="F30" s="866"/>
      <c r="G30" s="581">
        <f>SUM(G4:G29)</f>
        <v>56060</v>
      </c>
      <c r="H30" s="581">
        <f t="shared" ref="H30:BP30" si="15">SUM(H4:H29)</f>
        <v>867731</v>
      </c>
      <c r="I30" s="581">
        <f t="shared" si="15"/>
        <v>43368</v>
      </c>
      <c r="J30" s="581">
        <f t="shared" si="15"/>
        <v>683544</v>
      </c>
      <c r="K30" s="581">
        <f t="shared" si="15"/>
        <v>44170</v>
      </c>
      <c r="L30" s="581">
        <f t="shared" si="15"/>
        <v>693618</v>
      </c>
      <c r="M30" s="581">
        <f t="shared" si="15"/>
        <v>41593</v>
      </c>
      <c r="N30" s="581">
        <f t="shared" si="15"/>
        <v>644518</v>
      </c>
      <c r="O30" s="581">
        <f t="shared" si="15"/>
        <v>46338</v>
      </c>
      <c r="P30" s="581">
        <f t="shared" si="15"/>
        <v>734660</v>
      </c>
      <c r="Q30" s="581">
        <f t="shared" si="15"/>
        <v>45743</v>
      </c>
      <c r="R30" s="581">
        <f t="shared" si="15"/>
        <v>715304</v>
      </c>
      <c r="S30" s="581">
        <f t="shared" si="15"/>
        <v>47787</v>
      </c>
      <c r="T30" s="581">
        <f t="shared" si="15"/>
        <v>754136</v>
      </c>
      <c r="U30" s="581">
        <f t="shared" si="15"/>
        <v>46604</v>
      </c>
      <c r="V30" s="581">
        <f t="shared" si="15"/>
        <v>737062</v>
      </c>
      <c r="W30" s="581">
        <f t="shared" si="15"/>
        <v>50416</v>
      </c>
      <c r="X30" s="581">
        <f t="shared" si="15"/>
        <v>799388</v>
      </c>
      <c r="Y30" s="581">
        <f t="shared" si="15"/>
        <v>52801</v>
      </c>
      <c r="Z30" s="581">
        <f t="shared" si="15"/>
        <v>834646</v>
      </c>
      <c r="AA30" s="581">
        <f t="shared" si="15"/>
        <v>51355</v>
      </c>
      <c r="AB30" s="581">
        <f t="shared" si="15"/>
        <v>830988</v>
      </c>
      <c r="AC30" s="581">
        <f t="shared" si="15"/>
        <v>56866</v>
      </c>
      <c r="AD30" s="581">
        <f t="shared" si="15"/>
        <v>898928</v>
      </c>
      <c r="AE30" s="585">
        <f t="shared" si="3"/>
        <v>583101</v>
      </c>
      <c r="AF30" s="585">
        <f t="shared" si="3"/>
        <v>9194523</v>
      </c>
      <c r="AG30" s="581">
        <f t="shared" si="15"/>
        <v>52449</v>
      </c>
      <c r="AH30" s="581">
        <f t="shared" si="15"/>
        <v>833902</v>
      </c>
      <c r="AI30" s="581">
        <f t="shared" si="15"/>
        <v>541971.99999999988</v>
      </c>
      <c r="AJ30" s="581">
        <f t="shared" si="15"/>
        <v>44693</v>
      </c>
      <c r="AK30" s="581">
        <f t="shared" si="15"/>
        <v>711314</v>
      </c>
      <c r="AL30" s="581">
        <f t="shared" si="15"/>
        <v>459680.24000000011</v>
      </c>
      <c r="AM30" s="581">
        <f t="shared" si="15"/>
        <v>56355.642857142855</v>
      </c>
      <c r="AN30" s="581">
        <f t="shared" si="15"/>
        <v>893767</v>
      </c>
      <c r="AO30" s="581">
        <f t="shared" si="15"/>
        <v>589652.26</v>
      </c>
      <c r="AP30" s="581">
        <f t="shared" si="15"/>
        <v>44618</v>
      </c>
      <c r="AQ30" s="581">
        <f t="shared" si="15"/>
        <v>715515</v>
      </c>
      <c r="AR30" s="581">
        <f t="shared" si="15"/>
        <v>465623.09999999992</v>
      </c>
      <c r="AS30" s="581">
        <f t="shared" si="15"/>
        <v>48539.208333333336</v>
      </c>
      <c r="AT30" s="581">
        <f t="shared" si="15"/>
        <v>769331</v>
      </c>
      <c r="AU30" s="581">
        <f t="shared" si="15"/>
        <v>501998.95</v>
      </c>
      <c r="AV30" s="581">
        <f t="shared" si="15"/>
        <v>49277.5</v>
      </c>
      <c r="AW30" s="581">
        <f t="shared" si="15"/>
        <v>779498</v>
      </c>
      <c r="AX30" s="581">
        <f t="shared" si="15"/>
        <v>506865.55999999988</v>
      </c>
      <c r="AY30" s="581">
        <f t="shared" si="15"/>
        <v>47373</v>
      </c>
      <c r="AZ30" s="581">
        <f t="shared" si="15"/>
        <v>754474</v>
      </c>
      <c r="BA30" s="581">
        <f t="shared" si="15"/>
        <v>494842.95999999996</v>
      </c>
      <c r="BB30" s="581">
        <f t="shared" si="15"/>
        <v>46751</v>
      </c>
      <c r="BC30" s="581">
        <f t="shared" si="15"/>
        <v>741072</v>
      </c>
      <c r="BD30" s="581">
        <f t="shared" si="15"/>
        <v>483141.60000000003</v>
      </c>
      <c r="BE30" s="581">
        <f t="shared" si="15"/>
        <v>48864</v>
      </c>
      <c r="BF30" s="581">
        <f t="shared" si="15"/>
        <v>768070</v>
      </c>
      <c r="BG30" s="581">
        <f t="shared" si="15"/>
        <v>511647.76000000007</v>
      </c>
      <c r="BH30" s="581">
        <f t="shared" si="15"/>
        <v>51709</v>
      </c>
      <c r="BI30" s="581">
        <f t="shared" si="15"/>
        <v>817874</v>
      </c>
      <c r="BJ30" s="581">
        <f t="shared" si="15"/>
        <v>540786.56000000006</v>
      </c>
      <c r="BK30" s="581">
        <f t="shared" si="15"/>
        <v>53079</v>
      </c>
      <c r="BL30" s="581">
        <f t="shared" si="15"/>
        <v>836758</v>
      </c>
      <c r="BM30" s="581">
        <f t="shared" si="15"/>
        <v>548361.28000000014</v>
      </c>
      <c r="BN30" s="581">
        <f t="shared" si="15"/>
        <v>52970</v>
      </c>
      <c r="BO30" s="581">
        <f t="shared" si="15"/>
        <v>844104</v>
      </c>
      <c r="BP30" s="581">
        <f t="shared" si="15"/>
        <v>552647.99999999988</v>
      </c>
      <c r="BQ30" s="586">
        <f t="shared" si="4"/>
        <v>596678.35119047621</v>
      </c>
      <c r="BR30" s="586">
        <f t="shared" si="4"/>
        <v>9465679</v>
      </c>
      <c r="BS30" s="586">
        <f t="shared" si="4"/>
        <v>6197220.2700000005</v>
      </c>
      <c r="BT30" s="586">
        <f t="shared" ref="BT30:BY30" si="16">SUM(BT4:BT29)</f>
        <v>48571</v>
      </c>
      <c r="BU30" s="586">
        <f t="shared" si="16"/>
        <v>772608</v>
      </c>
      <c r="BV30" s="586">
        <f t="shared" si="16"/>
        <v>500826.12</v>
      </c>
      <c r="BW30" s="586">
        <f>SUM(BW4:BW29)</f>
        <v>49723.195932539675</v>
      </c>
      <c r="BX30" s="586">
        <f t="shared" si="16"/>
        <v>788806.58333333337</v>
      </c>
      <c r="BY30" s="586">
        <f t="shared" si="16"/>
        <v>516435.02250000002</v>
      </c>
      <c r="BZ30" s="586">
        <f>SUM(BZ4:BZ29)</f>
        <v>46114</v>
      </c>
      <c r="CA30" s="586">
        <f t="shared" ref="CA30:DO30" si="17">SUM(CA4:CA29)</f>
        <v>729352</v>
      </c>
      <c r="CB30" s="586">
        <f t="shared" si="17"/>
        <v>479839.11999999988</v>
      </c>
      <c r="CC30" s="586">
        <f t="shared" si="17"/>
        <v>40679</v>
      </c>
      <c r="CD30" s="586">
        <f t="shared" si="17"/>
        <v>650576</v>
      </c>
      <c r="CE30" s="586">
        <f t="shared" si="17"/>
        <v>425536.39999999997</v>
      </c>
      <c r="CF30" s="586">
        <f t="shared" si="17"/>
        <v>0</v>
      </c>
      <c r="CG30" s="586">
        <f t="shared" si="17"/>
        <v>0</v>
      </c>
      <c r="CH30" s="586">
        <f t="shared" si="17"/>
        <v>0</v>
      </c>
      <c r="CI30" s="586">
        <f t="shared" si="17"/>
        <v>0</v>
      </c>
      <c r="CJ30" s="586">
        <f t="shared" si="17"/>
        <v>0</v>
      </c>
      <c r="CK30" s="586">
        <f t="shared" si="17"/>
        <v>0</v>
      </c>
      <c r="CL30" s="586">
        <f t="shared" si="17"/>
        <v>0</v>
      </c>
      <c r="CM30" s="586">
        <f t="shared" si="17"/>
        <v>0</v>
      </c>
      <c r="CN30" s="586">
        <f t="shared" si="17"/>
        <v>0</v>
      </c>
      <c r="CO30" s="586">
        <f t="shared" si="17"/>
        <v>0</v>
      </c>
      <c r="CP30" s="586">
        <f t="shared" si="17"/>
        <v>0</v>
      </c>
      <c r="CQ30" s="586">
        <f t="shared" si="17"/>
        <v>0</v>
      </c>
      <c r="CR30" s="586">
        <f t="shared" si="17"/>
        <v>0</v>
      </c>
      <c r="CS30" s="586">
        <f t="shared" si="17"/>
        <v>0</v>
      </c>
      <c r="CT30" s="586">
        <f t="shared" si="17"/>
        <v>0</v>
      </c>
      <c r="CU30" s="586">
        <f t="shared" si="17"/>
        <v>0</v>
      </c>
      <c r="CV30" s="586">
        <f t="shared" si="17"/>
        <v>0</v>
      </c>
      <c r="CW30" s="586">
        <f t="shared" si="17"/>
        <v>0</v>
      </c>
      <c r="CX30" s="586">
        <f t="shared" si="17"/>
        <v>0</v>
      </c>
      <c r="CY30" s="586">
        <f t="shared" si="17"/>
        <v>0</v>
      </c>
      <c r="CZ30" s="586">
        <f t="shared" si="17"/>
        <v>0</v>
      </c>
      <c r="DA30" s="586">
        <f t="shared" si="17"/>
        <v>0</v>
      </c>
      <c r="DB30" s="586">
        <f t="shared" si="17"/>
        <v>0</v>
      </c>
      <c r="DC30" s="586">
        <f t="shared" si="17"/>
        <v>0</v>
      </c>
      <c r="DD30" s="586">
        <f t="shared" si="17"/>
        <v>0</v>
      </c>
      <c r="DE30" s="586">
        <f t="shared" si="17"/>
        <v>0</v>
      </c>
      <c r="DF30" s="586">
        <f t="shared" si="17"/>
        <v>0</v>
      </c>
      <c r="DG30" s="586">
        <f t="shared" si="17"/>
        <v>0</v>
      </c>
      <c r="DH30" s="586">
        <f t="shared" si="17"/>
        <v>0</v>
      </c>
      <c r="DI30" s="586">
        <f t="shared" si="17"/>
        <v>0</v>
      </c>
      <c r="DJ30" s="586">
        <f t="shared" si="17"/>
        <v>86793</v>
      </c>
      <c r="DK30" s="586">
        <f t="shared" si="17"/>
        <v>1379928</v>
      </c>
      <c r="DL30" s="586">
        <f t="shared" si="17"/>
        <v>905375.52000000014</v>
      </c>
      <c r="DM30" s="586">
        <f t="shared" si="17"/>
        <v>43396.5</v>
      </c>
      <c r="DN30" s="586">
        <f t="shared" si="17"/>
        <v>689964</v>
      </c>
      <c r="DO30" s="586">
        <f t="shared" si="17"/>
        <v>452687.76000000007</v>
      </c>
      <c r="DP30" s="582">
        <f t="shared" si="13"/>
        <v>-9.6117910144143224</v>
      </c>
      <c r="DQ30" s="817">
        <f t="shared" si="14"/>
        <v>-12.343714063273069</v>
      </c>
      <c r="DR30" s="820" t="s">
        <v>324</v>
      </c>
    </row>
    <row r="31" spans="1:122">
      <c r="A31" s="572">
        <v>1</v>
      </c>
      <c r="B31" s="572" t="s">
        <v>278</v>
      </c>
      <c r="C31" s="572" t="s">
        <v>279</v>
      </c>
      <c r="D31" s="572" t="s">
        <v>216</v>
      </c>
      <c r="E31" s="572" t="s">
        <v>217</v>
      </c>
      <c r="F31" s="572" t="s">
        <v>280</v>
      </c>
      <c r="G31" s="575">
        <v>325</v>
      </c>
      <c r="H31" s="575">
        <v>5500</v>
      </c>
      <c r="I31" s="575">
        <v>45</v>
      </c>
      <c r="J31" s="575">
        <v>1080</v>
      </c>
      <c r="K31" s="575">
        <v>165</v>
      </c>
      <c r="L31" s="575">
        <v>360</v>
      </c>
      <c r="M31" s="575">
        <v>125</v>
      </c>
      <c r="N31" s="575">
        <v>2300</v>
      </c>
      <c r="O31" s="575">
        <v>65</v>
      </c>
      <c r="P31" s="575">
        <v>1160</v>
      </c>
      <c r="Q31" s="575">
        <v>130</v>
      </c>
      <c r="R31" s="575">
        <v>2320</v>
      </c>
      <c r="S31" s="575">
        <v>55</v>
      </c>
      <c r="T31" s="575">
        <v>1120</v>
      </c>
      <c r="U31" s="575">
        <v>60</v>
      </c>
      <c r="V31" s="575">
        <v>1140</v>
      </c>
      <c r="W31" s="575">
        <v>130</v>
      </c>
      <c r="X31" s="575">
        <v>2320</v>
      </c>
      <c r="Y31" s="575">
        <v>135</v>
      </c>
      <c r="Z31" s="575">
        <v>2340</v>
      </c>
      <c r="AA31" s="575">
        <v>135</v>
      </c>
      <c r="AB31" s="575">
        <v>2340</v>
      </c>
      <c r="AC31" s="575">
        <v>165</v>
      </c>
      <c r="AD31" s="575">
        <v>3160</v>
      </c>
      <c r="AE31" s="576">
        <f t="shared" si="3"/>
        <v>1535</v>
      </c>
      <c r="AF31" s="576">
        <f t="shared" si="3"/>
        <v>25140</v>
      </c>
      <c r="AG31" s="577"/>
      <c r="AH31" s="577"/>
      <c r="AI31" s="577"/>
      <c r="AJ31" s="577"/>
      <c r="AK31" s="577"/>
      <c r="AL31" s="577"/>
      <c r="AM31" s="577">
        <v>270</v>
      </c>
      <c r="AN31" s="577">
        <v>5280</v>
      </c>
      <c r="AO31" s="577">
        <v>3379.2</v>
      </c>
      <c r="AP31" s="577">
        <v>190</v>
      </c>
      <c r="AQ31" s="577">
        <v>3210</v>
      </c>
      <c r="AR31" s="577">
        <v>2054.3999999999996</v>
      </c>
      <c r="AS31" s="577">
        <v>259</v>
      </c>
      <c r="AT31" s="577">
        <v>5126</v>
      </c>
      <c r="AU31" s="577">
        <v>3280.6400000000008</v>
      </c>
      <c r="AV31" s="577">
        <v>115</v>
      </c>
      <c r="AW31" s="577">
        <v>2060</v>
      </c>
      <c r="AX31" s="577">
        <v>1318.4</v>
      </c>
      <c r="AY31" s="577">
        <v>150</v>
      </c>
      <c r="AZ31" s="577">
        <v>2700</v>
      </c>
      <c r="BA31" s="577">
        <v>1728.0000000000002</v>
      </c>
      <c r="BB31" s="577">
        <v>141</v>
      </c>
      <c r="BC31" s="577">
        <v>2684</v>
      </c>
      <c r="BD31" s="577">
        <v>1717.7600000000002</v>
      </c>
      <c r="BE31" s="577">
        <v>95</v>
      </c>
      <c r="BF31" s="577">
        <v>2130</v>
      </c>
      <c r="BG31" s="577">
        <v>1363.2</v>
      </c>
      <c r="BH31" s="577">
        <v>85</v>
      </c>
      <c r="BI31" s="577">
        <v>1640</v>
      </c>
      <c r="BJ31" s="577">
        <v>1049.6000000000001</v>
      </c>
      <c r="BK31" s="577">
        <v>150</v>
      </c>
      <c r="BL31" s="577">
        <v>3000</v>
      </c>
      <c r="BM31" s="577">
        <v>1920.0000000000002</v>
      </c>
      <c r="BN31" s="577">
        <v>130</v>
      </c>
      <c r="BO31" s="577">
        <v>2320</v>
      </c>
      <c r="BP31" s="577">
        <v>1484.8000000000002</v>
      </c>
      <c r="BQ31" s="579">
        <f t="shared" si="4"/>
        <v>1585</v>
      </c>
      <c r="BR31" s="579">
        <f t="shared" si="4"/>
        <v>30150</v>
      </c>
      <c r="BS31" s="579">
        <f t="shared" si="4"/>
        <v>19296</v>
      </c>
      <c r="BT31" s="579">
        <f t="shared" ref="BT31" si="18">(AG31+AJ31)/2</f>
        <v>0</v>
      </c>
      <c r="BU31" s="579">
        <f t="shared" ref="BU31" si="19">(AH31+AK31)/2</f>
        <v>0</v>
      </c>
      <c r="BV31" s="579">
        <f t="shared" ref="BV31" si="20">(AI31+AL31)/2</f>
        <v>0</v>
      </c>
      <c r="BW31" s="588">
        <f>BQ31/12</f>
        <v>132.08333333333334</v>
      </c>
      <c r="BX31" s="579">
        <f t="shared" si="8"/>
        <v>2512.5</v>
      </c>
      <c r="BY31" s="579">
        <f t="shared" si="8"/>
        <v>1608</v>
      </c>
      <c r="BZ31" s="577">
        <v>180</v>
      </c>
      <c r="CA31" s="572">
        <v>3420</v>
      </c>
      <c r="CB31" s="572">
        <v>2188.8000000000002</v>
      </c>
      <c r="CC31" s="287">
        <v>10</v>
      </c>
      <c r="CD31" s="287">
        <v>240</v>
      </c>
      <c r="CE31" s="287">
        <v>153.6</v>
      </c>
      <c r="CF31" s="572"/>
      <c r="CG31" s="572"/>
      <c r="CH31" s="572"/>
      <c r="CI31" s="572"/>
      <c r="CJ31" s="572"/>
      <c r="CK31" s="572"/>
      <c r="CL31" s="572"/>
      <c r="CM31" s="572"/>
      <c r="CN31" s="572"/>
      <c r="CO31" s="572"/>
      <c r="CP31" s="572"/>
      <c r="CQ31" s="572"/>
      <c r="CR31" s="572"/>
      <c r="CS31" s="572"/>
      <c r="CT31" s="572"/>
      <c r="CU31" s="572"/>
      <c r="CV31" s="572"/>
      <c r="CW31" s="572"/>
      <c r="CX31" s="572"/>
      <c r="CY31" s="572"/>
      <c r="CZ31" s="572"/>
      <c r="DA31" s="572"/>
      <c r="DB31" s="572"/>
      <c r="DC31" s="572"/>
      <c r="DD31" s="572"/>
      <c r="DE31" s="572"/>
      <c r="DF31" s="572"/>
      <c r="DG31" s="572"/>
      <c r="DH31" s="572"/>
      <c r="DI31" s="572"/>
      <c r="DJ31" s="580">
        <f t="shared" si="9"/>
        <v>190</v>
      </c>
      <c r="DK31" s="580">
        <f t="shared" si="9"/>
        <v>3660</v>
      </c>
      <c r="DL31" s="580">
        <f t="shared" si="9"/>
        <v>2342.4</v>
      </c>
      <c r="DM31" s="664">
        <f t="shared" ref="DM31" si="21">DJ31/2</f>
        <v>95</v>
      </c>
      <c r="DN31" s="664">
        <f t="shared" ref="DN31" si="22">DK31/2</f>
        <v>1830</v>
      </c>
      <c r="DO31" s="665">
        <f t="shared" ref="DO31" si="23">DL31/2</f>
        <v>1171.2</v>
      </c>
      <c r="DP31" s="583"/>
      <c r="DQ31" s="817">
        <f t="shared" si="14"/>
        <v>-27.164179104477597</v>
      </c>
    </row>
    <row r="32" spans="1:122">
      <c r="A32" s="572">
        <v>2</v>
      </c>
      <c r="B32" s="572" t="s">
        <v>285</v>
      </c>
      <c r="C32" s="572" t="s">
        <v>286</v>
      </c>
      <c r="D32" s="572" t="s">
        <v>241</v>
      </c>
      <c r="E32" s="572" t="s">
        <v>151</v>
      </c>
      <c r="F32" s="572" t="s">
        <v>280</v>
      </c>
      <c r="G32" s="575">
        <v>200</v>
      </c>
      <c r="H32" s="575">
        <v>2800</v>
      </c>
      <c r="I32" s="575">
        <v>200</v>
      </c>
      <c r="J32" s="575">
        <v>2800</v>
      </c>
      <c r="K32" s="575">
        <v>200</v>
      </c>
      <c r="L32" s="575">
        <v>2800</v>
      </c>
      <c r="M32" s="575">
        <v>200</v>
      </c>
      <c r="N32" s="575">
        <v>2800</v>
      </c>
      <c r="O32" s="575"/>
      <c r="P32" s="575"/>
      <c r="Q32" s="575">
        <v>440</v>
      </c>
      <c r="R32" s="575">
        <v>6160</v>
      </c>
      <c r="S32" s="575">
        <v>200</v>
      </c>
      <c r="T32" s="575">
        <v>2800</v>
      </c>
      <c r="U32" s="575">
        <v>218</v>
      </c>
      <c r="V32" s="575">
        <v>3232</v>
      </c>
      <c r="W32" s="575">
        <v>200</v>
      </c>
      <c r="X32" s="575">
        <v>2800</v>
      </c>
      <c r="Y32" s="575">
        <v>200</v>
      </c>
      <c r="Z32" s="575">
        <v>2800</v>
      </c>
      <c r="AA32" s="575">
        <v>300</v>
      </c>
      <c r="AB32" s="575">
        <v>4200</v>
      </c>
      <c r="AC32" s="575">
        <v>200</v>
      </c>
      <c r="AD32" s="575">
        <v>2800</v>
      </c>
      <c r="AE32" s="576">
        <f t="shared" si="3"/>
        <v>2558</v>
      </c>
      <c r="AF32" s="576">
        <f t="shared" si="3"/>
        <v>35992</v>
      </c>
      <c r="AG32" s="577"/>
      <c r="AH32" s="577"/>
      <c r="AI32" s="577"/>
      <c r="AJ32" s="577"/>
      <c r="AK32" s="577"/>
      <c r="AL32" s="577"/>
      <c r="AM32" s="577">
        <v>200</v>
      </c>
      <c r="AN32" s="577">
        <v>2800</v>
      </c>
      <c r="AO32" s="577">
        <v>1792</v>
      </c>
      <c r="AP32" s="577">
        <v>300</v>
      </c>
      <c r="AQ32" s="577">
        <v>4200</v>
      </c>
      <c r="AR32" s="577">
        <v>2688</v>
      </c>
      <c r="AS32" s="577">
        <v>160</v>
      </c>
      <c r="AT32" s="577">
        <v>2340</v>
      </c>
      <c r="AU32" s="577">
        <v>1488</v>
      </c>
      <c r="AV32" s="577">
        <v>100</v>
      </c>
      <c r="AW32" s="577">
        <v>1400</v>
      </c>
      <c r="AX32" s="577">
        <v>896</v>
      </c>
      <c r="AY32" s="577">
        <v>100</v>
      </c>
      <c r="AZ32" s="577">
        <v>1400</v>
      </c>
      <c r="BA32" s="577">
        <v>896</v>
      </c>
      <c r="BB32" s="577">
        <v>200</v>
      </c>
      <c r="BC32" s="577">
        <v>2800</v>
      </c>
      <c r="BD32" s="577">
        <v>1792</v>
      </c>
      <c r="BE32" s="577">
        <v>100</v>
      </c>
      <c r="BF32" s="577">
        <v>1400</v>
      </c>
      <c r="BG32" s="577">
        <v>896</v>
      </c>
      <c r="BH32" s="577">
        <v>0</v>
      </c>
      <c r="BI32" s="577">
        <v>0</v>
      </c>
      <c r="BJ32" s="577">
        <v>0</v>
      </c>
      <c r="BK32" s="577">
        <v>0</v>
      </c>
      <c r="BL32" s="577">
        <v>0</v>
      </c>
      <c r="BM32" s="577">
        <v>0</v>
      </c>
      <c r="BN32" s="577"/>
      <c r="BO32" s="577"/>
      <c r="BP32" s="577"/>
      <c r="BQ32" s="579">
        <f t="shared" si="4"/>
        <v>1160</v>
      </c>
      <c r="BR32" s="579">
        <f t="shared" si="4"/>
        <v>16340</v>
      </c>
      <c r="BS32" s="579">
        <f t="shared" si="4"/>
        <v>10448</v>
      </c>
      <c r="BT32" s="579">
        <f t="shared" ref="BT32:BT45" si="24">(AG32+AJ32)/2</f>
        <v>0</v>
      </c>
      <c r="BU32" s="579">
        <f t="shared" ref="BU32:BU45" si="25">(AH32+AK32)/2</f>
        <v>0</v>
      </c>
      <c r="BV32" s="579">
        <f t="shared" ref="BV32:BV45" si="26">(AI32+AL32)/2</f>
        <v>0</v>
      </c>
      <c r="BW32" s="579">
        <f t="shared" si="8"/>
        <v>96.666666666666671</v>
      </c>
      <c r="BX32" s="579">
        <f t="shared" si="8"/>
        <v>1361.6666666666667</v>
      </c>
      <c r="BY32" s="579">
        <f t="shared" si="8"/>
        <v>870.66666666666663</v>
      </c>
      <c r="BZ32" s="577">
        <v>0</v>
      </c>
      <c r="CA32" s="572">
        <v>0</v>
      </c>
      <c r="CB32" s="572">
        <v>0</v>
      </c>
      <c r="CC32" s="287">
        <v>55</v>
      </c>
      <c r="CD32" s="287">
        <v>820</v>
      </c>
      <c r="CE32" s="287">
        <v>520</v>
      </c>
      <c r="CF32" s="572"/>
      <c r="CG32" s="572"/>
      <c r="CH32" s="572"/>
      <c r="CI32" s="572"/>
      <c r="CJ32" s="572"/>
      <c r="CK32" s="572"/>
      <c r="CL32" s="572"/>
      <c r="CM32" s="572"/>
      <c r="CN32" s="572"/>
      <c r="CO32" s="572"/>
      <c r="CP32" s="572"/>
      <c r="CQ32" s="572"/>
      <c r="CR32" s="572"/>
      <c r="CS32" s="572"/>
      <c r="CT32" s="572"/>
      <c r="CU32" s="572"/>
      <c r="CV32" s="572"/>
      <c r="CW32" s="572"/>
      <c r="CX32" s="572"/>
      <c r="CY32" s="572"/>
      <c r="CZ32" s="572"/>
      <c r="DA32" s="572"/>
      <c r="DB32" s="572"/>
      <c r="DC32" s="572"/>
      <c r="DD32" s="572"/>
      <c r="DE32" s="572"/>
      <c r="DF32" s="572"/>
      <c r="DG32" s="572"/>
      <c r="DH32" s="572"/>
      <c r="DI32" s="572"/>
      <c r="DJ32" s="580">
        <f t="shared" si="9"/>
        <v>55</v>
      </c>
      <c r="DK32" s="580">
        <f t="shared" si="9"/>
        <v>820</v>
      </c>
      <c r="DL32" s="580">
        <f t="shared" si="9"/>
        <v>520</v>
      </c>
      <c r="DM32" s="664">
        <f t="shared" ref="DM32:DM45" si="27">DJ32/2</f>
        <v>27.5</v>
      </c>
      <c r="DN32" s="664">
        <f t="shared" ref="DN32:DN45" si="28">DK32/2</f>
        <v>410</v>
      </c>
      <c r="DO32" s="665">
        <f t="shared" ref="DO32:DO45" si="29">DL32/2</f>
        <v>260</v>
      </c>
      <c r="DP32" s="583"/>
      <c r="DQ32" s="817">
        <f t="shared" si="14"/>
        <v>-70.137825421133229</v>
      </c>
      <c r="DR32" s="820" t="s">
        <v>324</v>
      </c>
    </row>
    <row r="33" spans="1:122">
      <c r="A33" s="572">
        <v>3</v>
      </c>
      <c r="B33" s="572" t="s">
        <v>289</v>
      </c>
      <c r="C33" s="572" t="s">
        <v>290</v>
      </c>
      <c r="D33" s="572" t="s">
        <v>291</v>
      </c>
      <c r="E33" s="572" t="s">
        <v>106</v>
      </c>
      <c r="F33" s="572" t="s">
        <v>280</v>
      </c>
      <c r="G33" s="575">
        <v>130</v>
      </c>
      <c r="H33" s="575">
        <v>2120</v>
      </c>
      <c r="I33" s="575">
        <v>149</v>
      </c>
      <c r="J33" s="575">
        <v>2096</v>
      </c>
      <c r="K33" s="575">
        <v>280</v>
      </c>
      <c r="L33" s="575">
        <v>4220</v>
      </c>
      <c r="M33" s="575">
        <v>180</v>
      </c>
      <c r="N33" s="575">
        <v>2820</v>
      </c>
      <c r="O33" s="575">
        <v>170</v>
      </c>
      <c r="P33" s="575">
        <v>2580</v>
      </c>
      <c r="Q33" s="575">
        <v>180</v>
      </c>
      <c r="R33" s="575">
        <v>2820</v>
      </c>
      <c r="S33" s="575">
        <v>440</v>
      </c>
      <c r="T33" s="575">
        <v>7060</v>
      </c>
      <c r="U33" s="575">
        <v>310</v>
      </c>
      <c r="V33" s="575">
        <v>5440</v>
      </c>
      <c r="W33" s="575">
        <v>30</v>
      </c>
      <c r="X33" s="575">
        <v>420</v>
      </c>
      <c r="Y33" s="575">
        <v>290</v>
      </c>
      <c r="Z33" s="575">
        <v>4960</v>
      </c>
      <c r="AA33" s="575">
        <v>180</v>
      </c>
      <c r="AB33" s="575">
        <v>2820</v>
      </c>
      <c r="AC33" s="575">
        <v>210</v>
      </c>
      <c r="AD33" s="575">
        <v>3540</v>
      </c>
      <c r="AE33" s="576">
        <f t="shared" si="3"/>
        <v>2549</v>
      </c>
      <c r="AF33" s="576">
        <f t="shared" si="3"/>
        <v>40896</v>
      </c>
      <c r="AG33" s="577"/>
      <c r="AH33" s="577"/>
      <c r="AI33" s="577"/>
      <c r="AJ33" s="577"/>
      <c r="AK33" s="577"/>
      <c r="AL33" s="577"/>
      <c r="AM33" s="577">
        <v>470</v>
      </c>
      <c r="AN33" s="577">
        <v>7780</v>
      </c>
      <c r="AO33" s="577">
        <v>4979.2</v>
      </c>
      <c r="AP33" s="577">
        <v>0</v>
      </c>
      <c r="AQ33" s="577">
        <v>0</v>
      </c>
      <c r="AR33" s="577">
        <v>0</v>
      </c>
      <c r="AS33" s="577">
        <v>370</v>
      </c>
      <c r="AT33" s="577">
        <v>6280</v>
      </c>
      <c r="AU33" s="577">
        <v>4019.2000000000003</v>
      </c>
      <c r="AV33" s="577">
        <v>210</v>
      </c>
      <c r="AW33" s="577">
        <v>3540</v>
      </c>
      <c r="AX33" s="577">
        <v>2265.6</v>
      </c>
      <c r="AY33" s="577">
        <v>210</v>
      </c>
      <c r="AZ33" s="577">
        <v>3540</v>
      </c>
      <c r="BA33" s="577">
        <v>2265.6000000000004</v>
      </c>
      <c r="BB33" s="577">
        <v>100</v>
      </c>
      <c r="BC33" s="577">
        <v>1400</v>
      </c>
      <c r="BD33" s="577">
        <v>896</v>
      </c>
      <c r="BE33" s="577">
        <v>250</v>
      </c>
      <c r="BF33" s="577">
        <v>4000</v>
      </c>
      <c r="BG33" s="577">
        <v>2560.0000000000005</v>
      </c>
      <c r="BH33" s="577">
        <v>250</v>
      </c>
      <c r="BI33" s="577">
        <v>3500</v>
      </c>
      <c r="BJ33" s="577">
        <v>2240</v>
      </c>
      <c r="BK33" s="577">
        <v>0</v>
      </c>
      <c r="BL33" s="577">
        <v>0</v>
      </c>
      <c r="BM33" s="577">
        <v>0</v>
      </c>
      <c r="BN33" s="577">
        <v>209</v>
      </c>
      <c r="BO33" s="577">
        <v>3016</v>
      </c>
      <c r="BP33" s="577">
        <v>1930.24</v>
      </c>
      <c r="BQ33" s="579">
        <f t="shared" si="4"/>
        <v>2069</v>
      </c>
      <c r="BR33" s="579">
        <f t="shared" si="4"/>
        <v>33056</v>
      </c>
      <c r="BS33" s="579">
        <f t="shared" si="4"/>
        <v>21155.840000000004</v>
      </c>
      <c r="BT33" s="579">
        <f t="shared" si="24"/>
        <v>0</v>
      </c>
      <c r="BU33" s="579">
        <f t="shared" si="25"/>
        <v>0</v>
      </c>
      <c r="BV33" s="579">
        <f t="shared" si="26"/>
        <v>0</v>
      </c>
      <c r="BW33" s="579">
        <f t="shared" si="8"/>
        <v>172.41666666666666</v>
      </c>
      <c r="BX33" s="579">
        <f t="shared" si="8"/>
        <v>2754.6666666666665</v>
      </c>
      <c r="BY33" s="579">
        <f t="shared" si="8"/>
        <v>1762.9866666666669</v>
      </c>
      <c r="BZ33" s="577">
        <v>200</v>
      </c>
      <c r="CA33" s="572">
        <v>3300</v>
      </c>
      <c r="CB33" s="572">
        <v>2112</v>
      </c>
      <c r="CC33" s="287">
        <v>130</v>
      </c>
      <c r="CD33" s="287">
        <v>2120</v>
      </c>
      <c r="CE33" s="287">
        <v>1356.8</v>
      </c>
      <c r="CF33" s="572"/>
      <c r="CG33" s="572"/>
      <c r="CH33" s="572"/>
      <c r="CI33" s="572"/>
      <c r="CJ33" s="572"/>
      <c r="CK33" s="572"/>
      <c r="CL33" s="572"/>
      <c r="CM33" s="572"/>
      <c r="CN33" s="572"/>
      <c r="CO33" s="572"/>
      <c r="CP33" s="572"/>
      <c r="CQ33" s="572"/>
      <c r="CR33" s="572"/>
      <c r="CS33" s="572"/>
      <c r="CT33" s="572"/>
      <c r="CU33" s="572"/>
      <c r="CV33" s="572"/>
      <c r="CW33" s="572"/>
      <c r="CX33" s="572"/>
      <c r="CY33" s="572"/>
      <c r="CZ33" s="572"/>
      <c r="DA33" s="572"/>
      <c r="DB33" s="572"/>
      <c r="DC33" s="572"/>
      <c r="DD33" s="572"/>
      <c r="DE33" s="572"/>
      <c r="DF33" s="572"/>
      <c r="DG33" s="572"/>
      <c r="DH33" s="572"/>
      <c r="DI33" s="572"/>
      <c r="DJ33" s="580">
        <f t="shared" si="9"/>
        <v>330</v>
      </c>
      <c r="DK33" s="580">
        <f t="shared" si="9"/>
        <v>5420</v>
      </c>
      <c r="DL33" s="580">
        <f t="shared" si="9"/>
        <v>3468.8</v>
      </c>
      <c r="DM33" s="664">
        <f t="shared" si="27"/>
        <v>165</v>
      </c>
      <c r="DN33" s="664">
        <f t="shared" si="28"/>
        <v>2710</v>
      </c>
      <c r="DO33" s="665">
        <f t="shared" si="29"/>
        <v>1734.4</v>
      </c>
      <c r="DP33" s="583"/>
      <c r="DQ33" s="817">
        <f t="shared" si="14"/>
        <v>-1.6214908034850026</v>
      </c>
    </row>
    <row r="34" spans="1:122">
      <c r="A34" s="572">
        <v>4</v>
      </c>
      <c r="B34" s="572" t="s">
        <v>292</v>
      </c>
      <c r="C34" s="572" t="s">
        <v>293</v>
      </c>
      <c r="D34" s="572" t="s">
        <v>291</v>
      </c>
      <c r="E34" s="572" t="s">
        <v>106</v>
      </c>
      <c r="F34" s="572" t="s">
        <v>280</v>
      </c>
      <c r="G34" s="575">
        <v>150</v>
      </c>
      <c r="H34" s="575">
        <v>2100</v>
      </c>
      <c r="I34" s="575">
        <v>460</v>
      </c>
      <c r="J34" s="575">
        <v>7040</v>
      </c>
      <c r="K34" s="575">
        <v>420</v>
      </c>
      <c r="L34" s="575">
        <v>6880</v>
      </c>
      <c r="M34" s="575">
        <v>299</v>
      </c>
      <c r="N34" s="575">
        <v>4186</v>
      </c>
      <c r="O34" s="575">
        <v>708</v>
      </c>
      <c r="P34" s="575">
        <v>10412</v>
      </c>
      <c r="Q34" s="575">
        <v>260</v>
      </c>
      <c r="R34" s="575">
        <v>4240</v>
      </c>
      <c r="S34" s="575">
        <v>410</v>
      </c>
      <c r="T34" s="575">
        <v>6240</v>
      </c>
      <c r="U34" s="575">
        <v>365</v>
      </c>
      <c r="V34" s="575">
        <v>6310</v>
      </c>
      <c r="W34" s="575">
        <v>730</v>
      </c>
      <c r="X34" s="575">
        <v>10720</v>
      </c>
      <c r="Y34" s="575">
        <v>370</v>
      </c>
      <c r="Z34" s="575">
        <v>5780</v>
      </c>
      <c r="AA34" s="575"/>
      <c r="AB34" s="575"/>
      <c r="AC34" s="575">
        <v>460</v>
      </c>
      <c r="AD34" s="575">
        <v>6840</v>
      </c>
      <c r="AE34" s="576">
        <f t="shared" si="3"/>
        <v>4632</v>
      </c>
      <c r="AF34" s="576">
        <f t="shared" si="3"/>
        <v>70748</v>
      </c>
      <c r="AG34" s="577"/>
      <c r="AH34" s="577"/>
      <c r="AI34" s="577"/>
      <c r="AJ34" s="577"/>
      <c r="AK34" s="577"/>
      <c r="AL34" s="577"/>
      <c r="AM34" s="577">
        <v>420</v>
      </c>
      <c r="AN34" s="577">
        <v>7080</v>
      </c>
      <c r="AO34" s="577">
        <v>4531.2</v>
      </c>
      <c r="AP34" s="577">
        <v>0</v>
      </c>
      <c r="AQ34" s="577">
        <v>0</v>
      </c>
      <c r="AR34" s="577">
        <v>0</v>
      </c>
      <c r="AS34" s="577">
        <v>740</v>
      </c>
      <c r="AT34" s="577">
        <v>11320</v>
      </c>
      <c r="AU34" s="577">
        <v>7331.2</v>
      </c>
      <c r="AV34" s="577">
        <v>365</v>
      </c>
      <c r="AW34" s="577">
        <v>6310</v>
      </c>
      <c r="AX34" s="577">
        <v>4038.4000000000005</v>
      </c>
      <c r="AY34" s="577">
        <v>160</v>
      </c>
      <c r="AZ34" s="577">
        <v>2840</v>
      </c>
      <c r="BA34" s="577">
        <v>1817.6</v>
      </c>
      <c r="BB34" s="577">
        <v>119</v>
      </c>
      <c r="BC34" s="577">
        <v>1646</v>
      </c>
      <c r="BD34" s="577">
        <v>1060.6399999999999</v>
      </c>
      <c r="BE34" s="577">
        <v>0</v>
      </c>
      <c r="BF34" s="577">
        <v>0</v>
      </c>
      <c r="BG34" s="577">
        <v>0</v>
      </c>
      <c r="BH34" s="577">
        <v>0</v>
      </c>
      <c r="BI34" s="577">
        <v>0</v>
      </c>
      <c r="BJ34" s="577">
        <v>0</v>
      </c>
      <c r="BK34" s="577">
        <v>0</v>
      </c>
      <c r="BL34" s="577">
        <v>0</v>
      </c>
      <c r="BM34" s="577">
        <v>0</v>
      </c>
      <c r="BN34" s="577">
        <v>245</v>
      </c>
      <c r="BO34" s="577">
        <v>3600</v>
      </c>
      <c r="BP34" s="577">
        <v>2350.8000000000002</v>
      </c>
      <c r="BQ34" s="579">
        <f t="shared" si="4"/>
        <v>2049</v>
      </c>
      <c r="BR34" s="579">
        <f t="shared" si="4"/>
        <v>32796</v>
      </c>
      <c r="BS34" s="579">
        <f t="shared" si="4"/>
        <v>21129.839999999997</v>
      </c>
      <c r="BT34" s="579">
        <f t="shared" si="24"/>
        <v>0</v>
      </c>
      <c r="BU34" s="579">
        <f t="shared" si="25"/>
        <v>0</v>
      </c>
      <c r="BV34" s="579">
        <f t="shared" si="26"/>
        <v>0</v>
      </c>
      <c r="BW34" s="579">
        <f t="shared" si="8"/>
        <v>170.75</v>
      </c>
      <c r="BX34" s="579">
        <f t="shared" si="8"/>
        <v>2733</v>
      </c>
      <c r="BY34" s="579">
        <f t="shared" si="8"/>
        <v>1760.8199999999997</v>
      </c>
      <c r="BZ34" s="577">
        <v>220</v>
      </c>
      <c r="CA34" s="572">
        <v>4280</v>
      </c>
      <c r="CB34" s="572">
        <v>2739.2</v>
      </c>
      <c r="CC34" s="287">
        <v>245</v>
      </c>
      <c r="CD34" s="287">
        <v>4580</v>
      </c>
      <c r="CE34" s="287">
        <v>2949.2</v>
      </c>
      <c r="CF34" s="572"/>
      <c r="CG34" s="572"/>
      <c r="CH34" s="572"/>
      <c r="CI34" s="572"/>
      <c r="CJ34" s="572"/>
      <c r="CK34" s="572"/>
      <c r="CL34" s="572"/>
      <c r="CM34" s="572"/>
      <c r="CN34" s="572"/>
      <c r="CO34" s="572"/>
      <c r="CP34" s="572"/>
      <c r="CQ34" s="572"/>
      <c r="CR34" s="572"/>
      <c r="CS34" s="572"/>
      <c r="CT34" s="572"/>
      <c r="CU34" s="572"/>
      <c r="CV34" s="572"/>
      <c r="CW34" s="572"/>
      <c r="CX34" s="572"/>
      <c r="CY34" s="572"/>
      <c r="CZ34" s="572"/>
      <c r="DA34" s="572"/>
      <c r="DB34" s="572"/>
      <c r="DC34" s="572"/>
      <c r="DD34" s="572"/>
      <c r="DE34" s="572"/>
      <c r="DF34" s="572"/>
      <c r="DG34" s="572"/>
      <c r="DH34" s="572"/>
      <c r="DI34" s="572"/>
      <c r="DJ34" s="580">
        <f t="shared" si="9"/>
        <v>465</v>
      </c>
      <c r="DK34" s="580">
        <f t="shared" si="9"/>
        <v>8860</v>
      </c>
      <c r="DL34" s="580">
        <f t="shared" si="9"/>
        <v>5688.4</v>
      </c>
      <c r="DM34" s="664">
        <f t="shared" si="27"/>
        <v>232.5</v>
      </c>
      <c r="DN34" s="664">
        <f t="shared" si="28"/>
        <v>4430</v>
      </c>
      <c r="DO34" s="665">
        <f t="shared" si="29"/>
        <v>2844.2</v>
      </c>
      <c r="DP34" s="583"/>
      <c r="DQ34" s="817">
        <f t="shared" si="14"/>
        <v>61.52701582217378</v>
      </c>
    </row>
    <row r="35" spans="1:122">
      <c r="A35" s="572">
        <v>5</v>
      </c>
      <c r="B35" s="572" t="s">
        <v>296</v>
      </c>
      <c r="C35" s="572" t="s">
        <v>297</v>
      </c>
      <c r="D35" s="572" t="s">
        <v>265</v>
      </c>
      <c r="E35" s="572" t="s">
        <v>108</v>
      </c>
      <c r="F35" s="572" t="s">
        <v>280</v>
      </c>
      <c r="G35" s="575">
        <v>200</v>
      </c>
      <c r="H35" s="575">
        <v>2800</v>
      </c>
      <c r="I35" s="575"/>
      <c r="J35" s="575"/>
      <c r="K35" s="575"/>
      <c r="L35" s="575"/>
      <c r="M35" s="575"/>
      <c r="N35" s="575"/>
      <c r="O35" s="575"/>
      <c r="P35" s="575"/>
      <c r="Q35" s="575"/>
      <c r="R35" s="575"/>
      <c r="S35" s="575">
        <v>250</v>
      </c>
      <c r="T35" s="575">
        <v>3500</v>
      </c>
      <c r="U35" s="575">
        <v>300</v>
      </c>
      <c r="V35" s="575">
        <v>4200</v>
      </c>
      <c r="W35" s="575">
        <v>300</v>
      </c>
      <c r="X35" s="575">
        <v>4200</v>
      </c>
      <c r="Y35" s="575">
        <v>150</v>
      </c>
      <c r="Z35" s="575">
        <v>2100</v>
      </c>
      <c r="AA35" s="575">
        <v>350</v>
      </c>
      <c r="AB35" s="575">
        <v>4900</v>
      </c>
      <c r="AC35" s="575">
        <v>249</v>
      </c>
      <c r="AD35" s="575">
        <v>3486</v>
      </c>
      <c r="AE35" s="576">
        <f t="shared" si="3"/>
        <v>1799</v>
      </c>
      <c r="AF35" s="576">
        <f t="shared" si="3"/>
        <v>25186</v>
      </c>
      <c r="AG35" s="577"/>
      <c r="AH35" s="577"/>
      <c r="AI35" s="577"/>
      <c r="AJ35" s="577"/>
      <c r="AK35" s="577"/>
      <c r="AL35" s="577"/>
      <c r="AM35" s="577">
        <v>200</v>
      </c>
      <c r="AN35" s="577">
        <v>2800</v>
      </c>
      <c r="AO35" s="577">
        <v>1792</v>
      </c>
      <c r="AP35" s="577">
        <v>300</v>
      </c>
      <c r="AQ35" s="577">
        <v>4200</v>
      </c>
      <c r="AR35" s="577">
        <v>2688</v>
      </c>
      <c r="AS35" s="577">
        <v>0</v>
      </c>
      <c r="AT35" s="577">
        <v>0</v>
      </c>
      <c r="AU35" s="577">
        <v>0</v>
      </c>
      <c r="AV35" s="577">
        <v>0</v>
      </c>
      <c r="AW35" s="577">
        <v>0</v>
      </c>
      <c r="AX35" s="577">
        <v>0</v>
      </c>
      <c r="AY35" s="577">
        <v>0</v>
      </c>
      <c r="AZ35" s="577">
        <v>0</v>
      </c>
      <c r="BA35" s="577">
        <v>0</v>
      </c>
      <c r="BB35" s="577">
        <v>300</v>
      </c>
      <c r="BC35" s="577">
        <v>4200</v>
      </c>
      <c r="BD35" s="577">
        <v>2688</v>
      </c>
      <c r="BE35" s="577">
        <v>100</v>
      </c>
      <c r="BF35" s="577">
        <v>1400</v>
      </c>
      <c r="BG35" s="577">
        <v>896</v>
      </c>
      <c r="BH35" s="577">
        <v>100</v>
      </c>
      <c r="BI35" s="577">
        <v>1400</v>
      </c>
      <c r="BJ35" s="577">
        <v>896</v>
      </c>
      <c r="BK35" s="577">
        <v>200</v>
      </c>
      <c r="BL35" s="577">
        <v>2800</v>
      </c>
      <c r="BM35" s="577">
        <v>1792</v>
      </c>
      <c r="BN35" s="577">
        <v>500</v>
      </c>
      <c r="BO35" s="577">
        <v>7000</v>
      </c>
      <c r="BP35" s="577">
        <v>4480</v>
      </c>
      <c r="BQ35" s="579">
        <f t="shared" si="4"/>
        <v>1700</v>
      </c>
      <c r="BR35" s="579">
        <f t="shared" si="4"/>
        <v>23800</v>
      </c>
      <c r="BS35" s="579">
        <f t="shared" si="4"/>
        <v>15232</v>
      </c>
      <c r="BT35" s="579">
        <f t="shared" si="24"/>
        <v>0</v>
      </c>
      <c r="BU35" s="579">
        <f t="shared" si="25"/>
        <v>0</v>
      </c>
      <c r="BV35" s="579">
        <f t="shared" si="26"/>
        <v>0</v>
      </c>
      <c r="BW35" s="579">
        <f t="shared" si="8"/>
        <v>141.66666666666666</v>
      </c>
      <c r="BX35" s="579">
        <f t="shared" si="8"/>
        <v>1983.3333333333333</v>
      </c>
      <c r="BY35" s="579">
        <f t="shared" si="8"/>
        <v>1269.3333333333333</v>
      </c>
      <c r="BZ35" s="577">
        <v>200</v>
      </c>
      <c r="CA35" s="572">
        <v>2800</v>
      </c>
      <c r="CB35" s="572">
        <v>1792</v>
      </c>
      <c r="CC35" s="287">
        <v>0</v>
      </c>
      <c r="CD35" s="287">
        <v>0</v>
      </c>
      <c r="CE35" s="287">
        <v>0</v>
      </c>
      <c r="CF35" s="572"/>
      <c r="CG35" s="572"/>
      <c r="CH35" s="572"/>
      <c r="CI35" s="572"/>
      <c r="CJ35" s="572"/>
      <c r="CK35" s="572"/>
      <c r="CL35" s="572"/>
      <c r="CM35" s="572"/>
      <c r="CN35" s="572"/>
      <c r="CO35" s="572"/>
      <c r="CP35" s="572"/>
      <c r="CQ35" s="572"/>
      <c r="CR35" s="572"/>
      <c r="CS35" s="572"/>
      <c r="CT35" s="572"/>
      <c r="CU35" s="572"/>
      <c r="CV35" s="572"/>
      <c r="CW35" s="572"/>
      <c r="CX35" s="572"/>
      <c r="CY35" s="572"/>
      <c r="CZ35" s="572"/>
      <c r="DA35" s="572"/>
      <c r="DB35" s="572"/>
      <c r="DC35" s="572"/>
      <c r="DD35" s="572"/>
      <c r="DE35" s="572"/>
      <c r="DF35" s="572"/>
      <c r="DG35" s="572"/>
      <c r="DH35" s="572"/>
      <c r="DI35" s="572"/>
      <c r="DJ35" s="580">
        <f t="shared" si="9"/>
        <v>200</v>
      </c>
      <c r="DK35" s="580">
        <f t="shared" si="9"/>
        <v>2800</v>
      </c>
      <c r="DL35" s="580">
        <f t="shared" si="9"/>
        <v>1792</v>
      </c>
      <c r="DM35" s="664">
        <f t="shared" si="27"/>
        <v>100</v>
      </c>
      <c r="DN35" s="664">
        <f t="shared" si="28"/>
        <v>1400</v>
      </c>
      <c r="DO35" s="665">
        <f t="shared" si="29"/>
        <v>896</v>
      </c>
      <c r="DP35" s="583"/>
      <c r="DQ35" s="817">
        <f t="shared" si="14"/>
        <v>-29.411764705882348</v>
      </c>
    </row>
    <row r="36" spans="1:122">
      <c r="A36" s="572">
        <v>6</v>
      </c>
      <c r="B36" s="572" t="s">
        <v>298</v>
      </c>
      <c r="C36" s="572" t="s">
        <v>299</v>
      </c>
      <c r="D36" s="572" t="s">
        <v>265</v>
      </c>
      <c r="E36" s="572" t="s">
        <v>108</v>
      </c>
      <c r="F36" s="572" t="s">
        <v>280</v>
      </c>
      <c r="G36" s="575">
        <v>300</v>
      </c>
      <c r="H36" s="575">
        <v>4200</v>
      </c>
      <c r="I36" s="575">
        <v>300</v>
      </c>
      <c r="J36" s="575">
        <v>4200</v>
      </c>
      <c r="K36" s="575">
        <v>200</v>
      </c>
      <c r="L36" s="575">
        <v>2800</v>
      </c>
      <c r="M36" s="575"/>
      <c r="N36" s="575"/>
      <c r="O36" s="575"/>
      <c r="P36" s="575"/>
      <c r="Q36" s="575"/>
      <c r="R36" s="575"/>
      <c r="S36" s="575">
        <v>210</v>
      </c>
      <c r="T36" s="575">
        <v>2940</v>
      </c>
      <c r="U36" s="575">
        <v>130</v>
      </c>
      <c r="V36" s="575">
        <v>1820</v>
      </c>
      <c r="W36" s="575">
        <v>400</v>
      </c>
      <c r="X36" s="575">
        <v>5600</v>
      </c>
      <c r="Y36" s="575">
        <v>162</v>
      </c>
      <c r="Z36" s="575">
        <v>2268</v>
      </c>
      <c r="AA36" s="575">
        <v>400</v>
      </c>
      <c r="AB36" s="575">
        <v>5600</v>
      </c>
      <c r="AC36" s="575">
        <v>200</v>
      </c>
      <c r="AD36" s="575">
        <v>2800</v>
      </c>
      <c r="AE36" s="576">
        <f t="shared" si="3"/>
        <v>2302</v>
      </c>
      <c r="AF36" s="576">
        <f t="shared" si="3"/>
        <v>32228</v>
      </c>
      <c r="AG36" s="577"/>
      <c r="AH36" s="577"/>
      <c r="AI36" s="577"/>
      <c r="AJ36" s="577"/>
      <c r="AK36" s="577"/>
      <c r="AL36" s="577"/>
      <c r="AM36" s="577">
        <v>300</v>
      </c>
      <c r="AN36" s="577">
        <v>4200</v>
      </c>
      <c r="AO36" s="577">
        <v>2688</v>
      </c>
      <c r="AP36" s="577">
        <v>200</v>
      </c>
      <c r="AQ36" s="577">
        <v>2800</v>
      </c>
      <c r="AR36" s="577">
        <v>1792</v>
      </c>
      <c r="AS36" s="577">
        <v>300</v>
      </c>
      <c r="AT36" s="577">
        <v>4200</v>
      </c>
      <c r="AU36" s="577">
        <v>2688</v>
      </c>
      <c r="AV36" s="577">
        <v>200</v>
      </c>
      <c r="AW36" s="577">
        <v>2800</v>
      </c>
      <c r="AX36" s="577">
        <v>1792</v>
      </c>
      <c r="AY36" s="577">
        <v>150</v>
      </c>
      <c r="AZ36" s="577">
        <v>2100</v>
      </c>
      <c r="BA36" s="577">
        <v>1344</v>
      </c>
      <c r="BB36" s="577">
        <v>160</v>
      </c>
      <c r="BC36" s="577">
        <v>2240</v>
      </c>
      <c r="BD36" s="577">
        <v>1433.6000000000001</v>
      </c>
      <c r="BE36" s="577">
        <v>200</v>
      </c>
      <c r="BF36" s="577">
        <v>2800</v>
      </c>
      <c r="BG36" s="577">
        <v>1792</v>
      </c>
      <c r="BH36" s="577">
        <v>250</v>
      </c>
      <c r="BI36" s="577">
        <v>3500</v>
      </c>
      <c r="BJ36" s="577">
        <v>2240</v>
      </c>
      <c r="BK36" s="577">
        <v>200</v>
      </c>
      <c r="BL36" s="577">
        <v>2800</v>
      </c>
      <c r="BM36" s="577">
        <v>1792</v>
      </c>
      <c r="BN36" s="577">
        <v>199</v>
      </c>
      <c r="BO36" s="577">
        <v>2786</v>
      </c>
      <c r="BP36" s="577">
        <v>1783.04</v>
      </c>
      <c r="BQ36" s="579">
        <f t="shared" si="4"/>
        <v>2159</v>
      </c>
      <c r="BR36" s="579">
        <f t="shared" si="4"/>
        <v>30226</v>
      </c>
      <c r="BS36" s="579">
        <f t="shared" si="4"/>
        <v>19344.64</v>
      </c>
      <c r="BT36" s="579">
        <f t="shared" si="24"/>
        <v>0</v>
      </c>
      <c r="BU36" s="579">
        <f t="shared" si="25"/>
        <v>0</v>
      </c>
      <c r="BV36" s="579">
        <f t="shared" si="26"/>
        <v>0</v>
      </c>
      <c r="BW36" s="579">
        <f t="shared" si="8"/>
        <v>179.91666666666666</v>
      </c>
      <c r="BX36" s="579">
        <f t="shared" si="8"/>
        <v>2518.8333333333335</v>
      </c>
      <c r="BY36" s="579">
        <f t="shared" si="8"/>
        <v>1612.0533333333333</v>
      </c>
      <c r="BZ36" s="577">
        <v>100</v>
      </c>
      <c r="CA36" s="572">
        <v>1400</v>
      </c>
      <c r="CB36" s="572">
        <v>896</v>
      </c>
      <c r="CC36" s="287">
        <v>0</v>
      </c>
      <c r="CD36" s="287">
        <v>0</v>
      </c>
      <c r="CE36" s="287">
        <v>0</v>
      </c>
      <c r="CF36" s="572"/>
      <c r="CG36" s="572"/>
      <c r="CH36" s="572"/>
      <c r="CI36" s="572"/>
      <c r="CJ36" s="572"/>
      <c r="CK36" s="572"/>
      <c r="CL36" s="572"/>
      <c r="CM36" s="572"/>
      <c r="CN36" s="572"/>
      <c r="CO36" s="572"/>
      <c r="CP36" s="572"/>
      <c r="CQ36" s="572"/>
      <c r="CR36" s="572"/>
      <c r="CS36" s="572"/>
      <c r="CT36" s="572"/>
      <c r="CU36" s="572"/>
      <c r="CV36" s="572"/>
      <c r="CW36" s="572"/>
      <c r="CX36" s="572"/>
      <c r="CY36" s="572"/>
      <c r="CZ36" s="572"/>
      <c r="DA36" s="572"/>
      <c r="DB36" s="572"/>
      <c r="DC36" s="572"/>
      <c r="DD36" s="572"/>
      <c r="DE36" s="572"/>
      <c r="DF36" s="572"/>
      <c r="DG36" s="572"/>
      <c r="DH36" s="572"/>
      <c r="DI36" s="572"/>
      <c r="DJ36" s="580">
        <f t="shared" si="9"/>
        <v>100</v>
      </c>
      <c r="DK36" s="580">
        <f t="shared" si="9"/>
        <v>1400</v>
      </c>
      <c r="DL36" s="580">
        <f t="shared" si="9"/>
        <v>896</v>
      </c>
      <c r="DM36" s="664">
        <f t="shared" si="27"/>
        <v>50</v>
      </c>
      <c r="DN36" s="664">
        <f t="shared" si="28"/>
        <v>700</v>
      </c>
      <c r="DO36" s="665">
        <f t="shared" si="29"/>
        <v>448</v>
      </c>
      <c r="DP36" s="583"/>
      <c r="DQ36" s="817">
        <f t="shared" si="14"/>
        <v>-72.209356183418251</v>
      </c>
      <c r="DR36" s="820" t="s">
        <v>324</v>
      </c>
    </row>
    <row r="37" spans="1:122">
      <c r="A37" s="572">
        <v>7</v>
      </c>
      <c r="B37" s="572" t="s">
        <v>300</v>
      </c>
      <c r="C37" s="572" t="s">
        <v>301</v>
      </c>
      <c r="D37" s="572" t="s">
        <v>265</v>
      </c>
      <c r="E37" s="572" t="s">
        <v>108</v>
      </c>
      <c r="F37" s="572" t="s">
        <v>280</v>
      </c>
      <c r="G37" s="575"/>
      <c r="H37" s="575"/>
      <c r="I37" s="575">
        <v>200</v>
      </c>
      <c r="J37" s="575">
        <v>2800</v>
      </c>
      <c r="K37" s="575"/>
      <c r="L37" s="575"/>
      <c r="M37" s="575"/>
      <c r="N37" s="575"/>
      <c r="O37" s="575">
        <v>150</v>
      </c>
      <c r="P37" s="575">
        <v>2100</v>
      </c>
      <c r="Q37" s="575"/>
      <c r="R37" s="575"/>
      <c r="S37" s="575"/>
      <c r="T37" s="575"/>
      <c r="U37" s="575"/>
      <c r="V37" s="575"/>
      <c r="W37" s="575"/>
      <c r="X37" s="575"/>
      <c r="Y37" s="575">
        <v>50</v>
      </c>
      <c r="Z37" s="575">
        <v>700</v>
      </c>
      <c r="AA37" s="575"/>
      <c r="AB37" s="575"/>
      <c r="AC37" s="575"/>
      <c r="AD37" s="575"/>
      <c r="AE37" s="576">
        <f t="shared" si="3"/>
        <v>400</v>
      </c>
      <c r="AF37" s="576">
        <f t="shared" si="3"/>
        <v>5600</v>
      </c>
      <c r="AG37" s="577"/>
      <c r="AH37" s="577"/>
      <c r="AI37" s="577"/>
      <c r="AJ37" s="577"/>
      <c r="AK37" s="577"/>
      <c r="AL37" s="577"/>
      <c r="AM37" s="577">
        <v>0</v>
      </c>
      <c r="AN37" s="577">
        <v>0</v>
      </c>
      <c r="AO37" s="577">
        <v>0</v>
      </c>
      <c r="AP37" s="577">
        <v>30</v>
      </c>
      <c r="AQ37" s="577">
        <v>420</v>
      </c>
      <c r="AR37" s="577">
        <v>268.8</v>
      </c>
      <c r="AS37" s="577">
        <v>0</v>
      </c>
      <c r="AT37" s="577">
        <v>0</v>
      </c>
      <c r="AU37" s="577">
        <v>0</v>
      </c>
      <c r="AV37" s="577">
        <v>170</v>
      </c>
      <c r="AW37" s="577">
        <v>2380</v>
      </c>
      <c r="AX37" s="577">
        <v>1523.2</v>
      </c>
      <c r="AY37" s="577">
        <v>156</v>
      </c>
      <c r="AZ37" s="577">
        <v>2482</v>
      </c>
      <c r="BA37" s="577">
        <v>1588</v>
      </c>
      <c r="BB37" s="577">
        <v>270</v>
      </c>
      <c r="BC37" s="577">
        <v>3980</v>
      </c>
      <c r="BD37" s="577">
        <v>2547.1999999999998</v>
      </c>
      <c r="BE37" s="577">
        <v>300</v>
      </c>
      <c r="BF37" s="577">
        <v>4200</v>
      </c>
      <c r="BG37" s="577">
        <v>2688</v>
      </c>
      <c r="BH37" s="577">
        <v>100</v>
      </c>
      <c r="BI37" s="577">
        <v>1400</v>
      </c>
      <c r="BJ37" s="577">
        <v>896</v>
      </c>
      <c r="BK37" s="577">
        <v>230</v>
      </c>
      <c r="BL37" s="577">
        <v>3400</v>
      </c>
      <c r="BM37" s="577">
        <v>2171.1999999999998</v>
      </c>
      <c r="BN37" s="577">
        <v>250</v>
      </c>
      <c r="BO37" s="577">
        <v>3500</v>
      </c>
      <c r="BP37" s="577">
        <v>2240</v>
      </c>
      <c r="BQ37" s="579">
        <f t="shared" si="4"/>
        <v>1506</v>
      </c>
      <c r="BR37" s="579">
        <f t="shared" si="4"/>
        <v>21762</v>
      </c>
      <c r="BS37" s="579">
        <f t="shared" si="4"/>
        <v>13922.400000000001</v>
      </c>
      <c r="BT37" s="579">
        <f t="shared" si="24"/>
        <v>0</v>
      </c>
      <c r="BU37" s="579">
        <f t="shared" si="25"/>
        <v>0</v>
      </c>
      <c r="BV37" s="579">
        <f t="shared" si="26"/>
        <v>0</v>
      </c>
      <c r="BW37" s="579">
        <f t="shared" si="8"/>
        <v>125.5</v>
      </c>
      <c r="BX37" s="579">
        <f t="shared" si="8"/>
        <v>1813.5</v>
      </c>
      <c r="BY37" s="579">
        <f t="shared" si="8"/>
        <v>1160.2</v>
      </c>
      <c r="BZ37" s="577">
        <v>300</v>
      </c>
      <c r="CA37" s="572">
        <v>4200</v>
      </c>
      <c r="CB37" s="572">
        <v>2688</v>
      </c>
      <c r="CC37" s="287">
        <v>280</v>
      </c>
      <c r="CD37" s="287">
        <v>3860</v>
      </c>
      <c r="CE37" s="287">
        <v>2456</v>
      </c>
      <c r="CF37" s="572"/>
      <c r="CG37" s="572"/>
      <c r="CH37" s="572"/>
      <c r="CI37" s="572"/>
      <c r="CJ37" s="572"/>
      <c r="CK37" s="572"/>
      <c r="CL37" s="572"/>
      <c r="CM37" s="572"/>
      <c r="CN37" s="572"/>
      <c r="CO37" s="572"/>
      <c r="CP37" s="572"/>
      <c r="CQ37" s="572"/>
      <c r="CR37" s="572"/>
      <c r="CS37" s="572"/>
      <c r="CT37" s="572"/>
      <c r="CU37" s="572"/>
      <c r="CV37" s="572"/>
      <c r="CW37" s="572"/>
      <c r="CX37" s="572"/>
      <c r="CY37" s="572"/>
      <c r="CZ37" s="572"/>
      <c r="DA37" s="572"/>
      <c r="DB37" s="572"/>
      <c r="DC37" s="572"/>
      <c r="DD37" s="572"/>
      <c r="DE37" s="572"/>
      <c r="DF37" s="572"/>
      <c r="DG37" s="572"/>
      <c r="DH37" s="572"/>
      <c r="DI37" s="572"/>
      <c r="DJ37" s="580">
        <f t="shared" si="9"/>
        <v>580</v>
      </c>
      <c r="DK37" s="580">
        <f t="shared" si="9"/>
        <v>8060</v>
      </c>
      <c r="DL37" s="580">
        <f t="shared" si="9"/>
        <v>5144</v>
      </c>
      <c r="DM37" s="664">
        <f t="shared" si="27"/>
        <v>290</v>
      </c>
      <c r="DN37" s="664">
        <f t="shared" si="28"/>
        <v>4030</v>
      </c>
      <c r="DO37" s="665">
        <f t="shared" si="29"/>
        <v>2572</v>
      </c>
      <c r="DP37" s="583"/>
      <c r="DQ37" s="817">
        <f t="shared" si="14"/>
        <v>121.68591622134116</v>
      </c>
    </row>
    <row r="38" spans="1:122">
      <c r="A38" s="572">
        <v>8</v>
      </c>
      <c r="B38" s="572" t="s">
        <v>304</v>
      </c>
      <c r="C38" s="572" t="s">
        <v>304</v>
      </c>
      <c r="D38" s="572" t="s">
        <v>268</v>
      </c>
      <c r="E38" s="572" t="s">
        <v>107</v>
      </c>
      <c r="F38" s="572" t="s">
        <v>280</v>
      </c>
      <c r="G38" s="575"/>
      <c r="H38" s="575"/>
      <c r="I38" s="575"/>
      <c r="J38" s="575"/>
      <c r="K38" s="575"/>
      <c r="L38" s="575"/>
      <c r="M38" s="575"/>
      <c r="N38" s="575"/>
      <c r="O38" s="575"/>
      <c r="P38" s="575"/>
      <c r="Q38" s="575"/>
      <c r="R38" s="575"/>
      <c r="S38" s="575"/>
      <c r="T38" s="575"/>
      <c r="U38" s="575"/>
      <c r="V38" s="575"/>
      <c r="W38" s="575"/>
      <c r="X38" s="575"/>
      <c r="Y38" s="575"/>
      <c r="Z38" s="575"/>
      <c r="AA38" s="575"/>
      <c r="AB38" s="575"/>
      <c r="AC38" s="575"/>
      <c r="AD38" s="575"/>
      <c r="AE38" s="576">
        <f t="shared" si="3"/>
        <v>0</v>
      </c>
      <c r="AF38" s="576">
        <f t="shared" si="3"/>
        <v>0</v>
      </c>
      <c r="AG38" s="577"/>
      <c r="AH38" s="577"/>
      <c r="AI38" s="577"/>
      <c r="AJ38" s="577"/>
      <c r="AK38" s="577"/>
      <c r="AL38" s="577"/>
      <c r="AM38" s="577"/>
      <c r="AN38" s="577"/>
      <c r="AO38" s="577"/>
      <c r="AP38" s="577"/>
      <c r="AQ38" s="577"/>
      <c r="AR38" s="577"/>
      <c r="AS38" s="577">
        <v>150</v>
      </c>
      <c r="AT38" s="577">
        <v>2100</v>
      </c>
      <c r="AU38" s="577">
        <v>1344</v>
      </c>
      <c r="AV38" s="577">
        <v>0</v>
      </c>
      <c r="AW38" s="577">
        <v>0</v>
      </c>
      <c r="AX38" s="577">
        <v>0</v>
      </c>
      <c r="AY38" s="577">
        <v>320</v>
      </c>
      <c r="AZ38" s="577">
        <v>4480</v>
      </c>
      <c r="BA38" s="577">
        <v>2867.2</v>
      </c>
      <c r="BB38" s="577">
        <v>200</v>
      </c>
      <c r="BC38" s="577">
        <v>2800</v>
      </c>
      <c r="BD38" s="577">
        <v>1792</v>
      </c>
      <c r="BE38" s="577">
        <v>650</v>
      </c>
      <c r="BF38" s="577">
        <v>8300</v>
      </c>
      <c r="BG38" s="577">
        <v>7040</v>
      </c>
      <c r="BH38" s="577">
        <v>200</v>
      </c>
      <c r="BI38" s="577">
        <v>2400</v>
      </c>
      <c r="BJ38" s="577">
        <v>2400</v>
      </c>
      <c r="BK38" s="577">
        <v>560</v>
      </c>
      <c r="BL38" s="577">
        <v>6940</v>
      </c>
      <c r="BM38" s="577">
        <v>6385.6</v>
      </c>
      <c r="BN38" s="577">
        <v>720</v>
      </c>
      <c r="BO38" s="577">
        <v>9120</v>
      </c>
      <c r="BP38" s="577">
        <v>7910.4</v>
      </c>
      <c r="BQ38" s="579">
        <f t="shared" si="4"/>
        <v>2800</v>
      </c>
      <c r="BR38" s="579">
        <f t="shared" si="4"/>
        <v>36140</v>
      </c>
      <c r="BS38" s="579">
        <f t="shared" si="4"/>
        <v>29739.200000000004</v>
      </c>
      <c r="BT38" s="579">
        <f t="shared" si="24"/>
        <v>0</v>
      </c>
      <c r="BU38" s="579">
        <f t="shared" si="25"/>
        <v>0</v>
      </c>
      <c r="BV38" s="579">
        <f t="shared" si="26"/>
        <v>0</v>
      </c>
      <c r="BW38" s="579">
        <f t="shared" si="8"/>
        <v>233.33333333333334</v>
      </c>
      <c r="BX38" s="579">
        <f t="shared" si="8"/>
        <v>3011.6666666666665</v>
      </c>
      <c r="BY38" s="579">
        <f t="shared" si="8"/>
        <v>2478.2666666666669</v>
      </c>
      <c r="BZ38" s="577">
        <v>300</v>
      </c>
      <c r="CA38" s="572">
        <v>3700</v>
      </c>
      <c r="CB38" s="572">
        <v>3448</v>
      </c>
      <c r="CC38" s="287">
        <v>520</v>
      </c>
      <c r="CD38" s="287">
        <v>6580</v>
      </c>
      <c r="CE38" s="287">
        <v>5723.2000000000007</v>
      </c>
      <c r="CF38" s="572"/>
      <c r="CG38" s="572"/>
      <c r="CH38" s="572"/>
      <c r="CI38" s="572"/>
      <c r="CJ38" s="572"/>
      <c r="CK38" s="572"/>
      <c r="CL38" s="572"/>
      <c r="CM38" s="572"/>
      <c r="CN38" s="572"/>
      <c r="CO38" s="572"/>
      <c r="CP38" s="572"/>
      <c r="CQ38" s="572"/>
      <c r="CR38" s="572"/>
      <c r="CS38" s="572"/>
      <c r="CT38" s="572"/>
      <c r="CU38" s="572"/>
      <c r="CV38" s="572"/>
      <c r="CW38" s="572"/>
      <c r="CX38" s="572"/>
      <c r="CY38" s="572"/>
      <c r="CZ38" s="572"/>
      <c r="DA38" s="572"/>
      <c r="DB38" s="572"/>
      <c r="DC38" s="572"/>
      <c r="DD38" s="572"/>
      <c r="DE38" s="572"/>
      <c r="DF38" s="572"/>
      <c r="DG38" s="572"/>
      <c r="DH38" s="572"/>
      <c r="DI38" s="572"/>
      <c r="DJ38" s="580">
        <f t="shared" si="9"/>
        <v>820</v>
      </c>
      <c r="DK38" s="580">
        <f t="shared" si="9"/>
        <v>10280</v>
      </c>
      <c r="DL38" s="580">
        <f t="shared" si="9"/>
        <v>9171.2000000000007</v>
      </c>
      <c r="DM38" s="664">
        <f t="shared" si="27"/>
        <v>410</v>
      </c>
      <c r="DN38" s="664">
        <f t="shared" si="28"/>
        <v>5140</v>
      </c>
      <c r="DO38" s="665">
        <f t="shared" si="29"/>
        <v>4585.6000000000004</v>
      </c>
      <c r="DP38" s="583"/>
      <c r="DQ38" s="817">
        <f t="shared" si="14"/>
        <v>85.032549631462842</v>
      </c>
    </row>
    <row r="39" spans="1:122">
      <c r="A39" s="572">
        <v>9</v>
      </c>
      <c r="B39" s="572" t="s">
        <v>305</v>
      </c>
      <c r="C39" s="572" t="s">
        <v>306</v>
      </c>
      <c r="D39" s="572" t="s">
        <v>236</v>
      </c>
      <c r="E39" s="572" t="s">
        <v>150</v>
      </c>
      <c r="F39" s="572" t="s">
        <v>280</v>
      </c>
      <c r="G39" s="575"/>
      <c r="H39" s="575"/>
      <c r="I39" s="575"/>
      <c r="J39" s="575"/>
      <c r="K39" s="575"/>
      <c r="L39" s="575"/>
      <c r="M39" s="575"/>
      <c r="N39" s="575"/>
      <c r="O39" s="575"/>
      <c r="P39" s="575"/>
      <c r="Q39" s="575"/>
      <c r="R39" s="575"/>
      <c r="S39" s="575"/>
      <c r="T39" s="575"/>
      <c r="U39" s="575"/>
      <c r="V39" s="575"/>
      <c r="W39" s="575"/>
      <c r="X39" s="575"/>
      <c r="Y39" s="575"/>
      <c r="Z39" s="575"/>
      <c r="AA39" s="575"/>
      <c r="AB39" s="575"/>
      <c r="AC39" s="575"/>
      <c r="AD39" s="575"/>
      <c r="AE39" s="576">
        <f t="shared" si="3"/>
        <v>0</v>
      </c>
      <c r="AF39" s="576">
        <f t="shared" si="3"/>
        <v>0</v>
      </c>
      <c r="AG39" s="577"/>
      <c r="AH39" s="577"/>
      <c r="AI39" s="577"/>
      <c r="AJ39" s="577"/>
      <c r="AK39" s="577"/>
      <c r="AL39" s="577"/>
      <c r="AM39" s="577"/>
      <c r="AN39" s="577"/>
      <c r="AO39" s="577"/>
      <c r="AP39" s="577"/>
      <c r="AQ39" s="577"/>
      <c r="AR39" s="577"/>
      <c r="AS39" s="577">
        <v>150</v>
      </c>
      <c r="AT39" s="577">
        <v>2040</v>
      </c>
      <c r="AU39" s="577">
        <v>1435.2</v>
      </c>
      <c r="AV39" s="577">
        <v>447</v>
      </c>
      <c r="AW39" s="577">
        <v>5684</v>
      </c>
      <c r="AX39" s="577">
        <v>4852.3999999999996</v>
      </c>
      <c r="AY39" s="577">
        <v>225</v>
      </c>
      <c r="AZ39" s="577">
        <v>2910</v>
      </c>
      <c r="BA39" s="577">
        <v>2380.8000000000002</v>
      </c>
      <c r="BB39" s="577">
        <v>440</v>
      </c>
      <c r="BC39" s="577">
        <v>5660</v>
      </c>
      <c r="BD39" s="577">
        <v>4702.3999999999996</v>
      </c>
      <c r="BE39" s="577">
        <v>379</v>
      </c>
      <c r="BF39" s="577">
        <v>4658</v>
      </c>
      <c r="BG39" s="577">
        <v>4366.3999999999996</v>
      </c>
      <c r="BH39" s="577">
        <v>384</v>
      </c>
      <c r="BI39" s="577">
        <v>4652</v>
      </c>
      <c r="BJ39" s="577">
        <v>4533.92</v>
      </c>
      <c r="BK39" s="577">
        <v>292</v>
      </c>
      <c r="BL39" s="577">
        <v>3684</v>
      </c>
      <c r="BM39" s="577">
        <v>3223.2000000000003</v>
      </c>
      <c r="BN39" s="577">
        <v>510</v>
      </c>
      <c r="BO39" s="577">
        <v>6220</v>
      </c>
      <c r="BP39" s="577">
        <v>5968</v>
      </c>
      <c r="BQ39" s="579">
        <f t="shared" si="4"/>
        <v>2827</v>
      </c>
      <c r="BR39" s="579">
        <f t="shared" si="4"/>
        <v>35508</v>
      </c>
      <c r="BS39" s="579">
        <f t="shared" si="4"/>
        <v>31462.319999999996</v>
      </c>
      <c r="BT39" s="579">
        <f t="shared" si="24"/>
        <v>0</v>
      </c>
      <c r="BU39" s="579">
        <f t="shared" si="25"/>
        <v>0</v>
      </c>
      <c r="BV39" s="579">
        <f t="shared" si="26"/>
        <v>0</v>
      </c>
      <c r="BW39" s="579">
        <f t="shared" si="8"/>
        <v>235.58333333333334</v>
      </c>
      <c r="BX39" s="579">
        <f t="shared" si="8"/>
        <v>2959</v>
      </c>
      <c r="BY39" s="579">
        <f t="shared" si="8"/>
        <v>2621.8599999999997</v>
      </c>
      <c r="BZ39" s="577">
        <v>252</v>
      </c>
      <c r="CA39" s="572">
        <v>3224</v>
      </c>
      <c r="CB39" s="572">
        <v>2712.8</v>
      </c>
      <c r="CC39" s="287">
        <v>232</v>
      </c>
      <c r="CD39" s="287">
        <v>2844</v>
      </c>
      <c r="CE39" s="287">
        <v>2685.6</v>
      </c>
      <c r="CF39" s="572"/>
      <c r="CG39" s="572"/>
      <c r="CH39" s="572"/>
      <c r="CI39" s="572"/>
      <c r="CJ39" s="572"/>
      <c r="CK39" s="572"/>
      <c r="CL39" s="572"/>
      <c r="CM39" s="572"/>
      <c r="CN39" s="572"/>
      <c r="CO39" s="572"/>
      <c r="CP39" s="572"/>
      <c r="CQ39" s="572"/>
      <c r="CR39" s="572"/>
      <c r="CS39" s="572"/>
      <c r="CT39" s="572"/>
      <c r="CU39" s="572"/>
      <c r="CV39" s="572"/>
      <c r="CW39" s="572"/>
      <c r="CX39" s="572"/>
      <c r="CY39" s="572"/>
      <c r="CZ39" s="572"/>
      <c r="DA39" s="572"/>
      <c r="DB39" s="572"/>
      <c r="DC39" s="572"/>
      <c r="DD39" s="572"/>
      <c r="DE39" s="572"/>
      <c r="DF39" s="572"/>
      <c r="DG39" s="572"/>
      <c r="DH39" s="572"/>
      <c r="DI39" s="572"/>
      <c r="DJ39" s="580">
        <f t="shared" si="9"/>
        <v>484</v>
      </c>
      <c r="DK39" s="580">
        <f t="shared" si="9"/>
        <v>6068</v>
      </c>
      <c r="DL39" s="580">
        <f t="shared" si="9"/>
        <v>5398.4</v>
      </c>
      <c r="DM39" s="664">
        <f t="shared" si="27"/>
        <v>242</v>
      </c>
      <c r="DN39" s="664">
        <f t="shared" si="28"/>
        <v>3034</v>
      </c>
      <c r="DO39" s="665">
        <f t="shared" si="29"/>
        <v>2699.2</v>
      </c>
      <c r="DP39" s="583"/>
      <c r="DQ39" s="817">
        <f t="shared" si="14"/>
        <v>2.949814254002888</v>
      </c>
    </row>
    <row r="40" spans="1:122">
      <c r="A40" s="572">
        <v>10</v>
      </c>
      <c r="B40" s="572" t="s">
        <v>307</v>
      </c>
      <c r="C40" s="572" t="s">
        <v>308</v>
      </c>
      <c r="D40" s="572" t="s">
        <v>236</v>
      </c>
      <c r="E40" s="572" t="s">
        <v>150</v>
      </c>
      <c r="F40" s="572" t="s">
        <v>280</v>
      </c>
      <c r="G40" s="575"/>
      <c r="H40" s="575"/>
      <c r="I40" s="575"/>
      <c r="J40" s="575"/>
      <c r="K40" s="575"/>
      <c r="L40" s="575"/>
      <c r="M40" s="575"/>
      <c r="N40" s="575"/>
      <c r="O40" s="575"/>
      <c r="P40" s="575"/>
      <c r="Q40" s="575"/>
      <c r="R40" s="575"/>
      <c r="S40" s="575"/>
      <c r="T40" s="575"/>
      <c r="U40" s="575"/>
      <c r="V40" s="575"/>
      <c r="W40" s="575"/>
      <c r="X40" s="575"/>
      <c r="Y40" s="575"/>
      <c r="Z40" s="575"/>
      <c r="AA40" s="575"/>
      <c r="AB40" s="575"/>
      <c r="AC40" s="575"/>
      <c r="AD40" s="575"/>
      <c r="AE40" s="576">
        <f t="shared" si="3"/>
        <v>0</v>
      </c>
      <c r="AF40" s="576">
        <f t="shared" si="3"/>
        <v>0</v>
      </c>
      <c r="AG40" s="577"/>
      <c r="AH40" s="577"/>
      <c r="AI40" s="577"/>
      <c r="AJ40" s="577"/>
      <c r="AK40" s="577"/>
      <c r="AL40" s="577"/>
      <c r="AM40" s="577"/>
      <c r="AN40" s="577"/>
      <c r="AO40" s="577"/>
      <c r="AP40" s="577"/>
      <c r="AQ40" s="577"/>
      <c r="AR40" s="577"/>
      <c r="AS40" s="577">
        <v>110</v>
      </c>
      <c r="AT40" s="577">
        <v>1590</v>
      </c>
      <c r="AU40" s="577">
        <v>1017.5999999999999</v>
      </c>
      <c r="AV40" s="577">
        <v>105</v>
      </c>
      <c r="AW40" s="577">
        <v>1470</v>
      </c>
      <c r="AX40" s="577">
        <v>940.80000000000018</v>
      </c>
      <c r="AY40" s="577">
        <v>120</v>
      </c>
      <c r="AZ40" s="577">
        <v>1680</v>
      </c>
      <c r="BA40" s="577">
        <v>1075.2</v>
      </c>
      <c r="BB40" s="577">
        <v>50</v>
      </c>
      <c r="BC40" s="577">
        <v>700</v>
      </c>
      <c r="BD40" s="577">
        <v>448.00000000000006</v>
      </c>
      <c r="BE40" s="577">
        <v>110</v>
      </c>
      <c r="BF40" s="577">
        <v>1590</v>
      </c>
      <c r="BG40" s="577">
        <v>1017.6000000000001</v>
      </c>
      <c r="BH40" s="577">
        <v>70</v>
      </c>
      <c r="BI40" s="577">
        <v>980</v>
      </c>
      <c r="BJ40" s="577">
        <v>627.19999999999993</v>
      </c>
      <c r="BK40" s="577">
        <v>175</v>
      </c>
      <c r="BL40" s="577">
        <v>2500</v>
      </c>
      <c r="BM40" s="577">
        <v>1600</v>
      </c>
      <c r="BN40" s="577">
        <v>60</v>
      </c>
      <c r="BO40" s="577">
        <v>840</v>
      </c>
      <c r="BP40" s="577">
        <v>537.6</v>
      </c>
      <c r="BQ40" s="579">
        <f t="shared" si="4"/>
        <v>800</v>
      </c>
      <c r="BR40" s="579">
        <f t="shared" si="4"/>
        <v>11350</v>
      </c>
      <c r="BS40" s="579">
        <f t="shared" si="4"/>
        <v>7264.0000000000009</v>
      </c>
      <c r="BT40" s="579">
        <f t="shared" si="24"/>
        <v>0</v>
      </c>
      <c r="BU40" s="579">
        <f t="shared" si="25"/>
        <v>0</v>
      </c>
      <c r="BV40" s="579">
        <f t="shared" si="26"/>
        <v>0</v>
      </c>
      <c r="BW40" s="579">
        <f t="shared" si="8"/>
        <v>66.666666666666671</v>
      </c>
      <c r="BX40" s="579">
        <f t="shared" si="8"/>
        <v>945.83333333333337</v>
      </c>
      <c r="BY40" s="579">
        <f t="shared" si="8"/>
        <v>605.33333333333337</v>
      </c>
      <c r="BZ40" s="577">
        <v>120</v>
      </c>
      <c r="CA40" s="572">
        <v>1730</v>
      </c>
      <c r="CB40" s="572">
        <v>1107.1999999999998</v>
      </c>
      <c r="CC40" s="287">
        <v>55</v>
      </c>
      <c r="CD40" s="287">
        <v>770</v>
      </c>
      <c r="CE40" s="287">
        <v>492.8</v>
      </c>
      <c r="CF40" s="572"/>
      <c r="CG40" s="572"/>
      <c r="CH40" s="572"/>
      <c r="CI40" s="572"/>
      <c r="CJ40" s="572"/>
      <c r="CK40" s="572"/>
      <c r="CL40" s="572"/>
      <c r="CM40" s="572"/>
      <c r="CN40" s="572"/>
      <c r="CO40" s="572"/>
      <c r="CP40" s="572"/>
      <c r="CQ40" s="572"/>
      <c r="CR40" s="572"/>
      <c r="CS40" s="572"/>
      <c r="CT40" s="572"/>
      <c r="CU40" s="572"/>
      <c r="CV40" s="572"/>
      <c r="CW40" s="572"/>
      <c r="CX40" s="572"/>
      <c r="CY40" s="572"/>
      <c r="CZ40" s="572"/>
      <c r="DA40" s="572"/>
      <c r="DB40" s="572"/>
      <c r="DC40" s="572"/>
      <c r="DD40" s="572"/>
      <c r="DE40" s="572"/>
      <c r="DF40" s="572"/>
      <c r="DG40" s="572"/>
      <c r="DH40" s="572"/>
      <c r="DI40" s="572"/>
      <c r="DJ40" s="580">
        <f t="shared" si="9"/>
        <v>175</v>
      </c>
      <c r="DK40" s="580">
        <f t="shared" si="9"/>
        <v>2500</v>
      </c>
      <c r="DL40" s="580">
        <f t="shared" si="9"/>
        <v>1599.9999999999998</v>
      </c>
      <c r="DM40" s="664">
        <f t="shared" si="27"/>
        <v>87.5</v>
      </c>
      <c r="DN40" s="664">
        <f t="shared" si="28"/>
        <v>1250</v>
      </c>
      <c r="DO40" s="665">
        <f t="shared" si="29"/>
        <v>799.99999999999989</v>
      </c>
      <c r="DP40" s="583"/>
      <c r="DQ40" s="817">
        <f t="shared" si="14"/>
        <v>32.158590308370037</v>
      </c>
    </row>
    <row r="41" spans="1:122">
      <c r="A41" s="572">
        <v>11</v>
      </c>
      <c r="B41" s="572" t="s">
        <v>281</v>
      </c>
      <c r="C41" s="572" t="s">
        <v>282</v>
      </c>
      <c r="D41" s="572" t="s">
        <v>226</v>
      </c>
      <c r="E41" s="572" t="s">
        <v>99</v>
      </c>
      <c r="F41" s="572" t="s">
        <v>280</v>
      </c>
      <c r="G41" s="575">
        <v>84</v>
      </c>
      <c r="H41" s="575">
        <v>1276</v>
      </c>
      <c r="I41" s="575">
        <v>55</v>
      </c>
      <c r="J41" s="575">
        <v>820</v>
      </c>
      <c r="K41" s="575">
        <v>60</v>
      </c>
      <c r="L41" s="575">
        <v>940</v>
      </c>
      <c r="M41" s="575">
        <v>35</v>
      </c>
      <c r="N41" s="575">
        <v>590</v>
      </c>
      <c r="O41" s="575">
        <v>75</v>
      </c>
      <c r="P41" s="575">
        <v>1300</v>
      </c>
      <c r="Q41" s="575">
        <v>35</v>
      </c>
      <c r="R41" s="575">
        <v>490</v>
      </c>
      <c r="S41" s="575">
        <v>95</v>
      </c>
      <c r="T41" s="575">
        <v>1580</v>
      </c>
      <c r="U41" s="575">
        <v>50</v>
      </c>
      <c r="V41" s="575">
        <v>950</v>
      </c>
      <c r="W41" s="575">
        <v>50</v>
      </c>
      <c r="X41" s="575">
        <v>700</v>
      </c>
      <c r="Y41" s="575">
        <v>30</v>
      </c>
      <c r="Z41" s="575">
        <v>720</v>
      </c>
      <c r="AA41" s="575">
        <v>30</v>
      </c>
      <c r="AB41" s="575">
        <v>420</v>
      </c>
      <c r="AC41" s="575">
        <v>80</v>
      </c>
      <c r="AD41" s="575">
        <v>1420</v>
      </c>
      <c r="AE41" s="576">
        <f t="shared" si="3"/>
        <v>679</v>
      </c>
      <c r="AF41" s="576">
        <f t="shared" si="3"/>
        <v>11206</v>
      </c>
      <c r="AG41" s="577"/>
      <c r="AH41" s="577"/>
      <c r="AI41" s="577"/>
      <c r="AJ41" s="577"/>
      <c r="AK41" s="577"/>
      <c r="AL41" s="577"/>
      <c r="AM41" s="577">
        <v>70</v>
      </c>
      <c r="AN41" s="577">
        <v>1280</v>
      </c>
      <c r="AO41" s="577">
        <v>819.2</v>
      </c>
      <c r="AP41" s="577">
        <v>0</v>
      </c>
      <c r="AQ41" s="577">
        <v>0</v>
      </c>
      <c r="AR41" s="577">
        <v>0</v>
      </c>
      <c r="AS41" s="577"/>
      <c r="AT41" s="577"/>
      <c r="AU41" s="577"/>
      <c r="AV41" s="577"/>
      <c r="AW41" s="577"/>
      <c r="AX41" s="577"/>
      <c r="AY41" s="577"/>
      <c r="AZ41" s="577"/>
      <c r="BA41" s="577"/>
      <c r="BB41" s="577"/>
      <c r="BC41" s="577"/>
      <c r="BD41" s="577"/>
      <c r="BE41" s="577"/>
      <c r="BF41" s="577"/>
      <c r="BG41" s="577"/>
      <c r="BH41" s="577"/>
      <c r="BI41" s="577"/>
      <c r="BJ41" s="577"/>
      <c r="BK41" s="577"/>
      <c r="BL41" s="577"/>
      <c r="BM41" s="577"/>
      <c r="BN41" s="577"/>
      <c r="BO41" s="577"/>
      <c r="BP41" s="577"/>
      <c r="BQ41" s="579">
        <f t="shared" si="4"/>
        <v>70</v>
      </c>
      <c r="BR41" s="579">
        <f t="shared" si="4"/>
        <v>1280</v>
      </c>
      <c r="BS41" s="579">
        <f t="shared" si="4"/>
        <v>819.2</v>
      </c>
      <c r="BT41" s="579">
        <f t="shared" si="24"/>
        <v>0</v>
      </c>
      <c r="BU41" s="579">
        <f t="shared" si="25"/>
        <v>0</v>
      </c>
      <c r="BV41" s="579">
        <f t="shared" si="26"/>
        <v>0</v>
      </c>
      <c r="BW41" s="579">
        <f t="shared" si="8"/>
        <v>5.833333333333333</v>
      </c>
      <c r="BX41" s="579">
        <f t="shared" si="8"/>
        <v>106.66666666666667</v>
      </c>
      <c r="BY41" s="579">
        <f t="shared" si="8"/>
        <v>68.266666666666666</v>
      </c>
      <c r="BZ41" s="577"/>
      <c r="CA41" s="572"/>
      <c r="CB41" s="572"/>
      <c r="CC41" s="287"/>
      <c r="CD41" s="287"/>
      <c r="CE41" s="287"/>
      <c r="CF41" s="572"/>
      <c r="CG41" s="572"/>
      <c r="CH41" s="572"/>
      <c r="CI41" s="572"/>
      <c r="CJ41" s="572"/>
      <c r="CK41" s="572"/>
      <c r="CL41" s="572"/>
      <c r="CM41" s="572"/>
      <c r="CN41" s="572"/>
      <c r="CO41" s="572"/>
      <c r="CP41" s="572"/>
      <c r="CQ41" s="572"/>
      <c r="CR41" s="572"/>
      <c r="CS41" s="572"/>
      <c r="CT41" s="572"/>
      <c r="CU41" s="572"/>
      <c r="CV41" s="572"/>
      <c r="CW41" s="572"/>
      <c r="CX41" s="572"/>
      <c r="CY41" s="572"/>
      <c r="CZ41" s="572"/>
      <c r="DA41" s="572"/>
      <c r="DB41" s="572"/>
      <c r="DC41" s="572"/>
      <c r="DD41" s="572"/>
      <c r="DE41" s="572"/>
      <c r="DF41" s="572"/>
      <c r="DG41" s="572"/>
      <c r="DH41" s="572"/>
      <c r="DI41" s="572"/>
      <c r="DJ41" s="580">
        <f t="shared" si="9"/>
        <v>0</v>
      </c>
      <c r="DK41" s="580">
        <f t="shared" si="9"/>
        <v>0</v>
      </c>
      <c r="DL41" s="580">
        <f t="shared" si="9"/>
        <v>0</v>
      </c>
      <c r="DM41" s="664">
        <f t="shared" si="27"/>
        <v>0</v>
      </c>
      <c r="DN41" s="664">
        <f t="shared" si="28"/>
        <v>0</v>
      </c>
      <c r="DO41" s="665">
        <f t="shared" si="29"/>
        <v>0</v>
      </c>
      <c r="DP41" s="583"/>
      <c r="DQ41" s="817">
        <f t="shared" si="14"/>
        <v>-100</v>
      </c>
      <c r="DR41" s="820" t="s">
        <v>324</v>
      </c>
    </row>
    <row r="42" spans="1:122">
      <c r="A42" s="572">
        <v>12</v>
      </c>
      <c r="B42" s="572" t="s">
        <v>283</v>
      </c>
      <c r="C42" s="572" t="s">
        <v>284</v>
      </c>
      <c r="D42" s="572" t="s">
        <v>229</v>
      </c>
      <c r="E42" s="572" t="s">
        <v>147</v>
      </c>
      <c r="F42" s="572" t="s">
        <v>280</v>
      </c>
      <c r="G42" s="575">
        <v>245</v>
      </c>
      <c r="H42" s="575">
        <v>3830</v>
      </c>
      <c r="I42" s="575">
        <v>195</v>
      </c>
      <c r="J42" s="575">
        <v>3330</v>
      </c>
      <c r="K42" s="575">
        <v>140</v>
      </c>
      <c r="L42" s="575">
        <v>2210</v>
      </c>
      <c r="M42" s="575">
        <v>160</v>
      </c>
      <c r="N42" s="575">
        <v>2840</v>
      </c>
      <c r="O42" s="575">
        <v>204</v>
      </c>
      <c r="P42" s="575">
        <v>3156</v>
      </c>
      <c r="Q42" s="575">
        <v>140</v>
      </c>
      <c r="R42" s="575">
        <v>2260</v>
      </c>
      <c r="S42" s="575">
        <v>155</v>
      </c>
      <c r="T42" s="575">
        <v>2470</v>
      </c>
      <c r="U42" s="575">
        <v>125</v>
      </c>
      <c r="V42" s="575">
        <v>1750</v>
      </c>
      <c r="W42" s="575">
        <v>110</v>
      </c>
      <c r="X42" s="575">
        <v>2140</v>
      </c>
      <c r="Y42" s="575">
        <v>100</v>
      </c>
      <c r="Z42" s="575">
        <v>1700</v>
      </c>
      <c r="AA42" s="575">
        <v>130</v>
      </c>
      <c r="AB42" s="575">
        <v>2120</v>
      </c>
      <c r="AC42" s="575">
        <v>125</v>
      </c>
      <c r="AD42" s="575">
        <v>2050</v>
      </c>
      <c r="AE42" s="576">
        <f t="shared" si="3"/>
        <v>1829</v>
      </c>
      <c r="AF42" s="576">
        <f t="shared" si="3"/>
        <v>29856</v>
      </c>
      <c r="AG42" s="577"/>
      <c r="AH42" s="577"/>
      <c r="AI42" s="577"/>
      <c r="AJ42" s="577"/>
      <c r="AK42" s="577"/>
      <c r="AL42" s="577"/>
      <c r="AM42" s="577">
        <v>85</v>
      </c>
      <c r="AN42" s="577">
        <v>1490</v>
      </c>
      <c r="AO42" s="577">
        <v>953.60000000000014</v>
      </c>
      <c r="AP42" s="577">
        <v>155</v>
      </c>
      <c r="AQ42" s="577">
        <v>2620</v>
      </c>
      <c r="AR42" s="577">
        <v>1676.8</v>
      </c>
      <c r="AS42" s="577">
        <v>100</v>
      </c>
      <c r="AT42" s="577">
        <v>1400</v>
      </c>
      <c r="AU42" s="577">
        <v>896.00000000000011</v>
      </c>
      <c r="AV42" s="577">
        <v>50</v>
      </c>
      <c r="AW42" s="577">
        <v>700</v>
      </c>
      <c r="AX42" s="577">
        <v>448.00000000000006</v>
      </c>
      <c r="AY42" s="577">
        <v>40</v>
      </c>
      <c r="AZ42" s="577">
        <v>560</v>
      </c>
      <c r="BA42" s="577">
        <v>358.40000000000003</v>
      </c>
      <c r="BB42" s="577">
        <v>100</v>
      </c>
      <c r="BC42" s="577">
        <v>1400</v>
      </c>
      <c r="BD42" s="577">
        <v>896</v>
      </c>
      <c r="BE42" s="577">
        <v>65</v>
      </c>
      <c r="BF42" s="577">
        <v>1060</v>
      </c>
      <c r="BG42" s="577">
        <v>678.40000000000009</v>
      </c>
      <c r="BH42" s="577">
        <v>65</v>
      </c>
      <c r="BI42" s="577">
        <v>1060</v>
      </c>
      <c r="BJ42" s="577">
        <v>678.4</v>
      </c>
      <c r="BK42" s="577">
        <v>45</v>
      </c>
      <c r="BL42" s="577">
        <v>780</v>
      </c>
      <c r="BM42" s="577">
        <v>499.20000000000005</v>
      </c>
      <c r="BN42" s="577">
        <v>45</v>
      </c>
      <c r="BO42" s="577">
        <v>780</v>
      </c>
      <c r="BP42" s="577">
        <v>499.20000000000005</v>
      </c>
      <c r="BQ42" s="579">
        <f t="shared" si="4"/>
        <v>750</v>
      </c>
      <c r="BR42" s="579">
        <f t="shared" si="4"/>
        <v>11850</v>
      </c>
      <c r="BS42" s="579">
        <f t="shared" si="4"/>
        <v>7584</v>
      </c>
      <c r="BT42" s="579">
        <f t="shared" si="24"/>
        <v>0</v>
      </c>
      <c r="BU42" s="579">
        <f t="shared" si="25"/>
        <v>0</v>
      </c>
      <c r="BV42" s="579">
        <f t="shared" si="26"/>
        <v>0</v>
      </c>
      <c r="BW42" s="579">
        <f t="shared" si="8"/>
        <v>62.5</v>
      </c>
      <c r="BX42" s="579">
        <f t="shared" si="8"/>
        <v>987.5</v>
      </c>
      <c r="BY42" s="579">
        <f t="shared" si="8"/>
        <v>632</v>
      </c>
      <c r="BZ42" s="579"/>
      <c r="CA42" s="572"/>
      <c r="CB42" s="572"/>
      <c r="CC42" s="287"/>
      <c r="CD42" s="287"/>
      <c r="CE42" s="287"/>
      <c r="CF42" s="572"/>
      <c r="CG42" s="572"/>
      <c r="CH42" s="572"/>
      <c r="CI42" s="572"/>
      <c r="CJ42" s="572"/>
      <c r="CK42" s="572"/>
      <c r="CL42" s="572"/>
      <c r="CM42" s="572"/>
      <c r="CN42" s="572"/>
      <c r="CO42" s="572"/>
      <c r="CP42" s="572"/>
      <c r="CQ42" s="572"/>
      <c r="CR42" s="572"/>
      <c r="CS42" s="572"/>
      <c r="CT42" s="572"/>
      <c r="CU42" s="572"/>
      <c r="CV42" s="572"/>
      <c r="CW42" s="572"/>
      <c r="CX42" s="572"/>
      <c r="CY42" s="572"/>
      <c r="CZ42" s="572"/>
      <c r="DA42" s="572"/>
      <c r="DB42" s="572"/>
      <c r="DC42" s="572"/>
      <c r="DD42" s="572"/>
      <c r="DE42" s="572"/>
      <c r="DF42" s="572"/>
      <c r="DG42" s="572"/>
      <c r="DH42" s="572"/>
      <c r="DI42" s="572"/>
      <c r="DJ42" s="580">
        <f t="shared" si="9"/>
        <v>0</v>
      </c>
      <c r="DK42" s="580">
        <f t="shared" si="9"/>
        <v>0</v>
      </c>
      <c r="DL42" s="580">
        <f t="shared" si="9"/>
        <v>0</v>
      </c>
      <c r="DM42" s="664">
        <f t="shared" si="27"/>
        <v>0</v>
      </c>
      <c r="DN42" s="664">
        <f t="shared" si="28"/>
        <v>0</v>
      </c>
      <c r="DO42" s="665">
        <f t="shared" si="29"/>
        <v>0</v>
      </c>
      <c r="DP42" s="583"/>
      <c r="DQ42" s="817">
        <f t="shared" si="14"/>
        <v>-100</v>
      </c>
      <c r="DR42" s="820" t="s">
        <v>324</v>
      </c>
    </row>
    <row r="43" spans="1:122">
      <c r="A43" s="572">
        <v>13</v>
      </c>
      <c r="B43" s="572" t="s">
        <v>287</v>
      </c>
      <c r="C43" s="572" t="s">
        <v>288</v>
      </c>
      <c r="D43" s="572" t="s">
        <v>261</v>
      </c>
      <c r="E43" s="572" t="s">
        <v>262</v>
      </c>
      <c r="F43" s="572" t="s">
        <v>280</v>
      </c>
      <c r="G43" s="575">
        <v>230</v>
      </c>
      <c r="H43" s="575">
        <v>3220</v>
      </c>
      <c r="I43" s="575">
        <v>200</v>
      </c>
      <c r="J43" s="575">
        <v>2800</v>
      </c>
      <c r="K43" s="575">
        <v>200</v>
      </c>
      <c r="L43" s="575">
        <v>2800</v>
      </c>
      <c r="M43" s="575">
        <v>250</v>
      </c>
      <c r="N43" s="575">
        <v>3500</v>
      </c>
      <c r="O43" s="575">
        <v>50</v>
      </c>
      <c r="P43" s="575">
        <v>700</v>
      </c>
      <c r="Q43" s="575">
        <v>110</v>
      </c>
      <c r="R43" s="575">
        <v>1640</v>
      </c>
      <c r="S43" s="575"/>
      <c r="T43" s="575"/>
      <c r="U43" s="575">
        <v>26</v>
      </c>
      <c r="V43" s="575">
        <v>364</v>
      </c>
      <c r="W43" s="575">
        <v>250</v>
      </c>
      <c r="X43" s="575">
        <v>3500</v>
      </c>
      <c r="Y43" s="575">
        <v>45</v>
      </c>
      <c r="Z43" s="575">
        <v>830</v>
      </c>
      <c r="AA43" s="575"/>
      <c r="AB43" s="575"/>
      <c r="AC43" s="575">
        <v>300</v>
      </c>
      <c r="AD43" s="575">
        <v>4200</v>
      </c>
      <c r="AE43" s="576">
        <f t="shared" si="3"/>
        <v>1661</v>
      </c>
      <c r="AF43" s="576">
        <f t="shared" si="3"/>
        <v>23554</v>
      </c>
      <c r="AG43" s="577"/>
      <c r="AH43" s="577"/>
      <c r="AI43" s="577"/>
      <c r="AJ43" s="577"/>
      <c r="AK43" s="577"/>
      <c r="AL43" s="577"/>
      <c r="AM43" s="577">
        <v>100</v>
      </c>
      <c r="AN43" s="577">
        <v>1400</v>
      </c>
      <c r="AO43" s="577">
        <v>896</v>
      </c>
      <c r="AP43" s="577">
        <v>200</v>
      </c>
      <c r="AQ43" s="577">
        <v>2800</v>
      </c>
      <c r="AR43" s="577">
        <v>1792</v>
      </c>
      <c r="AS43" s="577">
        <v>80</v>
      </c>
      <c r="AT43" s="577">
        <v>1060</v>
      </c>
      <c r="AU43" s="577">
        <v>808</v>
      </c>
      <c r="AV43" s="577">
        <v>0</v>
      </c>
      <c r="AW43" s="577">
        <v>0</v>
      </c>
      <c r="AX43" s="577">
        <v>0</v>
      </c>
      <c r="AY43" s="577">
        <v>0</v>
      </c>
      <c r="AZ43" s="577">
        <v>0</v>
      </c>
      <c r="BA43" s="577">
        <v>0</v>
      </c>
      <c r="BB43" s="577">
        <v>50</v>
      </c>
      <c r="BC43" s="577">
        <v>700</v>
      </c>
      <c r="BD43" s="577">
        <v>448</v>
      </c>
      <c r="BE43" s="577">
        <v>0</v>
      </c>
      <c r="BF43" s="577">
        <v>0</v>
      </c>
      <c r="BG43" s="577">
        <v>0</v>
      </c>
      <c r="BH43" s="577">
        <v>0</v>
      </c>
      <c r="BI43" s="577">
        <v>0</v>
      </c>
      <c r="BJ43" s="577">
        <v>0</v>
      </c>
      <c r="BK43" s="577">
        <v>0</v>
      </c>
      <c r="BL43" s="577">
        <v>0</v>
      </c>
      <c r="BM43" s="577">
        <v>0</v>
      </c>
      <c r="BN43" s="577"/>
      <c r="BO43" s="577"/>
      <c r="BP43" s="577"/>
      <c r="BQ43" s="579">
        <f t="shared" si="4"/>
        <v>430</v>
      </c>
      <c r="BR43" s="579">
        <f t="shared" si="4"/>
        <v>5960</v>
      </c>
      <c r="BS43" s="579">
        <f t="shared" si="4"/>
        <v>3944</v>
      </c>
      <c r="BT43" s="579">
        <f t="shared" si="24"/>
        <v>0</v>
      </c>
      <c r="BU43" s="579">
        <f t="shared" si="25"/>
        <v>0</v>
      </c>
      <c r="BV43" s="579">
        <f t="shared" si="26"/>
        <v>0</v>
      </c>
      <c r="BW43" s="579">
        <f t="shared" si="8"/>
        <v>35.833333333333336</v>
      </c>
      <c r="BX43" s="579">
        <f t="shared" si="8"/>
        <v>496.66666666666669</v>
      </c>
      <c r="BY43" s="579">
        <f t="shared" si="8"/>
        <v>328.66666666666669</v>
      </c>
      <c r="BZ43" s="579"/>
      <c r="CA43" s="572"/>
      <c r="CB43" s="572"/>
      <c r="CC43" s="287"/>
      <c r="CD43" s="287"/>
      <c r="CE43" s="287"/>
      <c r="CF43" s="572"/>
      <c r="CG43" s="572"/>
      <c r="CH43" s="572"/>
      <c r="CI43" s="572"/>
      <c r="CJ43" s="572"/>
      <c r="CK43" s="572"/>
      <c r="CL43" s="572"/>
      <c r="CM43" s="572"/>
      <c r="CN43" s="572"/>
      <c r="CO43" s="572"/>
      <c r="CP43" s="572"/>
      <c r="CQ43" s="572"/>
      <c r="CR43" s="572"/>
      <c r="CS43" s="572"/>
      <c r="CT43" s="572"/>
      <c r="CU43" s="572"/>
      <c r="CV43" s="572"/>
      <c r="CW43" s="572"/>
      <c r="CX43" s="572"/>
      <c r="CY43" s="572"/>
      <c r="CZ43" s="572"/>
      <c r="DA43" s="572"/>
      <c r="DB43" s="572"/>
      <c r="DC43" s="572"/>
      <c r="DD43" s="572"/>
      <c r="DE43" s="572"/>
      <c r="DF43" s="572"/>
      <c r="DG43" s="572"/>
      <c r="DH43" s="572"/>
      <c r="DI43" s="572"/>
      <c r="DJ43" s="580">
        <f t="shared" si="9"/>
        <v>0</v>
      </c>
      <c r="DK43" s="580">
        <f t="shared" si="9"/>
        <v>0</v>
      </c>
      <c r="DL43" s="580">
        <f t="shared" si="9"/>
        <v>0</v>
      </c>
      <c r="DM43" s="664">
        <f t="shared" si="27"/>
        <v>0</v>
      </c>
      <c r="DN43" s="664">
        <f t="shared" si="28"/>
        <v>0</v>
      </c>
      <c r="DO43" s="665">
        <f t="shared" si="29"/>
        <v>0</v>
      </c>
      <c r="DP43" s="583"/>
      <c r="DQ43" s="817">
        <f t="shared" si="14"/>
        <v>-100</v>
      </c>
      <c r="DR43" s="820" t="s">
        <v>324</v>
      </c>
    </row>
    <row r="44" spans="1:122">
      <c r="A44" s="572">
        <v>14</v>
      </c>
      <c r="B44" s="572" t="s">
        <v>294</v>
      </c>
      <c r="C44" s="572" t="s">
        <v>295</v>
      </c>
      <c r="D44" s="572" t="s">
        <v>268</v>
      </c>
      <c r="E44" s="572" t="s">
        <v>107</v>
      </c>
      <c r="F44" s="572" t="s">
        <v>280</v>
      </c>
      <c r="G44" s="575">
        <v>200</v>
      </c>
      <c r="H44" s="575">
        <v>2800</v>
      </c>
      <c r="I44" s="575">
        <v>250</v>
      </c>
      <c r="J44" s="575">
        <v>3500</v>
      </c>
      <c r="K44" s="575">
        <v>100</v>
      </c>
      <c r="L44" s="575">
        <v>1400</v>
      </c>
      <c r="M44" s="575"/>
      <c r="N44" s="575"/>
      <c r="O44" s="575"/>
      <c r="P44" s="575"/>
      <c r="Q44" s="575">
        <v>300</v>
      </c>
      <c r="R44" s="575">
        <v>4100</v>
      </c>
      <c r="S44" s="575">
        <v>605</v>
      </c>
      <c r="T44" s="575">
        <v>8340</v>
      </c>
      <c r="U44" s="575">
        <v>500</v>
      </c>
      <c r="V44" s="575">
        <v>7000</v>
      </c>
      <c r="W44" s="575">
        <v>175</v>
      </c>
      <c r="X44" s="575">
        <v>2450</v>
      </c>
      <c r="Y44" s="575">
        <v>300</v>
      </c>
      <c r="Z44" s="575">
        <v>4200</v>
      </c>
      <c r="AA44" s="575"/>
      <c r="AB44" s="575"/>
      <c r="AC44" s="575">
        <v>170</v>
      </c>
      <c r="AD44" s="575">
        <v>2380</v>
      </c>
      <c r="AE44" s="576">
        <f t="shared" si="3"/>
        <v>2600</v>
      </c>
      <c r="AF44" s="576">
        <f t="shared" si="3"/>
        <v>36170</v>
      </c>
      <c r="AG44" s="577"/>
      <c r="AH44" s="577"/>
      <c r="AI44" s="577"/>
      <c r="AJ44" s="577"/>
      <c r="AK44" s="577"/>
      <c r="AL44" s="577"/>
      <c r="AM44" s="577">
        <v>200</v>
      </c>
      <c r="AN44" s="577">
        <v>2800</v>
      </c>
      <c r="AO44" s="577">
        <v>1792</v>
      </c>
      <c r="AP44" s="577">
        <v>50</v>
      </c>
      <c r="AQ44" s="577">
        <v>700</v>
      </c>
      <c r="AR44" s="577">
        <v>448</v>
      </c>
      <c r="AS44" s="577">
        <v>50</v>
      </c>
      <c r="AT44" s="577">
        <v>700</v>
      </c>
      <c r="AU44" s="577">
        <v>448</v>
      </c>
      <c r="AV44" s="577">
        <v>100</v>
      </c>
      <c r="AW44" s="577">
        <v>1400</v>
      </c>
      <c r="AX44" s="577">
        <v>896</v>
      </c>
      <c r="AY44" s="577">
        <v>150</v>
      </c>
      <c r="AZ44" s="577">
        <v>2100</v>
      </c>
      <c r="BA44" s="577">
        <v>1344</v>
      </c>
      <c r="BB44" s="577">
        <v>75</v>
      </c>
      <c r="BC44" s="577">
        <v>1050</v>
      </c>
      <c r="BD44" s="577">
        <v>672</v>
      </c>
      <c r="BE44" s="577">
        <v>100</v>
      </c>
      <c r="BF44" s="577">
        <v>1400</v>
      </c>
      <c r="BG44" s="577">
        <v>896</v>
      </c>
      <c r="BH44" s="577">
        <v>0</v>
      </c>
      <c r="BI44" s="577">
        <v>0</v>
      </c>
      <c r="BJ44" s="577">
        <v>0</v>
      </c>
      <c r="BK44" s="577">
        <v>0</v>
      </c>
      <c r="BL44" s="577">
        <v>0</v>
      </c>
      <c r="BM44" s="577">
        <v>0</v>
      </c>
      <c r="BN44" s="577"/>
      <c r="BO44" s="577"/>
      <c r="BP44" s="577"/>
      <c r="BQ44" s="579">
        <f t="shared" si="4"/>
        <v>725</v>
      </c>
      <c r="BR44" s="579">
        <f t="shared" si="4"/>
        <v>10150</v>
      </c>
      <c r="BS44" s="579">
        <f t="shared" si="4"/>
        <v>6496</v>
      </c>
      <c r="BT44" s="579">
        <f t="shared" si="24"/>
        <v>0</v>
      </c>
      <c r="BU44" s="579">
        <f t="shared" si="25"/>
        <v>0</v>
      </c>
      <c r="BV44" s="579">
        <f t="shared" si="26"/>
        <v>0</v>
      </c>
      <c r="BW44" s="579">
        <f t="shared" si="8"/>
        <v>60.416666666666664</v>
      </c>
      <c r="BX44" s="579">
        <f t="shared" si="8"/>
        <v>845.83333333333337</v>
      </c>
      <c r="BY44" s="579">
        <f t="shared" si="8"/>
        <v>541.33333333333337</v>
      </c>
      <c r="BZ44" s="579"/>
      <c r="CA44" s="572"/>
      <c r="CB44" s="572"/>
      <c r="CC44" s="287"/>
      <c r="CD44" s="287"/>
      <c r="CE44" s="287"/>
      <c r="CF44" s="572"/>
      <c r="CG44" s="572"/>
      <c r="CH44" s="572"/>
      <c r="CI44" s="572"/>
      <c r="CJ44" s="572"/>
      <c r="CK44" s="572"/>
      <c r="CL44" s="572"/>
      <c r="CM44" s="572"/>
      <c r="CN44" s="572"/>
      <c r="CO44" s="572"/>
      <c r="CP44" s="572"/>
      <c r="CQ44" s="572"/>
      <c r="CR44" s="572"/>
      <c r="CS44" s="572"/>
      <c r="CT44" s="572"/>
      <c r="CU44" s="572"/>
      <c r="CV44" s="572"/>
      <c r="CW44" s="572"/>
      <c r="CX44" s="572"/>
      <c r="CY44" s="572"/>
      <c r="CZ44" s="572"/>
      <c r="DA44" s="572"/>
      <c r="DB44" s="572"/>
      <c r="DC44" s="572"/>
      <c r="DD44" s="572"/>
      <c r="DE44" s="572"/>
      <c r="DF44" s="572"/>
      <c r="DG44" s="572"/>
      <c r="DH44" s="572"/>
      <c r="DI44" s="572"/>
      <c r="DJ44" s="580">
        <f t="shared" si="9"/>
        <v>0</v>
      </c>
      <c r="DK44" s="580">
        <f t="shared" si="9"/>
        <v>0</v>
      </c>
      <c r="DL44" s="580">
        <f t="shared" si="9"/>
        <v>0</v>
      </c>
      <c r="DM44" s="664">
        <f t="shared" si="27"/>
        <v>0</v>
      </c>
      <c r="DN44" s="664">
        <f t="shared" si="28"/>
        <v>0</v>
      </c>
      <c r="DO44" s="665">
        <f t="shared" si="29"/>
        <v>0</v>
      </c>
      <c r="DP44" s="583"/>
      <c r="DQ44" s="817">
        <f t="shared" si="14"/>
        <v>-100</v>
      </c>
      <c r="DR44" s="820" t="s">
        <v>324</v>
      </c>
    </row>
    <row r="45" spans="1:122">
      <c r="A45" s="572">
        <v>15</v>
      </c>
      <c r="B45" s="572" t="s">
        <v>302</v>
      </c>
      <c r="C45" s="572" t="s">
        <v>303</v>
      </c>
      <c r="D45" s="572" t="s">
        <v>268</v>
      </c>
      <c r="E45" s="572" t="s">
        <v>107</v>
      </c>
      <c r="F45" s="572" t="s">
        <v>280</v>
      </c>
      <c r="G45" s="575"/>
      <c r="H45" s="575"/>
      <c r="I45" s="575"/>
      <c r="J45" s="575"/>
      <c r="K45" s="575"/>
      <c r="L45" s="575"/>
      <c r="M45" s="575"/>
      <c r="N45" s="575"/>
      <c r="O45" s="575"/>
      <c r="P45" s="575"/>
      <c r="Q45" s="575"/>
      <c r="R45" s="575"/>
      <c r="S45" s="575"/>
      <c r="T45" s="575"/>
      <c r="U45" s="575"/>
      <c r="V45" s="575"/>
      <c r="W45" s="575"/>
      <c r="X45" s="575"/>
      <c r="Y45" s="575"/>
      <c r="Z45" s="575"/>
      <c r="AA45" s="575"/>
      <c r="AB45" s="575"/>
      <c r="AC45" s="575"/>
      <c r="AD45" s="575"/>
      <c r="AE45" s="576">
        <f t="shared" si="3"/>
        <v>0</v>
      </c>
      <c r="AF45" s="576">
        <f t="shared" si="3"/>
        <v>0</v>
      </c>
      <c r="AG45" s="577"/>
      <c r="AH45" s="577"/>
      <c r="AI45" s="577"/>
      <c r="AJ45" s="577"/>
      <c r="AK45" s="577"/>
      <c r="AL45" s="577"/>
      <c r="AM45" s="577"/>
      <c r="AN45" s="577"/>
      <c r="AO45" s="577"/>
      <c r="AP45" s="577"/>
      <c r="AQ45" s="577"/>
      <c r="AR45" s="577"/>
      <c r="AS45" s="577">
        <v>0</v>
      </c>
      <c r="AT45" s="577">
        <v>0</v>
      </c>
      <c r="AU45" s="577">
        <v>0</v>
      </c>
      <c r="AV45" s="577">
        <v>0</v>
      </c>
      <c r="AW45" s="577">
        <v>0</v>
      </c>
      <c r="AX45" s="577">
        <v>0</v>
      </c>
      <c r="AY45" s="577"/>
      <c r="AZ45" s="577"/>
      <c r="BA45" s="577"/>
      <c r="BB45" s="577"/>
      <c r="BC45" s="577"/>
      <c r="BD45" s="577"/>
      <c r="BE45" s="577"/>
      <c r="BF45" s="577"/>
      <c r="BG45" s="577"/>
      <c r="BH45" s="577"/>
      <c r="BI45" s="577"/>
      <c r="BJ45" s="577"/>
      <c r="BK45" s="577"/>
      <c r="BL45" s="577"/>
      <c r="BM45" s="577"/>
      <c r="BN45" s="577"/>
      <c r="BO45" s="577"/>
      <c r="BP45" s="577"/>
      <c r="BQ45" s="579">
        <f t="shared" si="4"/>
        <v>0</v>
      </c>
      <c r="BR45" s="579">
        <f t="shared" si="4"/>
        <v>0</v>
      </c>
      <c r="BS45" s="579">
        <f t="shared" si="4"/>
        <v>0</v>
      </c>
      <c r="BT45" s="579">
        <f t="shared" si="24"/>
        <v>0</v>
      </c>
      <c r="BU45" s="579">
        <f t="shared" si="25"/>
        <v>0</v>
      </c>
      <c r="BV45" s="579">
        <f t="shared" si="26"/>
        <v>0</v>
      </c>
      <c r="BW45" s="579">
        <f t="shared" si="8"/>
        <v>0</v>
      </c>
      <c r="BX45" s="579">
        <f t="shared" si="8"/>
        <v>0</v>
      </c>
      <c r="BY45" s="579">
        <f t="shared" si="8"/>
        <v>0</v>
      </c>
      <c r="BZ45" s="579"/>
      <c r="CA45" s="572"/>
      <c r="CB45" s="572"/>
      <c r="CC45" s="287"/>
      <c r="CD45" s="287"/>
      <c r="CE45" s="287"/>
      <c r="CF45" s="572"/>
      <c r="CG45" s="572"/>
      <c r="CH45" s="572"/>
      <c r="CI45" s="572"/>
      <c r="CJ45" s="572"/>
      <c r="CK45" s="572"/>
      <c r="CL45" s="572"/>
      <c r="CM45" s="572"/>
      <c r="CN45" s="572"/>
      <c r="CO45" s="572"/>
      <c r="CP45" s="572"/>
      <c r="CQ45" s="572"/>
      <c r="CR45" s="572"/>
      <c r="CS45" s="572"/>
      <c r="CT45" s="572"/>
      <c r="CU45" s="572"/>
      <c r="CV45" s="572"/>
      <c r="CW45" s="572"/>
      <c r="CX45" s="572"/>
      <c r="CY45" s="572"/>
      <c r="CZ45" s="572"/>
      <c r="DA45" s="572"/>
      <c r="DB45" s="572"/>
      <c r="DC45" s="572"/>
      <c r="DD45" s="572"/>
      <c r="DE45" s="572"/>
      <c r="DF45" s="572"/>
      <c r="DG45" s="572"/>
      <c r="DH45" s="572"/>
      <c r="DI45" s="572"/>
      <c r="DJ45" s="580">
        <f t="shared" si="9"/>
        <v>0</v>
      </c>
      <c r="DK45" s="580">
        <f t="shared" si="9"/>
        <v>0</v>
      </c>
      <c r="DL45" s="580">
        <f t="shared" si="9"/>
        <v>0</v>
      </c>
      <c r="DM45" s="664">
        <f t="shared" si="27"/>
        <v>0</v>
      </c>
      <c r="DN45" s="664">
        <f t="shared" si="28"/>
        <v>0</v>
      </c>
      <c r="DO45" s="665">
        <f t="shared" si="29"/>
        <v>0</v>
      </c>
      <c r="DP45" s="583"/>
      <c r="DQ45" s="817"/>
    </row>
    <row r="46" spans="1:122" s="587" customFormat="1">
      <c r="A46" s="866" t="s">
        <v>309</v>
      </c>
      <c r="B46" s="866"/>
      <c r="C46" s="866"/>
      <c r="D46" s="866"/>
      <c r="E46" s="866"/>
      <c r="F46" s="866"/>
      <c r="G46" s="581">
        <f>SUM(G31:G45)</f>
        <v>2064</v>
      </c>
      <c r="H46" s="581">
        <f t="shared" ref="H46:BP46" si="30">SUM(H31:H45)</f>
        <v>30646</v>
      </c>
      <c r="I46" s="581">
        <f t="shared" si="30"/>
        <v>2054</v>
      </c>
      <c r="J46" s="581">
        <f t="shared" si="30"/>
        <v>30466</v>
      </c>
      <c r="K46" s="581">
        <f t="shared" si="30"/>
        <v>1765</v>
      </c>
      <c r="L46" s="581">
        <f t="shared" si="30"/>
        <v>24410</v>
      </c>
      <c r="M46" s="581">
        <f t="shared" si="30"/>
        <v>1249</v>
      </c>
      <c r="N46" s="581">
        <f t="shared" si="30"/>
        <v>19036</v>
      </c>
      <c r="O46" s="581">
        <f t="shared" si="30"/>
        <v>1422</v>
      </c>
      <c r="P46" s="581">
        <f t="shared" si="30"/>
        <v>21408</v>
      </c>
      <c r="Q46" s="581">
        <f t="shared" si="30"/>
        <v>1595</v>
      </c>
      <c r="R46" s="581">
        <f t="shared" si="30"/>
        <v>24030</v>
      </c>
      <c r="S46" s="581">
        <f t="shared" si="30"/>
        <v>2420</v>
      </c>
      <c r="T46" s="581">
        <f t="shared" si="30"/>
        <v>36050</v>
      </c>
      <c r="U46" s="581">
        <f t="shared" si="30"/>
        <v>2084</v>
      </c>
      <c r="V46" s="581">
        <f t="shared" si="30"/>
        <v>32206</v>
      </c>
      <c r="W46" s="581">
        <f t="shared" si="30"/>
        <v>2375</v>
      </c>
      <c r="X46" s="581">
        <f t="shared" si="30"/>
        <v>34850</v>
      </c>
      <c r="Y46" s="581">
        <f t="shared" si="30"/>
        <v>1832</v>
      </c>
      <c r="Z46" s="581">
        <f t="shared" si="30"/>
        <v>28398</v>
      </c>
      <c r="AA46" s="581">
        <f t="shared" si="30"/>
        <v>1525</v>
      </c>
      <c r="AB46" s="581">
        <f t="shared" si="30"/>
        <v>22400</v>
      </c>
      <c r="AC46" s="581">
        <f t="shared" si="30"/>
        <v>2159</v>
      </c>
      <c r="AD46" s="581">
        <f t="shared" si="30"/>
        <v>32676</v>
      </c>
      <c r="AE46" s="585">
        <f t="shared" si="3"/>
        <v>22544</v>
      </c>
      <c r="AF46" s="585">
        <f t="shared" si="3"/>
        <v>336576</v>
      </c>
      <c r="AG46" s="581">
        <f t="shared" si="30"/>
        <v>0</v>
      </c>
      <c r="AH46" s="581">
        <f t="shared" si="30"/>
        <v>0</v>
      </c>
      <c r="AI46" s="581">
        <f t="shared" si="30"/>
        <v>0</v>
      </c>
      <c r="AJ46" s="581">
        <f t="shared" si="30"/>
        <v>0</v>
      </c>
      <c r="AK46" s="581">
        <f t="shared" si="30"/>
        <v>0</v>
      </c>
      <c r="AL46" s="581">
        <f t="shared" si="30"/>
        <v>0</v>
      </c>
      <c r="AM46" s="581">
        <f t="shared" si="30"/>
        <v>2315</v>
      </c>
      <c r="AN46" s="581">
        <f t="shared" si="30"/>
        <v>36910</v>
      </c>
      <c r="AO46" s="581">
        <f t="shared" si="30"/>
        <v>23622.399999999998</v>
      </c>
      <c r="AP46" s="581">
        <f t="shared" si="30"/>
        <v>1425</v>
      </c>
      <c r="AQ46" s="581">
        <f t="shared" si="30"/>
        <v>20950</v>
      </c>
      <c r="AR46" s="581">
        <f t="shared" si="30"/>
        <v>13407.999999999998</v>
      </c>
      <c r="AS46" s="581">
        <f t="shared" si="30"/>
        <v>2469</v>
      </c>
      <c r="AT46" s="581">
        <f t="shared" si="30"/>
        <v>38156</v>
      </c>
      <c r="AU46" s="581">
        <f t="shared" si="30"/>
        <v>24755.84</v>
      </c>
      <c r="AV46" s="581">
        <f t="shared" si="30"/>
        <v>1862</v>
      </c>
      <c r="AW46" s="581">
        <f t="shared" si="30"/>
        <v>27744</v>
      </c>
      <c r="AX46" s="581">
        <f t="shared" si="30"/>
        <v>18970.8</v>
      </c>
      <c r="AY46" s="581">
        <f t="shared" si="30"/>
        <v>1781</v>
      </c>
      <c r="AZ46" s="581">
        <f t="shared" si="30"/>
        <v>26792</v>
      </c>
      <c r="BA46" s="581">
        <f t="shared" si="30"/>
        <v>17664.800000000003</v>
      </c>
      <c r="BB46" s="581">
        <f t="shared" si="30"/>
        <v>2205</v>
      </c>
      <c r="BC46" s="581">
        <f t="shared" si="30"/>
        <v>31260</v>
      </c>
      <c r="BD46" s="581">
        <f t="shared" si="30"/>
        <v>21093.599999999999</v>
      </c>
      <c r="BE46" s="581">
        <f t="shared" si="30"/>
        <v>2349</v>
      </c>
      <c r="BF46" s="581">
        <f t="shared" si="30"/>
        <v>32938</v>
      </c>
      <c r="BG46" s="581">
        <f t="shared" si="30"/>
        <v>24193.599999999999</v>
      </c>
      <c r="BH46" s="581">
        <f t="shared" si="30"/>
        <v>1504</v>
      </c>
      <c r="BI46" s="581">
        <f t="shared" si="30"/>
        <v>20532</v>
      </c>
      <c r="BJ46" s="581">
        <f t="shared" si="30"/>
        <v>15561.12</v>
      </c>
      <c r="BK46" s="581">
        <f t="shared" si="30"/>
        <v>1852</v>
      </c>
      <c r="BL46" s="581">
        <f t="shared" si="30"/>
        <v>25904</v>
      </c>
      <c r="BM46" s="581">
        <f t="shared" si="30"/>
        <v>19383.2</v>
      </c>
      <c r="BN46" s="581">
        <f t="shared" si="30"/>
        <v>2868</v>
      </c>
      <c r="BO46" s="581">
        <f t="shared" si="30"/>
        <v>39182</v>
      </c>
      <c r="BP46" s="581">
        <f t="shared" si="30"/>
        <v>29184.079999999998</v>
      </c>
      <c r="BQ46" s="586">
        <f t="shared" si="4"/>
        <v>20630</v>
      </c>
      <c r="BR46" s="586">
        <f t="shared" si="4"/>
        <v>300368</v>
      </c>
      <c r="BS46" s="586">
        <f t="shared" si="4"/>
        <v>207837.44</v>
      </c>
      <c r="BT46" s="581">
        <f t="shared" ref="BT46:BY46" si="31">SUM(BT31:BT45)</f>
        <v>0</v>
      </c>
      <c r="BU46" s="581">
        <f t="shared" si="31"/>
        <v>0</v>
      </c>
      <c r="BV46" s="581">
        <f t="shared" si="31"/>
        <v>0</v>
      </c>
      <c r="BW46" s="581">
        <f>SUM(BW31:BW45)</f>
        <v>1719.1666666666665</v>
      </c>
      <c r="BX46" s="581">
        <f t="shared" si="31"/>
        <v>25030.666666666668</v>
      </c>
      <c r="BY46" s="581">
        <f t="shared" si="31"/>
        <v>17319.786666666667</v>
      </c>
      <c r="BZ46" s="581">
        <f>SUM(BZ31:BZ45)</f>
        <v>1872</v>
      </c>
      <c r="CA46" s="581">
        <f t="shared" ref="CA46:DO46" si="32">SUM(CA31:CA45)</f>
        <v>28054</v>
      </c>
      <c r="CB46" s="581">
        <f t="shared" si="32"/>
        <v>19684</v>
      </c>
      <c r="CC46" s="581">
        <f t="shared" si="32"/>
        <v>1527</v>
      </c>
      <c r="CD46" s="581">
        <f t="shared" si="32"/>
        <v>21814</v>
      </c>
      <c r="CE46" s="581">
        <f t="shared" si="32"/>
        <v>16337.2</v>
      </c>
      <c r="CF46" s="581">
        <f t="shared" si="32"/>
        <v>0</v>
      </c>
      <c r="CG46" s="581">
        <f t="shared" si="32"/>
        <v>0</v>
      </c>
      <c r="CH46" s="581">
        <f t="shared" si="32"/>
        <v>0</v>
      </c>
      <c r="CI46" s="581">
        <f t="shared" si="32"/>
        <v>0</v>
      </c>
      <c r="CJ46" s="581">
        <f t="shared" si="32"/>
        <v>0</v>
      </c>
      <c r="CK46" s="581">
        <f t="shared" si="32"/>
        <v>0</v>
      </c>
      <c r="CL46" s="581">
        <f t="shared" si="32"/>
        <v>0</v>
      </c>
      <c r="CM46" s="581">
        <f t="shared" si="32"/>
        <v>0</v>
      </c>
      <c r="CN46" s="581">
        <f t="shared" si="32"/>
        <v>0</v>
      </c>
      <c r="CO46" s="581">
        <f t="shared" si="32"/>
        <v>0</v>
      </c>
      <c r="CP46" s="581">
        <f t="shared" si="32"/>
        <v>0</v>
      </c>
      <c r="CQ46" s="581">
        <f t="shared" si="32"/>
        <v>0</v>
      </c>
      <c r="CR46" s="581">
        <f t="shared" si="32"/>
        <v>0</v>
      </c>
      <c r="CS46" s="581">
        <f t="shared" si="32"/>
        <v>0</v>
      </c>
      <c r="CT46" s="581">
        <f t="shared" si="32"/>
        <v>0</v>
      </c>
      <c r="CU46" s="581">
        <f t="shared" si="32"/>
        <v>0</v>
      </c>
      <c r="CV46" s="581">
        <f t="shared" si="32"/>
        <v>0</v>
      </c>
      <c r="CW46" s="581">
        <f t="shared" si="32"/>
        <v>0</v>
      </c>
      <c r="CX46" s="581">
        <f t="shared" si="32"/>
        <v>0</v>
      </c>
      <c r="CY46" s="581">
        <f t="shared" si="32"/>
        <v>0</v>
      </c>
      <c r="CZ46" s="581">
        <f t="shared" si="32"/>
        <v>0</v>
      </c>
      <c r="DA46" s="581">
        <f t="shared" si="32"/>
        <v>0</v>
      </c>
      <c r="DB46" s="581">
        <f t="shared" si="32"/>
        <v>0</v>
      </c>
      <c r="DC46" s="581">
        <f t="shared" si="32"/>
        <v>0</v>
      </c>
      <c r="DD46" s="581">
        <f t="shared" si="32"/>
        <v>0</v>
      </c>
      <c r="DE46" s="581">
        <f t="shared" si="32"/>
        <v>0</v>
      </c>
      <c r="DF46" s="581">
        <f t="shared" si="32"/>
        <v>0</v>
      </c>
      <c r="DG46" s="581">
        <f t="shared" si="32"/>
        <v>0</v>
      </c>
      <c r="DH46" s="581">
        <f t="shared" si="32"/>
        <v>0</v>
      </c>
      <c r="DI46" s="581">
        <f t="shared" si="32"/>
        <v>0</v>
      </c>
      <c r="DJ46" s="581">
        <f t="shared" si="32"/>
        <v>3399</v>
      </c>
      <c r="DK46" s="581">
        <f t="shared" si="32"/>
        <v>49868</v>
      </c>
      <c r="DL46" s="581">
        <f t="shared" si="32"/>
        <v>36021.199999999997</v>
      </c>
      <c r="DM46" s="581">
        <f t="shared" si="32"/>
        <v>1699.5</v>
      </c>
      <c r="DN46" s="581">
        <f t="shared" si="32"/>
        <v>24934</v>
      </c>
      <c r="DO46" s="581">
        <f t="shared" si="32"/>
        <v>18010.599999999999</v>
      </c>
      <c r="DP46" s="583"/>
      <c r="DQ46" s="817">
        <f t="shared" si="14"/>
        <v>3.9885787661741716</v>
      </c>
      <c r="DR46" s="821"/>
    </row>
    <row r="47" spans="1:122">
      <c r="A47" s="572"/>
      <c r="B47" s="870" t="s">
        <v>310</v>
      </c>
      <c r="C47" s="870"/>
      <c r="D47" s="870"/>
      <c r="E47" s="870"/>
      <c r="F47" s="870"/>
      <c r="G47" s="572"/>
      <c r="H47" s="572"/>
      <c r="I47" s="572"/>
      <c r="J47" s="572"/>
      <c r="K47" s="572"/>
      <c r="L47" s="572"/>
      <c r="M47" s="572"/>
      <c r="N47" s="572"/>
      <c r="O47" s="572"/>
      <c r="P47" s="572"/>
      <c r="Q47" s="572"/>
      <c r="R47" s="572"/>
      <c r="S47" s="572"/>
      <c r="T47" s="572"/>
      <c r="U47" s="572"/>
      <c r="V47" s="572"/>
      <c r="W47" s="572"/>
      <c r="X47" s="572"/>
      <c r="Y47" s="572"/>
      <c r="Z47" s="572"/>
      <c r="AA47" s="572"/>
      <c r="AB47" s="572"/>
      <c r="AC47" s="572"/>
      <c r="AD47" s="572"/>
      <c r="AE47" s="576">
        <f t="shared" si="3"/>
        <v>0</v>
      </c>
      <c r="AF47" s="576">
        <f t="shared" si="3"/>
        <v>0</v>
      </c>
      <c r="AG47" s="572"/>
      <c r="AH47" s="572"/>
      <c r="AI47" s="572"/>
      <c r="AJ47" s="572"/>
      <c r="AK47" s="572"/>
      <c r="AL47" s="572"/>
      <c r="AM47" s="572"/>
      <c r="AN47" s="572"/>
      <c r="AO47" s="572"/>
      <c r="AP47" s="572"/>
      <c r="AQ47" s="572"/>
      <c r="AR47" s="572"/>
      <c r="AS47" s="572"/>
      <c r="AT47" s="572"/>
      <c r="AU47" s="572"/>
      <c r="AV47" s="572"/>
      <c r="AW47" s="572"/>
      <c r="AX47" s="572"/>
      <c r="AY47" s="572"/>
      <c r="AZ47" s="572"/>
      <c r="BA47" s="572"/>
      <c r="BB47" s="572"/>
      <c r="BC47" s="572"/>
      <c r="BD47" s="572"/>
      <c r="BE47" s="572"/>
      <c r="BF47" s="572"/>
      <c r="BG47" s="572"/>
      <c r="BH47" s="572"/>
      <c r="BI47" s="572"/>
      <c r="BJ47" s="572"/>
      <c r="BK47" s="572"/>
      <c r="BL47" s="572"/>
      <c r="BM47" s="572"/>
      <c r="BN47" s="572"/>
      <c r="BO47" s="572"/>
      <c r="BP47" s="572"/>
      <c r="BQ47" s="579">
        <f t="shared" si="4"/>
        <v>0</v>
      </c>
      <c r="BR47" s="579">
        <f t="shared" si="4"/>
        <v>0</v>
      </c>
      <c r="BS47" s="579">
        <f t="shared" si="4"/>
        <v>0</v>
      </c>
      <c r="BT47" s="579"/>
      <c r="BU47" s="579"/>
      <c r="BV47" s="579"/>
      <c r="BW47" s="579"/>
      <c r="BX47" s="579"/>
      <c r="BY47" s="579"/>
      <c r="BZ47" s="572"/>
      <c r="CA47" s="572"/>
      <c r="CB47" s="572"/>
      <c r="CC47" s="572"/>
      <c r="CD47" s="572"/>
      <c r="CE47" s="572"/>
      <c r="CF47" s="572"/>
      <c r="CG47" s="572"/>
      <c r="CH47" s="572"/>
      <c r="CI47" s="572"/>
      <c r="CJ47" s="572"/>
      <c r="CK47" s="572"/>
      <c r="CL47" s="572"/>
      <c r="CM47" s="572"/>
      <c r="CN47" s="572"/>
      <c r="CO47" s="572"/>
      <c r="CP47" s="572"/>
      <c r="CQ47" s="572"/>
      <c r="CR47" s="572"/>
      <c r="CS47" s="572"/>
      <c r="CT47" s="572"/>
      <c r="CU47" s="572"/>
      <c r="CV47" s="572"/>
      <c r="CW47" s="572"/>
      <c r="CX47" s="572"/>
      <c r="CY47" s="572"/>
      <c r="CZ47" s="572"/>
      <c r="DA47" s="572"/>
      <c r="DB47" s="572"/>
      <c r="DC47" s="572"/>
      <c r="DD47" s="572"/>
      <c r="DE47" s="572"/>
      <c r="DF47" s="572"/>
      <c r="DG47" s="572"/>
      <c r="DH47" s="572"/>
      <c r="DI47" s="572"/>
      <c r="DJ47" s="580"/>
      <c r="DK47" s="580"/>
      <c r="DL47" s="580"/>
      <c r="DM47" s="664"/>
      <c r="DN47" s="664"/>
      <c r="DO47" s="665"/>
      <c r="DP47" s="583"/>
      <c r="DQ47" s="817"/>
    </row>
    <row r="48" spans="1:122">
      <c r="A48" s="572" t="s">
        <v>311</v>
      </c>
      <c r="B48" s="572" t="s">
        <v>312</v>
      </c>
      <c r="C48" s="572" t="s">
        <v>313</v>
      </c>
      <c r="D48" s="572" t="s">
        <v>210</v>
      </c>
      <c r="E48" s="572" t="s">
        <v>314</v>
      </c>
      <c r="F48" s="572" t="s">
        <v>315</v>
      </c>
      <c r="G48" s="572"/>
      <c r="H48" s="572"/>
      <c r="I48" s="572"/>
      <c r="J48" s="572"/>
      <c r="K48" s="572"/>
      <c r="L48" s="572"/>
      <c r="M48" s="572"/>
      <c r="N48" s="572"/>
      <c r="O48" s="572"/>
      <c r="P48" s="572"/>
      <c r="Q48" s="572"/>
      <c r="R48" s="572"/>
      <c r="S48" s="572"/>
      <c r="T48" s="572"/>
      <c r="U48" s="572"/>
      <c r="V48" s="572"/>
      <c r="W48" s="572"/>
      <c r="X48" s="572"/>
      <c r="Y48" s="572"/>
      <c r="Z48" s="572"/>
      <c r="AA48" s="572"/>
      <c r="AB48" s="572"/>
      <c r="AC48" s="572"/>
      <c r="AD48" s="572"/>
      <c r="AE48" s="576">
        <f t="shared" si="3"/>
        <v>0</v>
      </c>
      <c r="AF48" s="576">
        <f t="shared" si="3"/>
        <v>0</v>
      </c>
      <c r="AG48" s="572"/>
      <c r="AH48" s="572"/>
      <c r="AI48" s="572"/>
      <c r="AJ48" s="572"/>
      <c r="AK48" s="572"/>
      <c r="AL48" s="572"/>
      <c r="AM48" s="572"/>
      <c r="AN48" s="572"/>
      <c r="AO48" s="572"/>
      <c r="AP48" s="572"/>
      <c r="AQ48" s="572"/>
      <c r="AR48" s="572"/>
      <c r="AS48" s="572"/>
      <c r="AT48" s="572"/>
      <c r="AU48" s="572"/>
      <c r="AV48" s="572"/>
      <c r="AW48" s="572"/>
      <c r="AX48" s="572"/>
      <c r="AY48" s="572"/>
      <c r="AZ48" s="572"/>
      <c r="BA48" s="572"/>
      <c r="BB48" s="572"/>
      <c r="BC48" s="572"/>
      <c r="BD48" s="572"/>
      <c r="BE48" s="572"/>
      <c r="BF48" s="572"/>
      <c r="BG48" s="572"/>
      <c r="BH48" s="572"/>
      <c r="BI48" s="572"/>
      <c r="BJ48" s="572"/>
      <c r="BK48" s="572"/>
      <c r="BL48" s="572"/>
      <c r="BM48" s="572"/>
      <c r="BN48" s="572"/>
      <c r="BO48" s="572"/>
      <c r="BP48" s="572"/>
      <c r="BQ48" s="579">
        <f t="shared" si="4"/>
        <v>0</v>
      </c>
      <c r="BR48" s="579">
        <f t="shared" si="4"/>
        <v>0</v>
      </c>
      <c r="BS48" s="579">
        <f t="shared" si="4"/>
        <v>0</v>
      </c>
      <c r="BT48" s="579"/>
      <c r="BU48" s="579"/>
      <c r="BV48" s="579"/>
      <c r="BW48" s="579"/>
      <c r="BX48" s="579"/>
      <c r="BY48" s="579"/>
      <c r="BZ48" s="572"/>
      <c r="CA48" s="572"/>
      <c r="CB48" s="572"/>
      <c r="CC48" s="572"/>
      <c r="CD48" s="572"/>
      <c r="CE48" s="572"/>
      <c r="CF48" s="572"/>
      <c r="CG48" s="572"/>
      <c r="CH48" s="572"/>
      <c r="CI48" s="572"/>
      <c r="CJ48" s="572"/>
      <c r="CK48" s="572"/>
      <c r="CL48" s="572"/>
      <c r="CM48" s="572"/>
      <c r="CN48" s="572"/>
      <c r="CO48" s="572"/>
      <c r="CP48" s="572"/>
      <c r="CQ48" s="572"/>
      <c r="CR48" s="572"/>
      <c r="CS48" s="572"/>
      <c r="CT48" s="572"/>
      <c r="CU48" s="572"/>
      <c r="CV48" s="572"/>
      <c r="CW48" s="572"/>
      <c r="CX48" s="572"/>
      <c r="CY48" s="572"/>
      <c r="CZ48" s="572"/>
      <c r="DA48" s="572"/>
      <c r="DB48" s="572"/>
      <c r="DC48" s="572"/>
      <c r="DD48" s="572"/>
      <c r="DE48" s="572"/>
      <c r="DF48" s="572"/>
      <c r="DG48" s="572"/>
      <c r="DH48" s="572"/>
      <c r="DI48" s="572"/>
      <c r="DJ48" s="580"/>
      <c r="DK48" s="580"/>
      <c r="DL48" s="580"/>
      <c r="DM48" s="580"/>
      <c r="DN48" s="580"/>
      <c r="DO48" s="581"/>
      <c r="DP48" s="583"/>
      <c r="DQ48" s="817"/>
    </row>
    <row r="49" spans="1:122">
      <c r="A49" s="572">
        <v>1</v>
      </c>
      <c r="B49" s="572" t="s">
        <v>316</v>
      </c>
      <c r="C49" s="572" t="s">
        <v>317</v>
      </c>
      <c r="D49" s="572" t="s">
        <v>318</v>
      </c>
      <c r="E49" s="572">
        <v>304</v>
      </c>
      <c r="F49" s="572" t="s">
        <v>319</v>
      </c>
      <c r="G49" s="575">
        <v>2066</v>
      </c>
      <c r="H49" s="575">
        <v>27201</v>
      </c>
      <c r="I49" s="575">
        <v>2509</v>
      </c>
      <c r="J49" s="575">
        <v>34409</v>
      </c>
      <c r="K49" s="575">
        <v>2849</v>
      </c>
      <c r="L49" s="575">
        <v>42280</v>
      </c>
      <c r="M49" s="575">
        <v>2900</v>
      </c>
      <c r="N49" s="575">
        <v>53252</v>
      </c>
      <c r="O49" s="575">
        <v>3500</v>
      </c>
      <c r="P49" s="575">
        <v>53804</v>
      </c>
      <c r="Q49" s="575">
        <v>3082</v>
      </c>
      <c r="R49" s="575">
        <v>47968</v>
      </c>
      <c r="S49" s="575">
        <v>3008</v>
      </c>
      <c r="T49" s="575">
        <v>53175</v>
      </c>
      <c r="U49" s="575">
        <v>4067</v>
      </c>
      <c r="V49" s="575">
        <v>62780</v>
      </c>
      <c r="W49" s="575">
        <v>2901</v>
      </c>
      <c r="X49" s="575">
        <v>50290</v>
      </c>
      <c r="Y49" s="575">
        <v>3873</v>
      </c>
      <c r="Z49" s="575">
        <v>63620</v>
      </c>
      <c r="AA49" s="575">
        <v>3032</v>
      </c>
      <c r="AB49" s="575">
        <v>42415</v>
      </c>
      <c r="AC49" s="575">
        <v>3738</v>
      </c>
      <c r="AD49" s="575">
        <v>53251</v>
      </c>
      <c r="AE49" s="576">
        <f t="shared" si="3"/>
        <v>37525</v>
      </c>
      <c r="AF49" s="576">
        <f t="shared" si="3"/>
        <v>584445</v>
      </c>
      <c r="AG49" s="577">
        <v>5969.75</v>
      </c>
      <c r="AH49" s="577">
        <v>89005</v>
      </c>
      <c r="AI49" s="577">
        <v>60083.68</v>
      </c>
      <c r="AJ49" s="577">
        <v>4551.3452380952385</v>
      </c>
      <c r="AK49" s="577">
        <v>71002</v>
      </c>
      <c r="AL49" s="577">
        <v>47743.720000000008</v>
      </c>
      <c r="AM49" s="577">
        <v>3096.416666666667</v>
      </c>
      <c r="AN49" s="577">
        <v>49364</v>
      </c>
      <c r="AO49" s="577">
        <v>35167.039999999994</v>
      </c>
      <c r="AP49" s="577">
        <v>2210.708333333333</v>
      </c>
      <c r="AQ49" s="577">
        <v>36496</v>
      </c>
      <c r="AR49" s="577">
        <v>25269.760000000002</v>
      </c>
      <c r="AS49" s="577">
        <v>2997.395833333333</v>
      </c>
      <c r="AT49" s="577">
        <v>47306</v>
      </c>
      <c r="AU49" s="577">
        <v>33577.43</v>
      </c>
      <c r="AV49" s="577">
        <v>2632.4166666666665</v>
      </c>
      <c r="AW49" s="577">
        <v>42746</v>
      </c>
      <c r="AX49" s="577">
        <v>29883.779999999995</v>
      </c>
      <c r="AY49" s="577">
        <v>3261.8333333333335</v>
      </c>
      <c r="AZ49" s="577">
        <v>48692</v>
      </c>
      <c r="BA49" s="577">
        <v>35518.159999999996</v>
      </c>
      <c r="BB49" s="577">
        <v>3080.5416666666665</v>
      </c>
      <c r="BC49" s="577">
        <v>47776</v>
      </c>
      <c r="BD49" s="577">
        <v>35118.719999999994</v>
      </c>
      <c r="BE49" s="577">
        <v>2582</v>
      </c>
      <c r="BF49" s="577">
        <v>37922</v>
      </c>
      <c r="BG49" s="577">
        <v>28595.360000000008</v>
      </c>
      <c r="BH49" s="577">
        <v>3077.3452380952381</v>
      </c>
      <c r="BI49" s="577">
        <v>42806</v>
      </c>
      <c r="BJ49" s="577">
        <v>35427.079999999994</v>
      </c>
      <c r="BK49" s="577">
        <v>2961</v>
      </c>
      <c r="BL49" s="577">
        <v>44494</v>
      </c>
      <c r="BM49" s="577">
        <v>33803.199999999997</v>
      </c>
      <c r="BN49" s="577">
        <v>3577</v>
      </c>
      <c r="BO49" s="577">
        <v>51728</v>
      </c>
      <c r="BP49" s="577">
        <v>39786.55999999999</v>
      </c>
      <c r="BQ49" s="579">
        <f t="shared" si="4"/>
        <v>39997.752976190473</v>
      </c>
      <c r="BR49" s="579">
        <f t="shared" si="4"/>
        <v>609337</v>
      </c>
      <c r="BS49" s="579">
        <f t="shared" si="4"/>
        <v>439974.49</v>
      </c>
      <c r="BT49" s="579">
        <f t="shared" ref="BT49" si="33">(AG49+AJ49)/2</f>
        <v>5260.5476190476193</v>
      </c>
      <c r="BU49" s="579">
        <f t="shared" ref="BU49" si="34">(AH49+AK49)/2</f>
        <v>80003.5</v>
      </c>
      <c r="BV49" s="579">
        <f t="shared" ref="BV49" si="35">(AI49+AL49)/2</f>
        <v>53913.700000000004</v>
      </c>
      <c r="BW49" s="579">
        <f t="shared" si="8"/>
        <v>3333.1460813492063</v>
      </c>
      <c r="BX49" s="579">
        <f t="shared" si="8"/>
        <v>50778.083333333336</v>
      </c>
      <c r="BY49" s="579">
        <f t="shared" si="8"/>
        <v>36664.540833333333</v>
      </c>
      <c r="BZ49" s="577">
        <v>2811</v>
      </c>
      <c r="CA49" s="572">
        <v>40498</v>
      </c>
      <c r="CB49" s="572">
        <v>31656.160000000003</v>
      </c>
      <c r="CC49" s="287">
        <v>2490.9166666666665</v>
      </c>
      <c r="CD49" s="287">
        <v>35848</v>
      </c>
      <c r="CE49" s="287">
        <v>29065.200000000001</v>
      </c>
      <c r="CF49" s="572"/>
      <c r="CG49" s="572"/>
      <c r="CH49" s="572"/>
      <c r="CI49" s="572"/>
      <c r="CJ49" s="572"/>
      <c r="CK49" s="572"/>
      <c r="CL49" s="572"/>
      <c r="CM49" s="572"/>
      <c r="CN49" s="572"/>
      <c r="CO49" s="572"/>
      <c r="CP49" s="572"/>
      <c r="CQ49" s="572"/>
      <c r="CR49" s="572"/>
      <c r="CS49" s="572"/>
      <c r="CT49" s="572"/>
      <c r="CU49" s="572"/>
      <c r="CV49" s="572"/>
      <c r="CW49" s="572"/>
      <c r="CX49" s="572"/>
      <c r="CY49" s="572"/>
      <c r="CZ49" s="572"/>
      <c r="DA49" s="572"/>
      <c r="DB49" s="572"/>
      <c r="DC49" s="572"/>
      <c r="DD49" s="572"/>
      <c r="DE49" s="572"/>
      <c r="DF49" s="572"/>
      <c r="DG49" s="572"/>
      <c r="DH49" s="572"/>
      <c r="DI49" s="572"/>
      <c r="DJ49" s="580">
        <f t="shared" si="9"/>
        <v>5301.9166666666661</v>
      </c>
      <c r="DK49" s="580">
        <f t="shared" si="9"/>
        <v>76346</v>
      </c>
      <c r="DL49" s="580">
        <f t="shared" si="9"/>
        <v>60721.36</v>
      </c>
      <c r="DM49" s="664">
        <f t="shared" ref="DM49" si="36">DJ49/2</f>
        <v>2650.958333333333</v>
      </c>
      <c r="DN49" s="664">
        <f t="shared" ref="DN49" si="37">DK49/2</f>
        <v>38173</v>
      </c>
      <c r="DO49" s="665">
        <f>DL49/2</f>
        <v>30360.68</v>
      </c>
      <c r="DP49" s="582">
        <f t="shared" si="13"/>
        <v>-43.686521236717205</v>
      </c>
      <c r="DQ49" s="817">
        <f t="shared" si="14"/>
        <v>-17.193344550498821</v>
      </c>
      <c r="DR49" s="820" t="s">
        <v>324</v>
      </c>
    </row>
    <row r="50" spans="1:122">
      <c r="A50" s="572">
        <v>2</v>
      </c>
      <c r="B50" s="572" t="s">
        <v>320</v>
      </c>
      <c r="C50" s="572" t="s">
        <v>317</v>
      </c>
      <c r="D50" s="572" t="s">
        <v>321</v>
      </c>
      <c r="E50" s="572">
        <v>316</v>
      </c>
      <c r="F50" s="572" t="s">
        <v>319</v>
      </c>
      <c r="G50" s="575">
        <v>1400</v>
      </c>
      <c r="H50" s="575">
        <v>23600</v>
      </c>
      <c r="I50" s="575">
        <v>1640</v>
      </c>
      <c r="J50" s="575">
        <v>25360</v>
      </c>
      <c r="K50" s="575">
        <v>2200</v>
      </c>
      <c r="L50" s="575">
        <v>33800</v>
      </c>
      <c r="M50" s="575">
        <v>2053</v>
      </c>
      <c r="N50" s="575">
        <v>32272</v>
      </c>
      <c r="O50" s="575">
        <v>2030</v>
      </c>
      <c r="P50" s="575">
        <v>30720</v>
      </c>
      <c r="Q50" s="575">
        <v>2000</v>
      </c>
      <c r="R50" s="575">
        <v>33094</v>
      </c>
      <c r="S50" s="575">
        <v>1684</v>
      </c>
      <c r="T50" s="575">
        <v>24776</v>
      </c>
      <c r="U50" s="575">
        <v>2150</v>
      </c>
      <c r="V50" s="575">
        <v>32609</v>
      </c>
      <c r="W50" s="575">
        <v>1088</v>
      </c>
      <c r="X50" s="575">
        <v>17113</v>
      </c>
      <c r="Y50" s="575">
        <v>1198</v>
      </c>
      <c r="Z50" s="575">
        <v>19752</v>
      </c>
      <c r="AA50" s="575">
        <v>1585</v>
      </c>
      <c r="AB50" s="575">
        <v>21227</v>
      </c>
      <c r="AC50" s="575">
        <v>1899</v>
      </c>
      <c r="AD50" s="575">
        <v>28576</v>
      </c>
      <c r="AE50" s="576">
        <f t="shared" si="3"/>
        <v>20927</v>
      </c>
      <c r="AF50" s="576">
        <f t="shared" si="3"/>
        <v>322899</v>
      </c>
      <c r="AG50" s="577">
        <v>2592.7857142857142</v>
      </c>
      <c r="AH50" s="577">
        <v>42845</v>
      </c>
      <c r="AI50" s="577">
        <v>29777.200000000004</v>
      </c>
      <c r="AJ50" s="577">
        <v>2250.583333333333</v>
      </c>
      <c r="AK50" s="577">
        <v>36535</v>
      </c>
      <c r="AL50" s="577">
        <v>25404.52</v>
      </c>
      <c r="AM50" s="577">
        <v>2530.3809523809523</v>
      </c>
      <c r="AN50" s="577">
        <v>40513</v>
      </c>
      <c r="AO50" s="577">
        <v>28907.02</v>
      </c>
      <c r="AP50" s="577">
        <v>1800.3392857142858</v>
      </c>
      <c r="AQ50" s="577">
        <v>30138</v>
      </c>
      <c r="AR50" s="577">
        <v>20311.389999999996</v>
      </c>
      <c r="AS50" s="577">
        <v>2041.9940476190475</v>
      </c>
      <c r="AT50" s="577">
        <v>33947</v>
      </c>
      <c r="AU50" s="577">
        <v>22849.27</v>
      </c>
      <c r="AV50" s="577">
        <v>2272.5863095238096</v>
      </c>
      <c r="AW50" s="577">
        <v>34259</v>
      </c>
      <c r="AX50" s="577">
        <v>22892.26</v>
      </c>
      <c r="AY50" s="577">
        <v>2327.0654761904761</v>
      </c>
      <c r="AZ50" s="577">
        <v>33745</v>
      </c>
      <c r="BA50" s="577">
        <v>23232.270000000008</v>
      </c>
      <c r="BB50" s="577">
        <v>1840.7916666666667</v>
      </c>
      <c r="BC50" s="577">
        <v>28585</v>
      </c>
      <c r="BD50" s="577">
        <v>19379.919999999998</v>
      </c>
      <c r="BE50" s="577">
        <v>1822.3809523809525</v>
      </c>
      <c r="BF50" s="577">
        <v>27271</v>
      </c>
      <c r="BG50" s="577">
        <v>19403.320000000003</v>
      </c>
      <c r="BH50" s="577">
        <v>1144.5595238095239</v>
      </c>
      <c r="BI50" s="577">
        <v>17824</v>
      </c>
      <c r="BJ50" s="577">
        <v>11979.220000000001</v>
      </c>
      <c r="BK50" s="577">
        <v>1424.5833333333335</v>
      </c>
      <c r="BL50" s="577">
        <v>21525</v>
      </c>
      <c r="BM50" s="577">
        <v>15236.280000000002</v>
      </c>
      <c r="BN50" s="577">
        <v>1454.6190476190477</v>
      </c>
      <c r="BO50" s="577">
        <v>21782</v>
      </c>
      <c r="BP50" s="577">
        <v>15362.480000000001</v>
      </c>
      <c r="BQ50" s="579">
        <f t="shared" si="4"/>
        <v>23502.669642857145</v>
      </c>
      <c r="BR50" s="579">
        <f t="shared" si="4"/>
        <v>368969</v>
      </c>
      <c r="BS50" s="579">
        <f t="shared" si="4"/>
        <v>254735.15000000005</v>
      </c>
      <c r="BT50" s="579">
        <f t="shared" ref="BT50" si="38">(AG50+AJ50)/2</f>
        <v>2421.6845238095239</v>
      </c>
      <c r="BU50" s="579">
        <f t="shared" ref="BU50" si="39">(AH50+AK50)/2</f>
        <v>39690</v>
      </c>
      <c r="BV50" s="579">
        <f t="shared" ref="BV50" si="40">(AI50+AL50)/2</f>
        <v>27590.86</v>
      </c>
      <c r="BW50" s="579">
        <f t="shared" si="8"/>
        <v>1958.5558035714287</v>
      </c>
      <c r="BX50" s="579">
        <f t="shared" si="8"/>
        <v>30747.416666666668</v>
      </c>
      <c r="BY50" s="579">
        <f t="shared" si="8"/>
        <v>21227.929166666672</v>
      </c>
      <c r="BZ50" s="577">
        <v>1661.4107142857142</v>
      </c>
      <c r="CA50" s="572">
        <v>25083</v>
      </c>
      <c r="CB50" s="572">
        <v>17968.32</v>
      </c>
      <c r="CC50" s="287">
        <v>1475.6607142857142</v>
      </c>
      <c r="CD50" s="287">
        <v>21503</v>
      </c>
      <c r="CE50" s="287">
        <v>15355.519999999999</v>
      </c>
      <c r="CF50" s="572"/>
      <c r="CG50" s="572"/>
      <c r="CH50" s="572"/>
      <c r="CI50" s="572"/>
      <c r="CJ50" s="572"/>
      <c r="CK50" s="572"/>
      <c r="CL50" s="572"/>
      <c r="CM50" s="572"/>
      <c r="CN50" s="572"/>
      <c r="CO50" s="572"/>
      <c r="CP50" s="572"/>
      <c r="CQ50" s="572"/>
      <c r="CR50" s="572"/>
      <c r="CS50" s="572"/>
      <c r="CT50" s="572"/>
      <c r="CU50" s="572"/>
      <c r="CV50" s="572"/>
      <c r="CW50" s="572"/>
      <c r="CX50" s="572"/>
      <c r="CY50" s="572"/>
      <c r="CZ50" s="572"/>
      <c r="DA50" s="572"/>
      <c r="DB50" s="572"/>
      <c r="DC50" s="572"/>
      <c r="DD50" s="572"/>
      <c r="DE50" s="572"/>
      <c r="DF50" s="572"/>
      <c r="DG50" s="572"/>
      <c r="DH50" s="572"/>
      <c r="DI50" s="572"/>
      <c r="DJ50" s="580">
        <f t="shared" si="9"/>
        <v>3137.0714285714284</v>
      </c>
      <c r="DK50" s="580">
        <f t="shared" si="9"/>
        <v>46586</v>
      </c>
      <c r="DL50" s="580">
        <f t="shared" si="9"/>
        <v>33323.839999999997</v>
      </c>
      <c r="DM50" s="664">
        <f t="shared" ref="DM50:DM51" si="41">DJ50/2</f>
        <v>1568.5357142857142</v>
      </c>
      <c r="DN50" s="664">
        <f t="shared" ref="DN50:DN51" si="42">DK50/2</f>
        <v>23293</v>
      </c>
      <c r="DO50" s="665">
        <f t="shared" ref="DO50:DO51" si="43">DL50/2</f>
        <v>16661.919999999998</v>
      </c>
      <c r="DP50" s="582">
        <f t="shared" si="13"/>
        <v>-39.610726160764841</v>
      </c>
      <c r="DQ50" s="817">
        <f t="shared" si="14"/>
        <v>-21.509442257968743</v>
      </c>
      <c r="DR50" s="820" t="s">
        <v>324</v>
      </c>
    </row>
    <row r="51" spans="1:122" s="587" customFormat="1">
      <c r="A51" s="866" t="s">
        <v>322</v>
      </c>
      <c r="B51" s="866"/>
      <c r="C51" s="866"/>
      <c r="D51" s="866"/>
      <c r="E51" s="866"/>
      <c r="F51" s="866"/>
      <c r="G51" s="581">
        <f>SUM(G49:G50)</f>
        <v>3466</v>
      </c>
      <c r="H51" s="581">
        <f t="shared" ref="H51:BP51" si="44">SUM(H49:H50)</f>
        <v>50801</v>
      </c>
      <c r="I51" s="581">
        <f t="shared" si="44"/>
        <v>4149</v>
      </c>
      <c r="J51" s="581">
        <f t="shared" si="44"/>
        <v>59769</v>
      </c>
      <c r="K51" s="581">
        <f t="shared" si="44"/>
        <v>5049</v>
      </c>
      <c r="L51" s="581">
        <f t="shared" si="44"/>
        <v>76080</v>
      </c>
      <c r="M51" s="581">
        <f t="shared" si="44"/>
        <v>4953</v>
      </c>
      <c r="N51" s="581">
        <f t="shared" si="44"/>
        <v>85524</v>
      </c>
      <c r="O51" s="581">
        <f t="shared" si="44"/>
        <v>5530</v>
      </c>
      <c r="P51" s="581">
        <f t="shared" si="44"/>
        <v>84524</v>
      </c>
      <c r="Q51" s="581">
        <f t="shared" si="44"/>
        <v>5082</v>
      </c>
      <c r="R51" s="581">
        <f t="shared" si="44"/>
        <v>81062</v>
      </c>
      <c r="S51" s="581">
        <f t="shared" si="44"/>
        <v>4692</v>
      </c>
      <c r="T51" s="581">
        <f t="shared" si="44"/>
        <v>77951</v>
      </c>
      <c r="U51" s="581">
        <f t="shared" si="44"/>
        <v>6217</v>
      </c>
      <c r="V51" s="581">
        <f t="shared" si="44"/>
        <v>95389</v>
      </c>
      <c r="W51" s="581">
        <f t="shared" si="44"/>
        <v>3989</v>
      </c>
      <c r="X51" s="581">
        <f t="shared" si="44"/>
        <v>67403</v>
      </c>
      <c r="Y51" s="581">
        <f t="shared" si="44"/>
        <v>5071</v>
      </c>
      <c r="Z51" s="581">
        <f t="shared" si="44"/>
        <v>83372</v>
      </c>
      <c r="AA51" s="581">
        <f t="shared" si="44"/>
        <v>4617</v>
      </c>
      <c r="AB51" s="581">
        <f t="shared" si="44"/>
        <v>63642</v>
      </c>
      <c r="AC51" s="581">
        <f t="shared" si="44"/>
        <v>5637</v>
      </c>
      <c r="AD51" s="581">
        <f t="shared" si="44"/>
        <v>81827</v>
      </c>
      <c r="AE51" s="585">
        <f t="shared" si="3"/>
        <v>58452</v>
      </c>
      <c r="AF51" s="585">
        <f t="shared" si="3"/>
        <v>907344</v>
      </c>
      <c r="AG51" s="581">
        <f t="shared" si="44"/>
        <v>8562.5357142857138</v>
      </c>
      <c r="AH51" s="581">
        <f t="shared" si="44"/>
        <v>131850</v>
      </c>
      <c r="AI51" s="581">
        <f t="shared" si="44"/>
        <v>89860.88</v>
      </c>
      <c r="AJ51" s="581">
        <f t="shared" si="44"/>
        <v>6801.9285714285716</v>
      </c>
      <c r="AK51" s="581">
        <f t="shared" si="44"/>
        <v>107537</v>
      </c>
      <c r="AL51" s="581">
        <f t="shared" si="44"/>
        <v>73148.240000000005</v>
      </c>
      <c r="AM51" s="581">
        <f t="shared" si="44"/>
        <v>5626.7976190476193</v>
      </c>
      <c r="AN51" s="581">
        <f t="shared" si="44"/>
        <v>89877</v>
      </c>
      <c r="AO51" s="581">
        <f t="shared" si="44"/>
        <v>64074.06</v>
      </c>
      <c r="AP51" s="581">
        <f t="shared" si="44"/>
        <v>4011.0476190476188</v>
      </c>
      <c r="AQ51" s="581">
        <f t="shared" si="44"/>
        <v>66634</v>
      </c>
      <c r="AR51" s="581">
        <f t="shared" si="44"/>
        <v>45581.149999999994</v>
      </c>
      <c r="AS51" s="581">
        <f t="shared" si="44"/>
        <v>5039.3898809523807</v>
      </c>
      <c r="AT51" s="581">
        <f t="shared" si="44"/>
        <v>81253</v>
      </c>
      <c r="AU51" s="581">
        <f t="shared" si="44"/>
        <v>56426.7</v>
      </c>
      <c r="AV51" s="581">
        <f t="shared" si="44"/>
        <v>4905.0029761904761</v>
      </c>
      <c r="AW51" s="581">
        <f t="shared" si="44"/>
        <v>77005</v>
      </c>
      <c r="AX51" s="581">
        <f t="shared" si="44"/>
        <v>52776.039999999994</v>
      </c>
      <c r="AY51" s="581">
        <f t="shared" si="44"/>
        <v>5588.8988095238092</v>
      </c>
      <c r="AZ51" s="581">
        <f t="shared" si="44"/>
        <v>82437</v>
      </c>
      <c r="BA51" s="581">
        <f t="shared" si="44"/>
        <v>58750.430000000008</v>
      </c>
      <c r="BB51" s="581">
        <f t="shared" si="44"/>
        <v>4921.333333333333</v>
      </c>
      <c r="BC51" s="581">
        <f t="shared" si="44"/>
        <v>76361</v>
      </c>
      <c r="BD51" s="581">
        <f t="shared" si="44"/>
        <v>54498.639999999992</v>
      </c>
      <c r="BE51" s="581">
        <f t="shared" si="44"/>
        <v>4404.3809523809523</v>
      </c>
      <c r="BF51" s="581">
        <f t="shared" si="44"/>
        <v>65193</v>
      </c>
      <c r="BG51" s="581">
        <f t="shared" si="44"/>
        <v>47998.680000000008</v>
      </c>
      <c r="BH51" s="581">
        <f t="shared" si="44"/>
        <v>4221.9047619047615</v>
      </c>
      <c r="BI51" s="581">
        <f t="shared" si="44"/>
        <v>60630</v>
      </c>
      <c r="BJ51" s="581">
        <f t="shared" si="44"/>
        <v>47406.299999999996</v>
      </c>
      <c r="BK51" s="581">
        <f t="shared" si="44"/>
        <v>4385.5833333333339</v>
      </c>
      <c r="BL51" s="581">
        <f t="shared" si="44"/>
        <v>66019</v>
      </c>
      <c r="BM51" s="581">
        <f t="shared" si="44"/>
        <v>49039.479999999996</v>
      </c>
      <c r="BN51" s="581">
        <f t="shared" si="44"/>
        <v>5031.6190476190477</v>
      </c>
      <c r="BO51" s="581">
        <f t="shared" si="44"/>
        <v>73510</v>
      </c>
      <c r="BP51" s="581">
        <f t="shared" si="44"/>
        <v>55149.039999999994</v>
      </c>
      <c r="BQ51" s="586">
        <f t="shared" si="4"/>
        <v>63500.422619047626</v>
      </c>
      <c r="BR51" s="586">
        <f t="shared" si="4"/>
        <v>978306</v>
      </c>
      <c r="BS51" s="586">
        <f t="shared" si="4"/>
        <v>694709.64</v>
      </c>
      <c r="BT51" s="581">
        <f t="shared" ref="BT51:BY51" si="45">SUM(BT49:BT50)</f>
        <v>7682.2321428571431</v>
      </c>
      <c r="BU51" s="581">
        <f t="shared" si="45"/>
        <v>119693.5</v>
      </c>
      <c r="BV51" s="581">
        <f t="shared" si="45"/>
        <v>81504.56</v>
      </c>
      <c r="BW51" s="581">
        <f t="shared" si="45"/>
        <v>5291.7018849206352</v>
      </c>
      <c r="BX51" s="581">
        <f t="shared" si="45"/>
        <v>81525.5</v>
      </c>
      <c r="BY51" s="581">
        <f t="shared" si="45"/>
        <v>57892.47</v>
      </c>
      <c r="BZ51" s="581">
        <f>SUM(BZ49:BZ50)</f>
        <v>4472.4107142857138</v>
      </c>
      <c r="CA51" s="581">
        <f t="shared" ref="CA51:DL51" si="46">SUM(CA49:CA50)</f>
        <v>65581</v>
      </c>
      <c r="CB51" s="581">
        <f t="shared" si="46"/>
        <v>49624.480000000003</v>
      </c>
      <c r="CC51" s="581">
        <f t="shared" si="46"/>
        <v>3966.5773809523807</v>
      </c>
      <c r="CD51" s="581">
        <f t="shared" si="46"/>
        <v>57351</v>
      </c>
      <c r="CE51" s="581">
        <f t="shared" si="46"/>
        <v>44420.72</v>
      </c>
      <c r="CF51" s="581">
        <f t="shared" si="46"/>
        <v>0</v>
      </c>
      <c r="CG51" s="581">
        <f t="shared" si="46"/>
        <v>0</v>
      </c>
      <c r="CH51" s="581">
        <f t="shared" si="46"/>
        <v>0</v>
      </c>
      <c r="CI51" s="581">
        <f t="shared" si="46"/>
        <v>0</v>
      </c>
      <c r="CJ51" s="581">
        <f t="shared" si="46"/>
        <v>0</v>
      </c>
      <c r="CK51" s="581">
        <f t="shared" si="46"/>
        <v>0</v>
      </c>
      <c r="CL51" s="581">
        <f t="shared" si="46"/>
        <v>0</v>
      </c>
      <c r="CM51" s="581">
        <f t="shared" si="46"/>
        <v>0</v>
      </c>
      <c r="CN51" s="581">
        <f t="shared" si="46"/>
        <v>0</v>
      </c>
      <c r="CO51" s="581">
        <f t="shared" si="46"/>
        <v>0</v>
      </c>
      <c r="CP51" s="581">
        <f t="shared" si="46"/>
        <v>0</v>
      </c>
      <c r="CQ51" s="581">
        <f t="shared" si="46"/>
        <v>0</v>
      </c>
      <c r="CR51" s="581">
        <f t="shared" si="46"/>
        <v>0</v>
      </c>
      <c r="CS51" s="581">
        <f t="shared" si="46"/>
        <v>0</v>
      </c>
      <c r="CT51" s="581">
        <f t="shared" si="46"/>
        <v>0</v>
      </c>
      <c r="CU51" s="581">
        <f t="shared" si="46"/>
        <v>0</v>
      </c>
      <c r="CV51" s="581">
        <f t="shared" si="46"/>
        <v>0</v>
      </c>
      <c r="CW51" s="581">
        <f t="shared" si="46"/>
        <v>0</v>
      </c>
      <c r="CX51" s="581">
        <f t="shared" si="46"/>
        <v>0</v>
      </c>
      <c r="CY51" s="581">
        <f t="shared" si="46"/>
        <v>0</v>
      </c>
      <c r="CZ51" s="581">
        <f t="shared" si="46"/>
        <v>0</v>
      </c>
      <c r="DA51" s="581">
        <f t="shared" si="46"/>
        <v>0</v>
      </c>
      <c r="DB51" s="581">
        <f t="shared" si="46"/>
        <v>0</v>
      </c>
      <c r="DC51" s="581">
        <f t="shared" si="46"/>
        <v>0</v>
      </c>
      <c r="DD51" s="581">
        <f t="shared" si="46"/>
        <v>0</v>
      </c>
      <c r="DE51" s="581">
        <f t="shared" si="46"/>
        <v>0</v>
      </c>
      <c r="DF51" s="581">
        <f t="shared" si="46"/>
        <v>0</v>
      </c>
      <c r="DG51" s="581">
        <f t="shared" si="46"/>
        <v>0</v>
      </c>
      <c r="DH51" s="581">
        <f t="shared" si="46"/>
        <v>0</v>
      </c>
      <c r="DI51" s="581">
        <f t="shared" si="46"/>
        <v>0</v>
      </c>
      <c r="DJ51" s="581">
        <f t="shared" si="46"/>
        <v>8438.9880952380954</v>
      </c>
      <c r="DK51" s="581">
        <f t="shared" si="46"/>
        <v>122932</v>
      </c>
      <c r="DL51" s="581">
        <f t="shared" si="46"/>
        <v>94045.2</v>
      </c>
      <c r="DM51" s="664">
        <f t="shared" si="41"/>
        <v>4219.4940476190477</v>
      </c>
      <c r="DN51" s="664">
        <f t="shared" si="42"/>
        <v>61466</v>
      </c>
      <c r="DO51" s="665">
        <f t="shared" si="43"/>
        <v>47022.6</v>
      </c>
      <c r="DP51" s="582">
        <f t="shared" si="13"/>
        <v>-42.306786270608669</v>
      </c>
      <c r="DQ51" s="817">
        <f t="shared" si="14"/>
        <v>-18.775965164381475</v>
      </c>
      <c r="DR51" s="820" t="s">
        <v>324</v>
      </c>
    </row>
    <row r="52" spans="1:122" s="591" customFormat="1" ht="39.75" customHeight="1">
      <c r="A52" s="867"/>
      <c r="B52" s="867"/>
      <c r="C52" s="867"/>
      <c r="D52" s="867"/>
      <c r="E52" s="867"/>
      <c r="F52" s="867"/>
      <c r="G52" s="589">
        <f>G30+G46+G51</f>
        <v>61590</v>
      </c>
      <c r="H52" s="589">
        <f t="shared" ref="H52:BP52" si="47">H30+H46+H51</f>
        <v>949178</v>
      </c>
      <c r="I52" s="589">
        <f t="shared" si="47"/>
        <v>49571</v>
      </c>
      <c r="J52" s="589">
        <f t="shared" si="47"/>
        <v>773779</v>
      </c>
      <c r="K52" s="589">
        <f t="shared" si="47"/>
        <v>50984</v>
      </c>
      <c r="L52" s="589">
        <f t="shared" si="47"/>
        <v>794108</v>
      </c>
      <c r="M52" s="589">
        <f t="shared" si="47"/>
        <v>47795</v>
      </c>
      <c r="N52" s="589">
        <f t="shared" si="47"/>
        <v>749078</v>
      </c>
      <c r="O52" s="589">
        <f t="shared" si="47"/>
        <v>53290</v>
      </c>
      <c r="P52" s="589">
        <f t="shared" si="47"/>
        <v>840592</v>
      </c>
      <c r="Q52" s="589">
        <f t="shared" si="47"/>
        <v>52420</v>
      </c>
      <c r="R52" s="589">
        <f t="shared" si="47"/>
        <v>820396</v>
      </c>
      <c r="S52" s="589">
        <f t="shared" si="47"/>
        <v>54899</v>
      </c>
      <c r="T52" s="589">
        <f t="shared" si="47"/>
        <v>868137</v>
      </c>
      <c r="U52" s="589">
        <f t="shared" si="47"/>
        <v>54905</v>
      </c>
      <c r="V52" s="589">
        <f t="shared" si="47"/>
        <v>864657</v>
      </c>
      <c r="W52" s="589">
        <f t="shared" si="47"/>
        <v>56780</v>
      </c>
      <c r="X52" s="589">
        <f t="shared" si="47"/>
        <v>901641</v>
      </c>
      <c r="Y52" s="589">
        <f t="shared" si="47"/>
        <v>59704</v>
      </c>
      <c r="Z52" s="589">
        <f t="shared" si="47"/>
        <v>946416</v>
      </c>
      <c r="AA52" s="589">
        <f t="shared" si="47"/>
        <v>57497</v>
      </c>
      <c r="AB52" s="589">
        <f t="shared" si="47"/>
        <v>917030</v>
      </c>
      <c r="AC52" s="589">
        <f t="shared" si="47"/>
        <v>64662</v>
      </c>
      <c r="AD52" s="589">
        <f t="shared" si="47"/>
        <v>1013431</v>
      </c>
      <c r="AE52" s="590">
        <f t="shared" si="3"/>
        <v>664097</v>
      </c>
      <c r="AF52" s="590">
        <f t="shared" si="3"/>
        <v>10438443</v>
      </c>
      <c r="AG52" s="589">
        <f t="shared" si="47"/>
        <v>61011.53571428571</v>
      </c>
      <c r="AH52" s="589">
        <f t="shared" si="47"/>
        <v>965752</v>
      </c>
      <c r="AI52" s="589">
        <f t="shared" si="47"/>
        <v>631832.87999999989</v>
      </c>
      <c r="AJ52" s="589">
        <f t="shared" si="47"/>
        <v>51494.928571428572</v>
      </c>
      <c r="AK52" s="589">
        <f t="shared" si="47"/>
        <v>818851</v>
      </c>
      <c r="AL52" s="589">
        <f t="shared" si="47"/>
        <v>532828.4800000001</v>
      </c>
      <c r="AM52" s="589">
        <f t="shared" si="47"/>
        <v>64297.440476190473</v>
      </c>
      <c r="AN52" s="589">
        <f t="shared" si="47"/>
        <v>1020554</v>
      </c>
      <c r="AO52" s="589">
        <f t="shared" si="47"/>
        <v>677348.72</v>
      </c>
      <c r="AP52" s="589">
        <f t="shared" si="47"/>
        <v>50054.047619047618</v>
      </c>
      <c r="AQ52" s="589">
        <f t="shared" si="47"/>
        <v>803099</v>
      </c>
      <c r="AR52" s="589">
        <f t="shared" si="47"/>
        <v>524612.24999999988</v>
      </c>
      <c r="AS52" s="589">
        <f t="shared" si="47"/>
        <v>56047.598214285717</v>
      </c>
      <c r="AT52" s="589">
        <f t="shared" si="47"/>
        <v>888740</v>
      </c>
      <c r="AU52" s="589">
        <f t="shared" si="47"/>
        <v>583181.49</v>
      </c>
      <c r="AV52" s="589">
        <f t="shared" si="47"/>
        <v>56044.502976190473</v>
      </c>
      <c r="AW52" s="589">
        <f t="shared" si="47"/>
        <v>884247</v>
      </c>
      <c r="AX52" s="589">
        <f t="shared" si="47"/>
        <v>578612.39999999991</v>
      </c>
      <c r="AY52" s="589">
        <f t="shared" si="47"/>
        <v>54742.898809523809</v>
      </c>
      <c r="AZ52" s="589">
        <f t="shared" si="47"/>
        <v>863703</v>
      </c>
      <c r="BA52" s="589">
        <f t="shared" si="47"/>
        <v>571258.18999999994</v>
      </c>
      <c r="BB52" s="589">
        <f t="shared" si="47"/>
        <v>53877.333333333336</v>
      </c>
      <c r="BC52" s="589">
        <f t="shared" si="47"/>
        <v>848693</v>
      </c>
      <c r="BD52" s="589">
        <f t="shared" si="47"/>
        <v>558733.84</v>
      </c>
      <c r="BE52" s="589">
        <f t="shared" si="47"/>
        <v>55617.380952380954</v>
      </c>
      <c r="BF52" s="589">
        <f t="shared" si="47"/>
        <v>866201</v>
      </c>
      <c r="BG52" s="589">
        <f t="shared" si="47"/>
        <v>583840.04000000015</v>
      </c>
      <c r="BH52" s="589">
        <f t="shared" si="47"/>
        <v>57434.904761904763</v>
      </c>
      <c r="BI52" s="589">
        <f t="shared" si="47"/>
        <v>899036</v>
      </c>
      <c r="BJ52" s="589">
        <f t="shared" si="47"/>
        <v>603753.9800000001</v>
      </c>
      <c r="BK52" s="589">
        <f t="shared" si="47"/>
        <v>59316.583333333336</v>
      </c>
      <c r="BL52" s="589">
        <f t="shared" si="47"/>
        <v>928681</v>
      </c>
      <c r="BM52" s="589">
        <f t="shared" si="47"/>
        <v>616783.96000000008</v>
      </c>
      <c r="BN52" s="589">
        <f t="shared" si="47"/>
        <v>60869.619047619046</v>
      </c>
      <c r="BO52" s="589">
        <f t="shared" si="47"/>
        <v>956796</v>
      </c>
      <c r="BP52" s="589">
        <f t="shared" si="47"/>
        <v>636981.11999999988</v>
      </c>
      <c r="BQ52" s="590">
        <f t="shared" si="4"/>
        <v>680808.77380952379</v>
      </c>
      <c r="BR52" s="590">
        <f t="shared" si="4"/>
        <v>10744353</v>
      </c>
      <c r="BS52" s="590">
        <f t="shared" si="4"/>
        <v>7099767.3499999996</v>
      </c>
      <c r="BT52" s="589">
        <f t="shared" ref="BT52:BY52" si="48">BT30+BT46+BT51</f>
        <v>56253.232142857145</v>
      </c>
      <c r="BU52" s="589">
        <f t="shared" si="48"/>
        <v>892301.5</v>
      </c>
      <c r="BV52" s="589">
        <f t="shared" si="48"/>
        <v>582330.67999999993</v>
      </c>
      <c r="BW52" s="589">
        <f t="shared" si="48"/>
        <v>56734.064484126975</v>
      </c>
      <c r="BX52" s="589">
        <f t="shared" si="48"/>
        <v>895362.75</v>
      </c>
      <c r="BY52" s="589">
        <f t="shared" si="48"/>
        <v>591647.27916666667</v>
      </c>
      <c r="BZ52" s="589">
        <f>BZ30+BZ46+BZ51</f>
        <v>52458.41071428571</v>
      </c>
      <c r="CA52" s="589">
        <f>CA30+CA46+CA51</f>
        <v>822987</v>
      </c>
      <c r="CB52" s="589">
        <f t="shared" ref="CB52:DN52" si="49">CB30+CB46+CB51</f>
        <v>549147.59999999986</v>
      </c>
      <c r="CC52" s="589">
        <f t="shared" si="49"/>
        <v>46172.577380952382</v>
      </c>
      <c r="CD52" s="589">
        <f t="shared" si="49"/>
        <v>729741</v>
      </c>
      <c r="CE52" s="589">
        <f t="shared" si="49"/>
        <v>486294.31999999995</v>
      </c>
      <c r="CF52" s="589">
        <f t="shared" si="49"/>
        <v>0</v>
      </c>
      <c r="CG52" s="589">
        <f t="shared" si="49"/>
        <v>0</v>
      </c>
      <c r="CH52" s="589">
        <f t="shared" si="49"/>
        <v>0</v>
      </c>
      <c r="CI52" s="589">
        <f t="shared" si="49"/>
        <v>0</v>
      </c>
      <c r="CJ52" s="589">
        <f t="shared" si="49"/>
        <v>0</v>
      </c>
      <c r="CK52" s="589">
        <f t="shared" si="49"/>
        <v>0</v>
      </c>
      <c r="CL52" s="589">
        <f t="shared" si="49"/>
        <v>0</v>
      </c>
      <c r="CM52" s="589">
        <f t="shared" si="49"/>
        <v>0</v>
      </c>
      <c r="CN52" s="589">
        <f t="shared" si="49"/>
        <v>0</v>
      </c>
      <c r="CO52" s="589">
        <f t="shared" si="49"/>
        <v>0</v>
      </c>
      <c r="CP52" s="589">
        <f t="shared" si="49"/>
        <v>0</v>
      </c>
      <c r="CQ52" s="589">
        <f t="shared" si="49"/>
        <v>0</v>
      </c>
      <c r="CR52" s="589">
        <f t="shared" si="49"/>
        <v>0</v>
      </c>
      <c r="CS52" s="589">
        <f t="shared" si="49"/>
        <v>0</v>
      </c>
      <c r="CT52" s="589">
        <f t="shared" si="49"/>
        <v>0</v>
      </c>
      <c r="CU52" s="589">
        <f t="shared" si="49"/>
        <v>0</v>
      </c>
      <c r="CV52" s="589">
        <f t="shared" si="49"/>
        <v>0</v>
      </c>
      <c r="CW52" s="589">
        <f t="shared" si="49"/>
        <v>0</v>
      </c>
      <c r="CX52" s="589">
        <f t="shared" si="49"/>
        <v>0</v>
      </c>
      <c r="CY52" s="589">
        <f t="shared" si="49"/>
        <v>0</v>
      </c>
      <c r="CZ52" s="589">
        <f t="shared" si="49"/>
        <v>0</v>
      </c>
      <c r="DA52" s="589">
        <f t="shared" si="49"/>
        <v>0</v>
      </c>
      <c r="DB52" s="589">
        <f t="shared" si="49"/>
        <v>0</v>
      </c>
      <c r="DC52" s="589">
        <f t="shared" si="49"/>
        <v>0</v>
      </c>
      <c r="DD52" s="589">
        <f t="shared" si="49"/>
        <v>0</v>
      </c>
      <c r="DE52" s="589">
        <f t="shared" si="49"/>
        <v>0</v>
      </c>
      <c r="DF52" s="589">
        <f t="shared" si="49"/>
        <v>0</v>
      </c>
      <c r="DG52" s="589">
        <f t="shared" si="49"/>
        <v>0</v>
      </c>
      <c r="DH52" s="589">
        <f t="shared" si="49"/>
        <v>0</v>
      </c>
      <c r="DI52" s="589">
        <f t="shared" si="49"/>
        <v>0</v>
      </c>
      <c r="DJ52" s="589">
        <f>DJ30+DJ46+DJ51</f>
        <v>98630.988095238092</v>
      </c>
      <c r="DK52" s="589">
        <f t="shared" si="49"/>
        <v>1552728</v>
      </c>
      <c r="DL52" s="589">
        <f t="shared" si="49"/>
        <v>1035441.92</v>
      </c>
      <c r="DM52" s="589">
        <f t="shared" si="49"/>
        <v>49315.494047619046</v>
      </c>
      <c r="DN52" s="589">
        <f t="shared" si="49"/>
        <v>776364</v>
      </c>
      <c r="DO52" s="589">
        <f>DO30+DO46+DO51</f>
        <v>517720.96</v>
      </c>
      <c r="DP52" s="592">
        <f t="shared" si="13"/>
        <v>-11.095022505082497</v>
      </c>
      <c r="DQ52" s="818">
        <f t="shared" si="14"/>
        <v>-12.494998586115642</v>
      </c>
      <c r="DR52" s="820"/>
    </row>
  </sheetData>
  <autoFilter ref="A3:DR52" xr:uid="{BD6D42E4-259D-4051-9D9E-F5C60CEC4D04}">
    <filterColumn colId="1" showButton="0"/>
    <filterColumn colId="3" showButton="0"/>
  </autoFilter>
  <mergeCells count="50">
    <mergeCell ref="AA2:AB2"/>
    <mergeCell ref="A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BH2:BJ2"/>
    <mergeCell ref="AC2:AD2"/>
    <mergeCell ref="AE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CI2:CK2"/>
    <mergeCell ref="CL2:CN2"/>
    <mergeCell ref="CO2:CQ2"/>
    <mergeCell ref="CR2:CT2"/>
    <mergeCell ref="BK2:BM2"/>
    <mergeCell ref="BN2:BP2"/>
    <mergeCell ref="BQ2:BS2"/>
    <mergeCell ref="BT2:BV2"/>
    <mergeCell ref="BW2:BY2"/>
    <mergeCell ref="BZ2:CB2"/>
    <mergeCell ref="A51:F51"/>
    <mergeCell ref="A52:F52"/>
    <mergeCell ref="DM2:DO2"/>
    <mergeCell ref="B3:C3"/>
    <mergeCell ref="D3:E3"/>
    <mergeCell ref="A30:F30"/>
    <mergeCell ref="A46:F46"/>
    <mergeCell ref="B47:F47"/>
    <mergeCell ref="CU2:CW2"/>
    <mergeCell ref="CX2:CZ2"/>
    <mergeCell ref="DA2:DC2"/>
    <mergeCell ref="DD2:DF2"/>
    <mergeCell ref="DG2:DI2"/>
    <mergeCell ref="DJ2:DL2"/>
    <mergeCell ref="CC2:CE2"/>
    <mergeCell ref="CF2:CH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A026-A933-4B7F-9230-D2181768379C}">
  <dimension ref="A1:EZ114"/>
  <sheetViews>
    <sheetView zoomScale="80" zoomScaleNormal="80" workbookViewId="0">
      <pane xSplit="58" ySplit="3" topLeftCell="DK40" activePane="bottomRight" state="frozen"/>
      <selection pane="topRight" activeCell="BG1" sqref="BG1"/>
      <selection pane="bottomLeft" activeCell="A4" sqref="A4"/>
      <selection pane="bottomRight" activeCell="ET78" sqref="ET78"/>
    </sheetView>
  </sheetViews>
  <sheetFormatPr defaultColWidth="10.5546875" defaultRowHeight="19.8"/>
  <cols>
    <col min="1" max="1" width="3.5546875" style="40" bestFit="1" customWidth="1"/>
    <col min="2" max="2" width="27.88671875" style="40" bestFit="1" customWidth="1"/>
    <col min="3" max="3" width="7.44140625" style="40" customWidth="1"/>
    <col min="4" max="4" width="5.33203125" style="40" bestFit="1" customWidth="1"/>
    <col min="5" max="5" width="7.6640625" style="40" bestFit="1" customWidth="1"/>
    <col min="6" max="6" width="5.5546875" style="40" hidden="1" customWidth="1"/>
    <col min="7" max="7" width="8" style="40" hidden="1" customWidth="1"/>
    <col min="8" max="8" width="9" style="40" hidden="1" customWidth="1"/>
    <col min="9" max="9" width="8" style="40" hidden="1" customWidth="1"/>
    <col min="10" max="10" width="8.109375" style="40" hidden="1" customWidth="1"/>
    <col min="11" max="11" width="9.33203125" style="40" hidden="1" customWidth="1"/>
    <col min="12" max="12" width="10.6640625" style="40" hidden="1" customWidth="1"/>
    <col min="13" max="13" width="9.33203125" style="40" hidden="1" customWidth="1"/>
    <col min="14" max="15" width="8.6640625" style="40" hidden="1" customWidth="1"/>
    <col min="16" max="16" width="9.33203125" style="40" hidden="1" customWidth="1"/>
    <col min="17" max="17" width="9.88671875" style="40" hidden="1" customWidth="1"/>
    <col min="18" max="18" width="8.6640625" style="40" hidden="1" customWidth="1"/>
    <col min="19" max="19" width="9.44140625" style="40" hidden="1" customWidth="1"/>
    <col min="20" max="20" width="8.109375" style="40" hidden="1" customWidth="1"/>
    <col min="21" max="21" width="9" style="40" hidden="1" customWidth="1"/>
    <col min="22" max="22" width="7.6640625" style="40" hidden="1" customWidth="1"/>
    <col min="23" max="23" width="8.6640625" style="40" hidden="1" customWidth="1"/>
    <col min="24" max="24" width="8.109375" style="40" hidden="1" customWidth="1"/>
    <col min="25" max="25" width="8.88671875" style="40" hidden="1" customWidth="1"/>
    <col min="26" max="26" width="8" style="40" hidden="1" customWidth="1"/>
    <col min="27" max="27" width="7.6640625" style="40" hidden="1" customWidth="1"/>
    <col min="28" max="28" width="9.6640625" style="40" hidden="1" customWidth="1"/>
    <col min="29" max="29" width="7.88671875" style="40" hidden="1" customWidth="1"/>
    <col min="30" max="30" width="8.33203125" style="40" hidden="1" customWidth="1"/>
    <col min="31" max="31" width="8.109375" style="40" hidden="1" customWidth="1"/>
    <col min="32" max="32" width="9.5546875" style="40" hidden="1" customWidth="1"/>
    <col min="33" max="33" width="9.109375" style="40" hidden="1" customWidth="1"/>
    <col min="34" max="34" width="8.109375" style="40" hidden="1" customWidth="1"/>
    <col min="35" max="35" width="9.6640625" style="40" hidden="1" customWidth="1"/>
    <col min="36" max="38" width="7.6640625" style="40" hidden="1" customWidth="1"/>
    <col min="39" max="39" width="8.33203125" style="40" hidden="1" customWidth="1"/>
    <col min="40" max="40" width="8.44140625" style="40" hidden="1" customWidth="1"/>
    <col min="41" max="41" width="8.5546875" style="40" hidden="1" customWidth="1"/>
    <col min="42" max="42" width="9.109375" style="40" hidden="1" customWidth="1"/>
    <col min="43" max="43" width="7.88671875" style="40" hidden="1" customWidth="1"/>
    <col min="44" max="44" width="8.33203125" style="40" hidden="1" customWidth="1"/>
    <col min="45" max="45" width="8.6640625" style="40" hidden="1" customWidth="1"/>
    <col min="46" max="46" width="8.44140625" style="40" hidden="1" customWidth="1"/>
    <col min="47" max="47" width="9.5546875" style="40" hidden="1" customWidth="1"/>
    <col min="48" max="49" width="8.44140625" style="40" hidden="1" customWidth="1"/>
    <col min="50" max="50" width="8.6640625" style="40" hidden="1" customWidth="1"/>
    <col min="51" max="51" width="8.88671875" style="40" hidden="1" customWidth="1"/>
    <col min="52" max="52" width="8.6640625" style="40" hidden="1" customWidth="1"/>
    <col min="53" max="53" width="9.33203125" style="40" hidden="1" customWidth="1"/>
    <col min="54" max="55" width="10.109375" style="40" hidden="1" customWidth="1"/>
    <col min="56" max="56" width="9.33203125" style="40" hidden="1" customWidth="1"/>
    <col min="57" max="57" width="12.5546875" style="40" hidden="1" customWidth="1"/>
    <col min="58" max="58" width="10.88671875" style="40" hidden="1" customWidth="1"/>
    <col min="59" max="59" width="9.109375" style="40" hidden="1" customWidth="1"/>
    <col min="60" max="60" width="8" style="40" hidden="1" customWidth="1"/>
    <col min="61" max="61" width="9.44140625" style="40" hidden="1" customWidth="1"/>
    <col min="62" max="62" width="9.6640625" style="40" hidden="1" customWidth="1"/>
    <col min="63" max="63" width="8.88671875" style="40" hidden="1" customWidth="1"/>
    <col min="64" max="64" width="10.33203125" style="40" hidden="1" customWidth="1"/>
    <col min="65" max="65" width="9.33203125" style="40" hidden="1" customWidth="1"/>
    <col min="66" max="66" width="8.5546875" style="40" hidden="1" customWidth="1"/>
    <col min="67" max="67" width="9.6640625" style="40" hidden="1" customWidth="1"/>
    <col min="68" max="69" width="9.5546875" style="40" hidden="1" customWidth="1"/>
    <col min="70" max="70" width="9" style="40" hidden="1" customWidth="1"/>
    <col min="71" max="71" width="8.88671875" style="40" hidden="1" customWidth="1"/>
    <col min="72" max="72" width="9.44140625" style="40" hidden="1" customWidth="1"/>
    <col min="73" max="73" width="11" style="40" hidden="1" customWidth="1"/>
    <col min="74" max="74" width="8.109375" style="40" hidden="1" customWidth="1"/>
    <col min="75" max="75" width="9.33203125" style="40" hidden="1" customWidth="1"/>
    <col min="76" max="76" width="9.109375" style="40" hidden="1" customWidth="1"/>
    <col min="77" max="77" width="8.44140625" style="40" hidden="1" customWidth="1"/>
    <col min="78" max="78" width="9.5546875" style="40" hidden="1" customWidth="1"/>
    <col min="79" max="80" width="9.44140625" style="40" hidden="1" customWidth="1"/>
    <col min="81" max="81" width="9.109375" style="40" hidden="1" customWidth="1"/>
    <col min="82" max="82" width="8.88671875" style="40" hidden="1" customWidth="1"/>
    <col min="83" max="84" width="9.5546875" style="40" hidden="1" customWidth="1"/>
    <col min="85" max="85" width="10.88671875" style="40" hidden="1" customWidth="1"/>
    <col min="86" max="86" width="9.88671875" style="40" hidden="1" customWidth="1"/>
    <col min="87" max="87" width="14" style="42" hidden="1" customWidth="1"/>
    <col min="88" max="88" width="13.88671875" style="42" hidden="1" customWidth="1"/>
    <col min="89" max="89" width="9.88671875" style="1" hidden="1" customWidth="1"/>
    <col min="90" max="90" width="9.5546875" style="41" hidden="1" customWidth="1"/>
    <col min="91" max="91" width="10.33203125" style="1" hidden="1" customWidth="1"/>
    <col min="92" max="92" width="11.33203125" style="42" hidden="1" customWidth="1"/>
    <col min="93" max="93" width="9.6640625" style="1" hidden="1" customWidth="1"/>
    <col min="94" max="94" width="12" style="42" hidden="1" customWidth="1"/>
    <col min="95" max="95" width="10.109375" style="1" hidden="1" customWidth="1"/>
    <col min="96" max="96" width="12.6640625" style="42" hidden="1" customWidth="1"/>
    <col min="97" max="97" width="11.33203125" style="1" hidden="1" customWidth="1"/>
    <col min="98" max="98" width="12" style="42" hidden="1" customWidth="1"/>
    <col min="99" max="99" width="9" style="1" hidden="1" customWidth="1"/>
    <col min="100" max="100" width="11.109375" style="42" hidden="1" customWidth="1"/>
    <col min="101" max="101" width="8.6640625" style="1" hidden="1" customWidth="1"/>
    <col min="102" max="102" width="10.6640625" style="42" hidden="1" customWidth="1"/>
    <col min="103" max="103" width="11.109375" style="1" hidden="1" customWidth="1"/>
    <col min="104" max="104" width="10.88671875" style="42" hidden="1" customWidth="1"/>
    <col min="105" max="105" width="10.109375" style="1" hidden="1" customWidth="1"/>
    <col min="106" max="106" width="10.33203125" style="42" hidden="1" customWidth="1"/>
    <col min="107" max="107" width="8.33203125" style="1" hidden="1" customWidth="1"/>
    <col min="108" max="108" width="10.109375" style="42" hidden="1" customWidth="1"/>
    <col min="109" max="109" width="9.6640625" style="1" hidden="1" customWidth="1"/>
    <col min="110" max="110" width="10.6640625" style="42" hidden="1" customWidth="1"/>
    <col min="111" max="111" width="10" style="1" hidden="1" customWidth="1"/>
    <col min="112" max="112" width="11.44140625" style="42" hidden="1" customWidth="1"/>
    <col min="113" max="113" width="11" style="1" hidden="1" customWidth="1"/>
    <col min="114" max="114" width="11.33203125" style="42" hidden="1" customWidth="1"/>
    <col min="115" max="116" width="11.33203125" style="42" customWidth="1"/>
    <col min="117" max="118" width="10.5546875" style="1"/>
    <col min="119" max="119" width="14.109375" style="1" customWidth="1"/>
    <col min="120" max="120" width="9.88671875" style="1" hidden="1" customWidth="1"/>
    <col min="121" max="121" width="9.5546875" style="41" hidden="1" customWidth="1"/>
    <col min="122" max="122" width="10.33203125" style="1" hidden="1" customWidth="1"/>
    <col min="123" max="123" width="11.33203125" style="42" hidden="1" customWidth="1"/>
    <col min="124" max="124" width="9.6640625" style="1" hidden="1" customWidth="1"/>
    <col min="125" max="125" width="12" style="42" hidden="1" customWidth="1"/>
    <col min="126" max="126" width="10.109375" style="1" hidden="1" customWidth="1"/>
    <col min="127" max="127" width="12.6640625" style="42" hidden="1" customWidth="1"/>
    <col min="128" max="128" width="11.33203125" style="1" hidden="1" customWidth="1"/>
    <col min="129" max="129" width="12" style="42" hidden="1" customWidth="1"/>
    <col min="130" max="130" width="9" style="1" hidden="1" customWidth="1"/>
    <col min="131" max="131" width="11.109375" style="42" hidden="1" customWidth="1"/>
    <col min="132" max="132" width="8.6640625" style="1" hidden="1" customWidth="1"/>
    <col min="133" max="133" width="10.6640625" style="42" hidden="1" customWidth="1"/>
    <col min="134" max="134" width="11.109375" style="1" hidden="1" customWidth="1"/>
    <col min="135" max="135" width="10.88671875" style="42" hidden="1" customWidth="1"/>
    <col min="136" max="136" width="10.109375" style="1" hidden="1" customWidth="1"/>
    <col min="137" max="137" width="10.33203125" style="42" hidden="1" customWidth="1"/>
    <col min="138" max="138" width="8.33203125" style="1" hidden="1" customWidth="1"/>
    <col min="139" max="139" width="10.109375" style="42" hidden="1" customWidth="1"/>
    <col min="140" max="140" width="9.6640625" style="1" hidden="1" customWidth="1"/>
    <col min="141" max="141" width="10.6640625" style="42" hidden="1" customWidth="1"/>
    <col min="142" max="142" width="10" style="1" hidden="1" customWidth="1"/>
    <col min="143" max="143" width="11.44140625" style="42" hidden="1" customWidth="1"/>
    <col min="144" max="144" width="11" style="1" hidden="1" customWidth="1"/>
    <col min="145" max="145" width="11.33203125" style="42" hidden="1" customWidth="1"/>
    <col min="146" max="148" width="10.5546875" style="1"/>
    <col min="149" max="149" width="12" style="1" customWidth="1"/>
    <col min="150" max="150" width="20.5546875" style="1" customWidth="1"/>
    <col min="151" max="151" width="21.5546875" style="1" customWidth="1"/>
    <col min="152" max="152" width="13.88671875" style="1" customWidth="1"/>
    <col min="153" max="153" width="13.44140625" style="1" customWidth="1"/>
    <col min="154" max="155" width="12.6640625" style="1" customWidth="1"/>
    <col min="156" max="156" width="18" style="1" customWidth="1"/>
    <col min="157" max="16384" width="10.5546875" style="1"/>
  </cols>
  <sheetData>
    <row r="1" spans="1:156" ht="17.25" customHeight="1">
      <c r="A1" s="830" t="s">
        <v>0</v>
      </c>
      <c r="B1" s="830"/>
      <c r="C1" s="830"/>
      <c r="D1" s="830"/>
      <c r="E1" s="830"/>
      <c r="F1" s="830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>
        <v>0</v>
      </c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222"/>
      <c r="CJ1" s="222"/>
      <c r="CK1" s="222"/>
      <c r="CL1" s="222"/>
      <c r="CM1" s="222"/>
      <c r="CN1" s="222"/>
      <c r="CO1" s="222"/>
      <c r="CP1" s="222"/>
      <c r="CQ1" s="222"/>
      <c r="CR1" s="222"/>
      <c r="CS1" s="222"/>
      <c r="CT1" s="222"/>
      <c r="CU1" s="222"/>
      <c r="CV1" s="222"/>
      <c r="CW1" s="222"/>
      <c r="CX1" s="222"/>
      <c r="CY1" s="222"/>
      <c r="CZ1" s="222"/>
      <c r="DA1" s="222"/>
      <c r="DB1" s="222"/>
      <c r="DC1" s="222"/>
      <c r="DD1" s="222"/>
      <c r="DE1" s="222"/>
      <c r="DF1" s="222"/>
      <c r="DG1" s="222"/>
      <c r="DH1" s="222"/>
      <c r="DI1" s="222"/>
      <c r="DJ1" s="222"/>
      <c r="DK1" s="222"/>
      <c r="DL1" s="222"/>
      <c r="DM1" s="47"/>
      <c r="DN1" s="47"/>
      <c r="DO1" s="47"/>
      <c r="DP1" s="222"/>
      <c r="DQ1" s="222"/>
      <c r="DR1" s="222"/>
      <c r="DS1" s="222"/>
      <c r="DT1" s="222"/>
      <c r="DU1" s="222"/>
      <c r="DV1" s="222"/>
      <c r="DW1" s="222"/>
      <c r="DX1" s="222"/>
      <c r="DY1" s="222"/>
      <c r="DZ1" s="222"/>
      <c r="EA1" s="222"/>
      <c r="EB1" s="222"/>
      <c r="EC1" s="222"/>
      <c r="ED1" s="222"/>
      <c r="EE1" s="222"/>
      <c r="EF1" s="222"/>
      <c r="EG1" s="222"/>
      <c r="EH1" s="222"/>
      <c r="EI1" s="222"/>
      <c r="EJ1" s="222"/>
      <c r="EK1" s="222"/>
      <c r="EL1" s="222"/>
      <c r="EM1" s="222"/>
      <c r="EN1" s="222"/>
      <c r="EO1" s="222"/>
      <c r="EP1" s="47"/>
      <c r="EQ1" s="47"/>
      <c r="ER1" s="47"/>
      <c r="ES1" s="518"/>
      <c r="ET1" s="876" t="s">
        <v>179</v>
      </c>
      <c r="EU1" s="876"/>
      <c r="EV1" s="875" t="s">
        <v>70</v>
      </c>
      <c r="EW1" s="875"/>
      <c r="EX1" s="875"/>
      <c r="EY1" s="875"/>
      <c r="EZ1" s="875" t="s">
        <v>1261</v>
      </c>
    </row>
    <row r="2" spans="1:156" ht="18.75" customHeight="1">
      <c r="A2" s="831" t="s">
        <v>1</v>
      </c>
      <c r="B2" s="831" t="s">
        <v>2</v>
      </c>
      <c r="C2" s="831"/>
      <c r="D2" s="829" t="s">
        <v>4</v>
      </c>
      <c r="E2" s="829" t="s">
        <v>5</v>
      </c>
      <c r="F2" s="829" t="s">
        <v>6</v>
      </c>
      <c r="G2" s="827">
        <v>44562</v>
      </c>
      <c r="H2" s="827"/>
      <c r="I2" s="827">
        <v>44593</v>
      </c>
      <c r="J2" s="827"/>
      <c r="K2" s="827">
        <v>44621</v>
      </c>
      <c r="L2" s="827"/>
      <c r="M2" s="827">
        <v>44652</v>
      </c>
      <c r="N2" s="827"/>
      <c r="O2" s="827">
        <v>44682</v>
      </c>
      <c r="P2" s="827"/>
      <c r="Q2" s="827">
        <v>44713</v>
      </c>
      <c r="R2" s="827"/>
      <c r="S2" s="827">
        <v>44743</v>
      </c>
      <c r="T2" s="827"/>
      <c r="U2" s="827">
        <v>44774</v>
      </c>
      <c r="V2" s="827"/>
      <c r="W2" s="827">
        <v>44805</v>
      </c>
      <c r="X2" s="827"/>
      <c r="Y2" s="827">
        <v>44835</v>
      </c>
      <c r="Z2" s="827"/>
      <c r="AA2" s="827">
        <v>44866</v>
      </c>
      <c r="AB2" s="827"/>
      <c r="AC2" s="827">
        <v>44896</v>
      </c>
      <c r="AD2" s="827"/>
      <c r="AE2" s="828" t="s">
        <v>7</v>
      </c>
      <c r="AF2" s="828"/>
      <c r="AG2" s="827">
        <v>44927</v>
      </c>
      <c r="AH2" s="827"/>
      <c r="AI2" s="827">
        <v>44958</v>
      </c>
      <c r="AJ2" s="827"/>
      <c r="AK2" s="827">
        <v>44986</v>
      </c>
      <c r="AL2" s="827"/>
      <c r="AM2" s="827">
        <v>45017</v>
      </c>
      <c r="AN2" s="827"/>
      <c r="AO2" s="827">
        <v>45047</v>
      </c>
      <c r="AP2" s="827"/>
      <c r="AQ2" s="827">
        <v>45078</v>
      </c>
      <c r="AR2" s="827"/>
      <c r="AS2" s="827">
        <v>45108</v>
      </c>
      <c r="AT2" s="827"/>
      <c r="AU2" s="827">
        <v>45139</v>
      </c>
      <c r="AV2" s="827"/>
      <c r="AW2" s="827">
        <v>45170</v>
      </c>
      <c r="AX2" s="827"/>
      <c r="AY2" s="827">
        <v>45200</v>
      </c>
      <c r="AZ2" s="827"/>
      <c r="BA2" s="827">
        <v>45231</v>
      </c>
      <c r="BB2" s="827"/>
      <c r="BC2" s="827">
        <v>45261</v>
      </c>
      <c r="BD2" s="827"/>
      <c r="BE2" s="828" t="s">
        <v>8</v>
      </c>
      <c r="BF2" s="828"/>
      <c r="BG2" s="827">
        <v>45292</v>
      </c>
      <c r="BH2" s="827"/>
      <c r="BI2" s="827">
        <v>45323</v>
      </c>
      <c r="BJ2" s="827"/>
      <c r="BK2" s="827">
        <v>45352</v>
      </c>
      <c r="BL2" s="827"/>
      <c r="BM2" s="827">
        <v>45383</v>
      </c>
      <c r="BN2" s="827"/>
      <c r="BO2" s="827">
        <v>45413</v>
      </c>
      <c r="BP2" s="827"/>
      <c r="BQ2" s="827">
        <v>45444</v>
      </c>
      <c r="BR2" s="827"/>
      <c r="BS2" s="827">
        <v>45474</v>
      </c>
      <c r="BT2" s="827"/>
      <c r="BU2" s="827">
        <v>45505</v>
      </c>
      <c r="BV2" s="827"/>
      <c r="BW2" s="827">
        <v>45536</v>
      </c>
      <c r="BX2" s="827"/>
      <c r="BY2" s="827">
        <v>45566</v>
      </c>
      <c r="BZ2" s="827"/>
      <c r="CA2" s="827">
        <v>45597</v>
      </c>
      <c r="CB2" s="827"/>
      <c r="CC2" s="827">
        <v>45627</v>
      </c>
      <c r="CD2" s="827"/>
      <c r="CE2" s="827" t="s">
        <v>325</v>
      </c>
      <c r="CF2" s="827"/>
      <c r="CG2" s="828" t="s">
        <v>182</v>
      </c>
      <c r="CH2" s="828"/>
      <c r="CI2" s="65" t="s">
        <v>67</v>
      </c>
      <c r="CJ2" s="65" t="s">
        <v>68</v>
      </c>
      <c r="CK2" s="827">
        <v>45658</v>
      </c>
      <c r="CL2" s="827"/>
      <c r="CM2" s="827">
        <v>45689</v>
      </c>
      <c r="CN2" s="827"/>
      <c r="CO2" s="827">
        <v>45717</v>
      </c>
      <c r="CP2" s="827"/>
      <c r="CQ2" s="827">
        <v>45748</v>
      </c>
      <c r="CR2" s="827"/>
      <c r="CS2" s="827">
        <v>45778</v>
      </c>
      <c r="CT2" s="827"/>
      <c r="CU2" s="827">
        <v>45809</v>
      </c>
      <c r="CV2" s="827"/>
      <c r="CW2" s="827">
        <v>45839</v>
      </c>
      <c r="CX2" s="827"/>
      <c r="CY2" s="827">
        <v>45870</v>
      </c>
      <c r="CZ2" s="827"/>
      <c r="DA2" s="827">
        <v>45901</v>
      </c>
      <c r="DB2" s="827"/>
      <c r="DC2" s="827">
        <v>45931</v>
      </c>
      <c r="DD2" s="827"/>
      <c r="DE2" s="827">
        <v>45962</v>
      </c>
      <c r="DF2" s="827"/>
      <c r="DG2" s="827">
        <v>45992</v>
      </c>
      <c r="DH2" s="827"/>
      <c r="DI2" s="834" t="s">
        <v>10</v>
      </c>
      <c r="DJ2" s="834"/>
      <c r="DK2" s="834" t="s">
        <v>1257</v>
      </c>
      <c r="DL2" s="834"/>
      <c r="DM2" s="834" t="s">
        <v>329</v>
      </c>
      <c r="DN2" s="834"/>
      <c r="DO2" s="47"/>
      <c r="DP2" s="827">
        <v>46023</v>
      </c>
      <c r="DQ2" s="827"/>
      <c r="DR2" s="827">
        <v>46054</v>
      </c>
      <c r="DS2" s="827"/>
      <c r="DT2" s="827">
        <v>46082</v>
      </c>
      <c r="DU2" s="827"/>
      <c r="DV2" s="827">
        <v>46113</v>
      </c>
      <c r="DW2" s="827"/>
      <c r="DX2" s="827">
        <v>46143</v>
      </c>
      <c r="DY2" s="827"/>
      <c r="DZ2" s="827">
        <v>46174</v>
      </c>
      <c r="EA2" s="827"/>
      <c r="EB2" s="827">
        <v>46204</v>
      </c>
      <c r="EC2" s="827"/>
      <c r="ED2" s="827">
        <v>46235</v>
      </c>
      <c r="EE2" s="827"/>
      <c r="EF2" s="827">
        <v>46266</v>
      </c>
      <c r="EG2" s="827"/>
      <c r="EH2" s="827">
        <v>46296</v>
      </c>
      <c r="EI2" s="827"/>
      <c r="EJ2" s="827">
        <v>46327</v>
      </c>
      <c r="EK2" s="827"/>
      <c r="EL2" s="827">
        <v>46357</v>
      </c>
      <c r="EM2" s="827"/>
      <c r="EN2" s="834" t="s">
        <v>334</v>
      </c>
      <c r="EO2" s="834"/>
      <c r="EP2" s="834" t="s">
        <v>1258</v>
      </c>
      <c r="EQ2" s="834"/>
      <c r="ER2" s="65"/>
      <c r="ES2" s="877" t="s">
        <v>72</v>
      </c>
      <c r="ET2" s="519" t="s">
        <v>1259</v>
      </c>
      <c r="EU2" s="519" t="s">
        <v>335</v>
      </c>
      <c r="EV2" s="875" t="s">
        <v>75</v>
      </c>
      <c r="EW2" s="875"/>
      <c r="EX2" s="520" t="s">
        <v>76</v>
      </c>
      <c r="EY2" s="520"/>
      <c r="EZ2" s="875"/>
    </row>
    <row r="3" spans="1:156" ht="18.75" customHeight="1">
      <c r="A3" s="831"/>
      <c r="B3" s="831"/>
      <c r="C3" s="831"/>
      <c r="D3" s="829"/>
      <c r="E3" s="829"/>
      <c r="F3" s="829"/>
      <c r="G3" s="2" t="s">
        <v>11</v>
      </c>
      <c r="H3" s="3" t="s">
        <v>12</v>
      </c>
      <c r="I3" s="2" t="s">
        <v>11</v>
      </c>
      <c r="J3" s="3" t="s">
        <v>12</v>
      </c>
      <c r="K3" s="2" t="s">
        <v>11</v>
      </c>
      <c r="L3" s="3" t="s">
        <v>12</v>
      </c>
      <c r="M3" s="2" t="s">
        <v>11</v>
      </c>
      <c r="N3" s="3" t="s">
        <v>12</v>
      </c>
      <c r="O3" s="2" t="s">
        <v>11</v>
      </c>
      <c r="P3" s="3" t="s">
        <v>12</v>
      </c>
      <c r="Q3" s="2" t="s">
        <v>11</v>
      </c>
      <c r="R3" s="3" t="s">
        <v>12</v>
      </c>
      <c r="S3" s="2" t="s">
        <v>11</v>
      </c>
      <c r="T3" s="3" t="s">
        <v>12</v>
      </c>
      <c r="U3" s="2" t="s">
        <v>11</v>
      </c>
      <c r="V3" s="3" t="s">
        <v>12</v>
      </c>
      <c r="W3" s="2" t="s">
        <v>11</v>
      </c>
      <c r="X3" s="3" t="s">
        <v>12</v>
      </c>
      <c r="Y3" s="2" t="s">
        <v>11</v>
      </c>
      <c r="Z3" s="3" t="s">
        <v>12</v>
      </c>
      <c r="AA3" s="2" t="s">
        <v>11</v>
      </c>
      <c r="AB3" s="3" t="s">
        <v>12</v>
      </c>
      <c r="AC3" s="2" t="s">
        <v>11</v>
      </c>
      <c r="AD3" s="3" t="s">
        <v>12</v>
      </c>
      <c r="AE3" s="4" t="s">
        <v>11</v>
      </c>
      <c r="AF3" s="5" t="s">
        <v>12</v>
      </c>
      <c r="AG3" s="2" t="s">
        <v>11</v>
      </c>
      <c r="AH3" s="3" t="s">
        <v>12</v>
      </c>
      <c r="AI3" s="2" t="s">
        <v>11</v>
      </c>
      <c r="AJ3" s="3" t="s">
        <v>12</v>
      </c>
      <c r="AK3" s="2" t="s">
        <v>11</v>
      </c>
      <c r="AL3" s="3" t="s">
        <v>12</v>
      </c>
      <c r="AM3" s="2" t="s">
        <v>11</v>
      </c>
      <c r="AN3" s="3" t="s">
        <v>12</v>
      </c>
      <c r="AO3" s="2" t="s">
        <v>11</v>
      </c>
      <c r="AP3" s="3" t="s">
        <v>12</v>
      </c>
      <c r="AQ3" s="2" t="s">
        <v>11</v>
      </c>
      <c r="AR3" s="3" t="s">
        <v>12</v>
      </c>
      <c r="AS3" s="2" t="s">
        <v>11</v>
      </c>
      <c r="AT3" s="3" t="s">
        <v>12</v>
      </c>
      <c r="AU3" s="2" t="s">
        <v>11</v>
      </c>
      <c r="AV3" s="3" t="s">
        <v>12</v>
      </c>
      <c r="AW3" s="2" t="s">
        <v>11</v>
      </c>
      <c r="AX3" s="3" t="s">
        <v>12</v>
      </c>
      <c r="AY3" s="2" t="s">
        <v>11</v>
      </c>
      <c r="AZ3" s="3" t="s">
        <v>12</v>
      </c>
      <c r="BA3" s="2" t="s">
        <v>11</v>
      </c>
      <c r="BB3" s="3" t="s">
        <v>12</v>
      </c>
      <c r="BC3" s="2" t="s">
        <v>11</v>
      </c>
      <c r="BD3" s="3" t="s">
        <v>12</v>
      </c>
      <c r="BE3" s="4" t="s">
        <v>11</v>
      </c>
      <c r="BF3" s="5" t="s">
        <v>12</v>
      </c>
      <c r="BG3" s="2" t="s">
        <v>11</v>
      </c>
      <c r="BH3" s="3" t="s">
        <v>12</v>
      </c>
      <c r="BI3" s="2" t="s">
        <v>11</v>
      </c>
      <c r="BJ3" s="3" t="s">
        <v>12</v>
      </c>
      <c r="BK3" s="2" t="s">
        <v>11</v>
      </c>
      <c r="BL3" s="3" t="s">
        <v>12</v>
      </c>
      <c r="BM3" s="2" t="s">
        <v>11</v>
      </c>
      <c r="BN3" s="3" t="s">
        <v>12</v>
      </c>
      <c r="BO3" s="2" t="s">
        <v>11</v>
      </c>
      <c r="BP3" s="3" t="s">
        <v>12</v>
      </c>
      <c r="BQ3" s="2" t="s">
        <v>11</v>
      </c>
      <c r="BR3" s="3" t="s">
        <v>12</v>
      </c>
      <c r="BS3" s="2" t="s">
        <v>11</v>
      </c>
      <c r="BT3" s="3" t="s">
        <v>12</v>
      </c>
      <c r="BU3" s="2" t="s">
        <v>11</v>
      </c>
      <c r="BV3" s="3" t="s">
        <v>12</v>
      </c>
      <c r="BW3" s="2" t="s">
        <v>11</v>
      </c>
      <c r="BX3" s="3" t="s">
        <v>12</v>
      </c>
      <c r="BY3" s="2" t="s">
        <v>11</v>
      </c>
      <c r="BZ3" s="3" t="s">
        <v>12</v>
      </c>
      <c r="CA3" s="2" t="s">
        <v>11</v>
      </c>
      <c r="CB3" s="3" t="s">
        <v>12</v>
      </c>
      <c r="CC3" s="2" t="s">
        <v>11</v>
      </c>
      <c r="CD3" s="3" t="s">
        <v>12</v>
      </c>
      <c r="CE3" s="2" t="s">
        <v>11</v>
      </c>
      <c r="CF3" s="3" t="s">
        <v>12</v>
      </c>
      <c r="CG3" s="4" t="s">
        <v>11</v>
      </c>
      <c r="CH3" s="5" t="s">
        <v>12</v>
      </c>
      <c r="CI3" s="66" t="s">
        <v>69</v>
      </c>
      <c r="CJ3" s="67" t="s">
        <v>12</v>
      </c>
      <c r="CK3" s="2" t="s">
        <v>11</v>
      </c>
      <c r="CL3" s="6" t="s">
        <v>12</v>
      </c>
      <c r="CM3" s="2" t="s">
        <v>11</v>
      </c>
      <c r="CN3" s="3" t="s">
        <v>12</v>
      </c>
      <c r="CO3" s="2" t="s">
        <v>11</v>
      </c>
      <c r="CP3" s="3" t="s">
        <v>12</v>
      </c>
      <c r="CQ3" s="2" t="s">
        <v>11</v>
      </c>
      <c r="CR3" s="3" t="s">
        <v>12</v>
      </c>
      <c r="CS3" s="2" t="s">
        <v>11</v>
      </c>
      <c r="CT3" s="3" t="s">
        <v>12</v>
      </c>
      <c r="CU3" s="2" t="s">
        <v>11</v>
      </c>
      <c r="CV3" s="3" t="s">
        <v>12</v>
      </c>
      <c r="CW3" s="2" t="s">
        <v>11</v>
      </c>
      <c r="CX3" s="3" t="s">
        <v>12</v>
      </c>
      <c r="CY3" s="2" t="s">
        <v>11</v>
      </c>
      <c r="CZ3" s="3" t="s">
        <v>12</v>
      </c>
      <c r="DA3" s="2" t="s">
        <v>11</v>
      </c>
      <c r="DB3" s="3" t="s">
        <v>12</v>
      </c>
      <c r="DC3" s="2" t="s">
        <v>11</v>
      </c>
      <c r="DD3" s="3" t="s">
        <v>12</v>
      </c>
      <c r="DE3" s="2" t="s">
        <v>11</v>
      </c>
      <c r="DF3" s="3" t="s">
        <v>12</v>
      </c>
      <c r="DG3" s="2" t="s">
        <v>11</v>
      </c>
      <c r="DH3" s="3" t="s">
        <v>12</v>
      </c>
      <c r="DI3" s="2" t="s">
        <v>11</v>
      </c>
      <c r="DJ3" s="3" t="s">
        <v>12</v>
      </c>
      <c r="DK3" s="2" t="s">
        <v>11</v>
      </c>
      <c r="DL3" s="3" t="s">
        <v>12</v>
      </c>
      <c r="DM3" s="2" t="s">
        <v>11</v>
      </c>
      <c r="DN3" s="3" t="s">
        <v>12</v>
      </c>
      <c r="DO3" s="50" t="s">
        <v>67</v>
      </c>
      <c r="DP3" s="2" t="s">
        <v>11</v>
      </c>
      <c r="DQ3" s="6" t="s">
        <v>12</v>
      </c>
      <c r="DR3" s="2" t="s">
        <v>11</v>
      </c>
      <c r="DS3" s="3" t="s">
        <v>12</v>
      </c>
      <c r="DT3" s="2" t="s">
        <v>11</v>
      </c>
      <c r="DU3" s="3" t="s">
        <v>12</v>
      </c>
      <c r="DV3" s="2" t="s">
        <v>11</v>
      </c>
      <c r="DW3" s="3" t="s">
        <v>12</v>
      </c>
      <c r="DX3" s="2" t="s">
        <v>11</v>
      </c>
      <c r="DY3" s="3" t="s">
        <v>12</v>
      </c>
      <c r="DZ3" s="2" t="s">
        <v>11</v>
      </c>
      <c r="EA3" s="3" t="s">
        <v>12</v>
      </c>
      <c r="EB3" s="2" t="s">
        <v>11</v>
      </c>
      <c r="EC3" s="3" t="s">
        <v>12</v>
      </c>
      <c r="ED3" s="2" t="s">
        <v>11</v>
      </c>
      <c r="EE3" s="3" t="s">
        <v>12</v>
      </c>
      <c r="EF3" s="2" t="s">
        <v>11</v>
      </c>
      <c r="EG3" s="3" t="s">
        <v>12</v>
      </c>
      <c r="EH3" s="2" t="s">
        <v>11</v>
      </c>
      <c r="EI3" s="3" t="s">
        <v>12</v>
      </c>
      <c r="EJ3" s="2" t="s">
        <v>11</v>
      </c>
      <c r="EK3" s="3" t="s">
        <v>12</v>
      </c>
      <c r="EL3" s="2" t="s">
        <v>11</v>
      </c>
      <c r="EM3" s="3" t="s">
        <v>12</v>
      </c>
      <c r="EN3" s="2" t="s">
        <v>11</v>
      </c>
      <c r="EO3" s="3" t="s">
        <v>12</v>
      </c>
      <c r="EP3" s="2" t="s">
        <v>11</v>
      </c>
      <c r="EQ3" s="3" t="s">
        <v>12</v>
      </c>
      <c r="ER3" s="50" t="s">
        <v>67</v>
      </c>
      <c r="ES3" s="877"/>
      <c r="ET3" s="519" t="s">
        <v>69</v>
      </c>
      <c r="EU3" s="519" t="s">
        <v>69</v>
      </c>
      <c r="EV3" s="521" t="s">
        <v>77</v>
      </c>
      <c r="EW3" s="521" t="s">
        <v>1260</v>
      </c>
      <c r="EX3" s="521" t="s">
        <v>77</v>
      </c>
      <c r="EY3" s="521" t="s">
        <v>79</v>
      </c>
      <c r="EZ3" s="875"/>
    </row>
    <row r="4" spans="1:156">
      <c r="A4" s="7">
        <v>1</v>
      </c>
      <c r="B4" s="8" t="s">
        <v>13</v>
      </c>
      <c r="C4" s="8" t="s">
        <v>14</v>
      </c>
      <c r="D4" s="7">
        <v>0.7</v>
      </c>
      <c r="E4" s="7" t="s">
        <v>15</v>
      </c>
      <c r="F4" s="7">
        <v>1870</v>
      </c>
      <c r="G4" s="9">
        <v>19961</v>
      </c>
      <c r="H4" s="10">
        <v>13972.699999999999</v>
      </c>
      <c r="I4" s="9">
        <v>12844</v>
      </c>
      <c r="J4" s="10">
        <v>8990.7999999999993</v>
      </c>
      <c r="K4" s="9">
        <v>22152</v>
      </c>
      <c r="L4" s="10">
        <v>15506.4</v>
      </c>
      <c r="M4" s="9">
        <v>13368</v>
      </c>
      <c r="N4" s="10">
        <v>9357.5999999999985</v>
      </c>
      <c r="O4" s="9">
        <v>13720</v>
      </c>
      <c r="P4" s="10">
        <v>9604</v>
      </c>
      <c r="Q4" s="9">
        <v>8880</v>
      </c>
      <c r="R4" s="10">
        <v>6216</v>
      </c>
      <c r="S4" s="9">
        <v>8208</v>
      </c>
      <c r="T4" s="10">
        <v>5745.5999999999995</v>
      </c>
      <c r="U4" s="9">
        <v>14127</v>
      </c>
      <c r="V4" s="10">
        <v>9888.9</v>
      </c>
      <c r="W4" s="9">
        <v>6948</v>
      </c>
      <c r="X4" s="10">
        <v>4863.5999999999995</v>
      </c>
      <c r="Y4" s="9">
        <v>3876</v>
      </c>
      <c r="Z4" s="10">
        <v>2713.2</v>
      </c>
      <c r="AA4" s="9">
        <v>5580</v>
      </c>
      <c r="AB4" s="10">
        <v>3905.9999999999995</v>
      </c>
      <c r="AC4" s="9">
        <v>4932</v>
      </c>
      <c r="AD4" s="10">
        <v>3452.3999999999996</v>
      </c>
      <c r="AE4" s="11">
        <v>11216.333333333334</v>
      </c>
      <c r="AF4" s="12">
        <v>7851.4333333333334</v>
      </c>
      <c r="AG4" s="9">
        <v>6960</v>
      </c>
      <c r="AH4" s="10">
        <v>4872</v>
      </c>
      <c r="AI4" s="9">
        <v>6120</v>
      </c>
      <c r="AJ4" s="10">
        <v>4284</v>
      </c>
      <c r="AK4" s="9">
        <v>4584</v>
      </c>
      <c r="AL4" s="10">
        <v>3208.7999999999997</v>
      </c>
      <c r="AM4" s="9">
        <v>2172</v>
      </c>
      <c r="AN4" s="10">
        <v>1520.3999999999999</v>
      </c>
      <c r="AO4" s="9">
        <v>3288</v>
      </c>
      <c r="AP4" s="10">
        <v>2301.6</v>
      </c>
      <c r="AQ4" s="9">
        <v>3060</v>
      </c>
      <c r="AR4" s="10">
        <v>2142</v>
      </c>
      <c r="AS4" s="9">
        <v>2472</v>
      </c>
      <c r="AT4" s="10">
        <v>1730.3999999999999</v>
      </c>
      <c r="AU4" s="9">
        <v>2232</v>
      </c>
      <c r="AV4" s="10">
        <v>1562.3999999999999</v>
      </c>
      <c r="AW4" s="9">
        <v>1032</v>
      </c>
      <c r="AX4" s="10">
        <v>722.4</v>
      </c>
      <c r="AY4" s="9">
        <v>2856</v>
      </c>
      <c r="AZ4" s="10">
        <v>1999.1999999999998</v>
      </c>
      <c r="BA4" s="9">
        <v>2235</v>
      </c>
      <c r="BB4" s="10">
        <v>1564.5</v>
      </c>
      <c r="BC4" s="9">
        <v>3036</v>
      </c>
      <c r="BD4" s="10">
        <v>2125.1999999999998</v>
      </c>
      <c r="BE4" s="11">
        <v>3337.25</v>
      </c>
      <c r="BF4" s="12">
        <v>2336.0749999999998</v>
      </c>
      <c r="BG4" s="9">
        <v>2178</v>
      </c>
      <c r="BH4" s="10">
        <v>1524.6</v>
      </c>
      <c r="BI4" s="9">
        <v>2118</v>
      </c>
      <c r="BJ4" s="10">
        <v>1482.6</v>
      </c>
      <c r="BK4" s="9">
        <v>2737</v>
      </c>
      <c r="BL4" s="10">
        <v>1915.8999999999999</v>
      </c>
      <c r="BM4" s="9">
        <v>2268</v>
      </c>
      <c r="BN4" s="10">
        <v>1587.6</v>
      </c>
      <c r="BO4" s="9">
        <v>1992</v>
      </c>
      <c r="BP4" s="10">
        <v>1394.3999999999999</v>
      </c>
      <c r="BQ4" s="9">
        <v>1452</v>
      </c>
      <c r="BR4" s="10">
        <v>1016.4</v>
      </c>
      <c r="BS4" s="9">
        <v>2598</v>
      </c>
      <c r="BT4" s="10">
        <v>1818.6</v>
      </c>
      <c r="BU4" s="9">
        <v>2496</v>
      </c>
      <c r="BV4" s="10">
        <v>1747.1999999999998</v>
      </c>
      <c r="BW4" s="9">
        <v>1668</v>
      </c>
      <c r="BX4" s="10">
        <v>1167.5999999999999</v>
      </c>
      <c r="BY4" s="9">
        <v>948</v>
      </c>
      <c r="BZ4" s="10">
        <v>663.59999999999991</v>
      </c>
      <c r="CA4" s="9">
        <v>1212</v>
      </c>
      <c r="CB4" s="10">
        <v>848.4</v>
      </c>
      <c r="CC4" s="9">
        <v>3264</v>
      </c>
      <c r="CD4" s="10">
        <v>2284.7999999999997</v>
      </c>
      <c r="CE4" s="19">
        <f>(BG4+BI4+BK4+BM4+BO4+BQ4+BS4+BU4+BW4+BY4+CA4)/11</f>
        <v>1969.7272727272727</v>
      </c>
      <c r="CF4" s="10">
        <f>(BH4+BJ4+BL4+BN4+BP4+BR4+BT4+BV4+BX4+BZ4+CB4)/11</f>
        <v>1378.8090909090909</v>
      </c>
      <c r="CG4" s="11">
        <v>2077.5833333333335</v>
      </c>
      <c r="CH4" s="12">
        <v>1454.3083333333334</v>
      </c>
      <c r="CI4" s="15">
        <v>0.25799077329188191</v>
      </c>
      <c r="CJ4" s="15"/>
      <c r="CK4" s="14">
        <v>1308</v>
      </c>
      <c r="CL4" s="10">
        <v>915.59999999999991</v>
      </c>
      <c r="CM4" s="14">
        <v>1860</v>
      </c>
      <c r="CN4" s="15">
        <v>1302</v>
      </c>
      <c r="CO4" s="14">
        <v>840</v>
      </c>
      <c r="CP4" s="15">
        <v>588</v>
      </c>
      <c r="CQ4" s="14">
        <v>358</v>
      </c>
      <c r="CR4" s="15">
        <v>250.6</v>
      </c>
      <c r="CS4" s="14">
        <v>2640</v>
      </c>
      <c r="CT4" s="15">
        <v>1847.9999999999998</v>
      </c>
      <c r="CU4" s="14">
        <v>696</v>
      </c>
      <c r="CV4" s="15">
        <v>487.2</v>
      </c>
      <c r="CW4" s="14">
        <v>576</v>
      </c>
      <c r="CX4" s="17">
        <v>403.2</v>
      </c>
      <c r="CY4" s="14">
        <v>660</v>
      </c>
      <c r="CZ4" s="15">
        <v>461.99999999999994</v>
      </c>
      <c r="DA4" s="14">
        <v>1322</v>
      </c>
      <c r="DB4" s="15">
        <v>925.4</v>
      </c>
      <c r="DC4" s="14">
        <v>624</v>
      </c>
      <c r="DD4" s="15">
        <v>436.79999999999995</v>
      </c>
      <c r="DE4" s="14">
        <v>1740</v>
      </c>
      <c r="DF4" s="15">
        <v>1218</v>
      </c>
      <c r="DG4" s="14">
        <v>960</v>
      </c>
      <c r="DH4" s="15">
        <v>672</v>
      </c>
      <c r="DI4" s="16">
        <f>CK4+CM4+CO4+CQ4+CS4+CU4+CW4+CY4+DA4+DC4+DE4+DG4</f>
        <v>13584</v>
      </c>
      <c r="DJ4" s="16">
        <f>CL4+CN4+CP4+CR4+CT4+CV4+CX4+CZ4+DB4+DD4+DF4+DH4</f>
        <v>9508.7999999999993</v>
      </c>
      <c r="DK4" s="16">
        <f>(CK4+CM4)/2</f>
        <v>1584</v>
      </c>
      <c r="DL4" s="17">
        <f>(CL4+CN4)/2</f>
        <v>1108.8</v>
      </c>
      <c r="DM4" s="68">
        <f>DI4/12</f>
        <v>1132</v>
      </c>
      <c r="DN4" s="294">
        <f>DJ4/12</f>
        <v>792.4</v>
      </c>
      <c r="DO4" s="69">
        <f>DN4/$DN$57%</f>
        <v>0.13393114916645824</v>
      </c>
      <c r="DP4" s="14">
        <v>1224</v>
      </c>
      <c r="DQ4" s="10">
        <v>856.8</v>
      </c>
      <c r="DR4" s="9">
        <v>900</v>
      </c>
      <c r="DS4" s="10">
        <v>630</v>
      </c>
      <c r="DT4" s="14"/>
      <c r="DU4" s="15"/>
      <c r="DV4" s="14"/>
      <c r="DW4" s="15"/>
      <c r="DX4" s="14"/>
      <c r="DY4" s="15"/>
      <c r="DZ4" s="14"/>
      <c r="EA4" s="15"/>
      <c r="EB4" s="14"/>
      <c r="EC4" s="17"/>
      <c r="ED4" s="14"/>
      <c r="EE4" s="15"/>
      <c r="EF4" s="14"/>
      <c r="EG4" s="15"/>
      <c r="EH4" s="14"/>
      <c r="EI4" s="15"/>
      <c r="EJ4" s="14"/>
      <c r="EK4" s="15"/>
      <c r="EL4" s="14"/>
      <c r="EM4" s="15"/>
      <c r="EN4" s="16">
        <f>DP4+DR4+DT4+DV4+DX4+DZ4+EB4+ED4+EF4+EH4+EJ4+EL4</f>
        <v>2124</v>
      </c>
      <c r="EO4" s="16">
        <f>DQ4+DS4+DU4+DW4+DY4+EA4+EC4+EE4+EG4+EI4+EK4+EM4</f>
        <v>1486.8</v>
      </c>
      <c r="EP4" s="68">
        <f>EN4/2</f>
        <v>1062</v>
      </c>
      <c r="EQ4" s="294">
        <f>EO4/2</f>
        <v>743.4</v>
      </c>
      <c r="ER4" s="535">
        <f t="shared" ref="ER4:ER23" si="0">EQ4/$EQ$57%</f>
        <v>0.14359086408245861</v>
      </c>
      <c r="ES4" s="522">
        <f>ER4-DO4</f>
        <v>9.6597149160003726E-3</v>
      </c>
      <c r="ET4" s="522">
        <f>EQ4/DL4*100-100</f>
        <v>-32.954545454545453</v>
      </c>
      <c r="EU4" s="522">
        <f>EQ4/DN4*100-100</f>
        <v>-6.1837455830388706</v>
      </c>
      <c r="EV4" s="522">
        <f>EQ4-DN4</f>
        <v>-49</v>
      </c>
      <c r="EW4" s="523">
        <f>EQ4-DL4</f>
        <v>-365.4</v>
      </c>
      <c r="EX4" s="522">
        <f>EV4/14</f>
        <v>-3.5</v>
      </c>
      <c r="EY4" s="522">
        <f>EW4/14</f>
        <v>-26.099999999999998</v>
      </c>
      <c r="EZ4" s="522">
        <f>EY4*2</f>
        <v>-52.199999999999996</v>
      </c>
    </row>
    <row r="5" spans="1:156" s="251" customFormat="1">
      <c r="A5" s="246"/>
      <c r="B5" s="247" t="s">
        <v>183</v>
      </c>
      <c r="C5" s="247"/>
      <c r="D5" s="246"/>
      <c r="E5" s="246"/>
      <c r="F5" s="246"/>
      <c r="G5" s="248"/>
      <c r="H5" s="249"/>
      <c r="I5" s="248"/>
      <c r="J5" s="249"/>
      <c r="K5" s="248"/>
      <c r="L5" s="249"/>
      <c r="M5" s="248"/>
      <c r="N5" s="249"/>
      <c r="O5" s="248"/>
      <c r="P5" s="249"/>
      <c r="Q5" s="248"/>
      <c r="R5" s="249"/>
      <c r="S5" s="248"/>
      <c r="T5" s="249"/>
      <c r="U5" s="248"/>
      <c r="V5" s="249"/>
      <c r="W5" s="248"/>
      <c r="X5" s="249"/>
      <c r="Y5" s="248"/>
      <c r="Z5" s="249"/>
      <c r="AA5" s="248"/>
      <c r="AB5" s="249"/>
      <c r="AC5" s="248"/>
      <c r="AD5" s="249"/>
      <c r="AE5" s="248"/>
      <c r="AF5" s="249"/>
      <c r="AG5" s="248"/>
      <c r="AH5" s="249"/>
      <c r="AI5" s="248"/>
      <c r="AJ5" s="249"/>
      <c r="AK5" s="248"/>
      <c r="AL5" s="249"/>
      <c r="AM5" s="248"/>
      <c r="AN5" s="249"/>
      <c r="AO5" s="248"/>
      <c r="AP5" s="249"/>
      <c r="AQ5" s="248"/>
      <c r="AR5" s="249"/>
      <c r="AS5" s="248"/>
      <c r="AT5" s="249"/>
      <c r="AU5" s="248"/>
      <c r="AV5" s="249"/>
      <c r="AW5" s="248"/>
      <c r="AX5" s="249"/>
      <c r="AY5" s="248"/>
      <c r="AZ5" s="249"/>
      <c r="BA5" s="248"/>
      <c r="BB5" s="249"/>
      <c r="BC5" s="248"/>
      <c r="BD5" s="249"/>
      <c r="BE5" s="248"/>
      <c r="BF5" s="249"/>
      <c r="BG5" s="248"/>
      <c r="BH5" s="249"/>
      <c r="BI5" s="248"/>
      <c r="BJ5" s="249"/>
      <c r="BK5" s="248"/>
      <c r="BL5" s="249"/>
      <c r="BM5" s="248"/>
      <c r="BN5" s="249"/>
      <c r="BO5" s="248"/>
      <c r="BP5" s="249"/>
      <c r="BQ5" s="248"/>
      <c r="BR5" s="249"/>
      <c r="BS5" s="248"/>
      <c r="BT5" s="249"/>
      <c r="BU5" s="248"/>
      <c r="BV5" s="249"/>
      <c r="BW5" s="248"/>
      <c r="BX5" s="249"/>
      <c r="BY5" s="248"/>
      <c r="BZ5" s="249"/>
      <c r="CA5" s="248"/>
      <c r="CB5" s="249"/>
      <c r="CC5" s="248"/>
      <c r="CD5" s="249"/>
      <c r="CE5" s="250">
        <f t="shared" ref="CE5:DJ5" si="1">SUM(CE4)</f>
        <v>1969.7272727272727</v>
      </c>
      <c r="CF5" s="250">
        <f t="shared" si="1"/>
        <v>1378.8090909090909</v>
      </c>
      <c r="CG5" s="250">
        <f t="shared" si="1"/>
        <v>2077.5833333333335</v>
      </c>
      <c r="CH5" s="250">
        <f t="shared" si="1"/>
        <v>1454.3083333333334</v>
      </c>
      <c r="CI5" s="250">
        <f t="shared" si="1"/>
        <v>0.25799077329188191</v>
      </c>
      <c r="CJ5" s="250">
        <f t="shared" si="1"/>
        <v>0</v>
      </c>
      <c r="CK5" s="250">
        <f t="shared" si="1"/>
        <v>1308</v>
      </c>
      <c r="CL5" s="250">
        <f t="shared" si="1"/>
        <v>915.59999999999991</v>
      </c>
      <c r="CM5" s="250">
        <f t="shared" si="1"/>
        <v>1860</v>
      </c>
      <c r="CN5" s="250">
        <f t="shared" si="1"/>
        <v>1302</v>
      </c>
      <c r="CO5" s="250">
        <f t="shared" si="1"/>
        <v>840</v>
      </c>
      <c r="CP5" s="250">
        <f t="shared" si="1"/>
        <v>588</v>
      </c>
      <c r="CQ5" s="250">
        <f t="shared" si="1"/>
        <v>358</v>
      </c>
      <c r="CR5" s="250">
        <f t="shared" si="1"/>
        <v>250.6</v>
      </c>
      <c r="CS5" s="250">
        <f t="shared" si="1"/>
        <v>2640</v>
      </c>
      <c r="CT5" s="250">
        <f t="shared" si="1"/>
        <v>1847.9999999999998</v>
      </c>
      <c r="CU5" s="250">
        <f t="shared" si="1"/>
        <v>696</v>
      </c>
      <c r="CV5" s="250">
        <f t="shared" si="1"/>
        <v>487.2</v>
      </c>
      <c r="CW5" s="250">
        <f t="shared" si="1"/>
        <v>576</v>
      </c>
      <c r="CX5" s="250">
        <f t="shared" si="1"/>
        <v>403.2</v>
      </c>
      <c r="CY5" s="250">
        <f t="shared" si="1"/>
        <v>660</v>
      </c>
      <c r="CZ5" s="250">
        <f t="shared" si="1"/>
        <v>461.99999999999994</v>
      </c>
      <c r="DA5" s="250">
        <f t="shared" si="1"/>
        <v>1322</v>
      </c>
      <c r="DB5" s="250">
        <f t="shared" si="1"/>
        <v>925.4</v>
      </c>
      <c r="DC5" s="250">
        <f t="shared" si="1"/>
        <v>624</v>
      </c>
      <c r="DD5" s="250">
        <f t="shared" si="1"/>
        <v>436.79999999999995</v>
      </c>
      <c r="DE5" s="250">
        <f t="shared" si="1"/>
        <v>1740</v>
      </c>
      <c r="DF5" s="250">
        <f t="shared" si="1"/>
        <v>1218</v>
      </c>
      <c r="DG5" s="250">
        <f t="shared" si="1"/>
        <v>960</v>
      </c>
      <c r="DH5" s="250">
        <f t="shared" si="1"/>
        <v>672</v>
      </c>
      <c r="DI5" s="250">
        <f t="shared" si="1"/>
        <v>13584</v>
      </c>
      <c r="DJ5" s="250">
        <f t="shared" si="1"/>
        <v>9508.7999999999993</v>
      </c>
      <c r="DK5" s="669">
        <f>(CK5+CM5)/2</f>
        <v>1584</v>
      </c>
      <c r="DL5" s="670">
        <f>(CL5+CN5)/2</f>
        <v>1108.8</v>
      </c>
      <c r="DM5" s="502">
        <f t="shared" ref="DM5:DM56" si="2">DI5/12</f>
        <v>1132</v>
      </c>
      <c r="DN5" s="503">
        <f t="shared" ref="DN5:DN56" si="3">DJ5/12</f>
        <v>792.4</v>
      </c>
      <c r="DO5" s="250">
        <f>SUM(DO4)</f>
        <v>0.13393114916645824</v>
      </c>
      <c r="DP5" s="250">
        <f t="shared" ref="DP5:EO5" si="4">SUM(DP4)</f>
        <v>1224</v>
      </c>
      <c r="DQ5" s="250">
        <f t="shared" si="4"/>
        <v>856.8</v>
      </c>
      <c r="DR5" s="250">
        <f t="shared" si="4"/>
        <v>900</v>
      </c>
      <c r="DS5" s="250">
        <f t="shared" si="4"/>
        <v>630</v>
      </c>
      <c r="DT5" s="250">
        <f t="shared" si="4"/>
        <v>0</v>
      </c>
      <c r="DU5" s="250">
        <f t="shared" si="4"/>
        <v>0</v>
      </c>
      <c r="DV5" s="250">
        <f t="shared" si="4"/>
        <v>0</v>
      </c>
      <c r="DW5" s="250">
        <f t="shared" si="4"/>
        <v>0</v>
      </c>
      <c r="DX5" s="250">
        <f t="shared" si="4"/>
        <v>0</v>
      </c>
      <c r="DY5" s="250">
        <f t="shared" si="4"/>
        <v>0</v>
      </c>
      <c r="DZ5" s="250">
        <f t="shared" si="4"/>
        <v>0</v>
      </c>
      <c r="EA5" s="250">
        <f t="shared" si="4"/>
        <v>0</v>
      </c>
      <c r="EB5" s="250">
        <f t="shared" si="4"/>
        <v>0</v>
      </c>
      <c r="EC5" s="250">
        <f t="shared" si="4"/>
        <v>0</v>
      </c>
      <c r="ED5" s="250">
        <f t="shared" si="4"/>
        <v>0</v>
      </c>
      <c r="EE5" s="250">
        <f t="shared" si="4"/>
        <v>0</v>
      </c>
      <c r="EF5" s="250">
        <f t="shared" si="4"/>
        <v>0</v>
      </c>
      <c r="EG5" s="250">
        <f t="shared" si="4"/>
        <v>0</v>
      </c>
      <c r="EH5" s="250">
        <f t="shared" si="4"/>
        <v>0</v>
      </c>
      <c r="EI5" s="250">
        <f t="shared" si="4"/>
        <v>0</v>
      </c>
      <c r="EJ5" s="250">
        <f t="shared" si="4"/>
        <v>0</v>
      </c>
      <c r="EK5" s="250">
        <f t="shared" si="4"/>
        <v>0</v>
      </c>
      <c r="EL5" s="250">
        <f t="shared" si="4"/>
        <v>0</v>
      </c>
      <c r="EM5" s="250">
        <f t="shared" si="4"/>
        <v>0</v>
      </c>
      <c r="EN5" s="250">
        <f t="shared" si="4"/>
        <v>2124</v>
      </c>
      <c r="EO5" s="250">
        <f t="shared" si="4"/>
        <v>1486.8</v>
      </c>
      <c r="EP5" s="502">
        <f t="shared" ref="EP5:EP56" si="5">EN5/2</f>
        <v>1062</v>
      </c>
      <c r="EQ5" s="503">
        <f t="shared" ref="EQ5:EQ56" si="6">EO5/2</f>
        <v>743.4</v>
      </c>
      <c r="ER5" s="536">
        <f t="shared" si="0"/>
        <v>0.14359086408245861</v>
      </c>
      <c r="ES5" s="537">
        <f t="shared" ref="ES5:ES57" si="7">ER5-DO5</f>
        <v>9.6597149160003726E-3</v>
      </c>
      <c r="ET5" s="537">
        <f t="shared" ref="ET5:ET57" si="8">EQ5/DL5*100-100</f>
        <v>-32.954545454545453</v>
      </c>
      <c r="EU5" s="537">
        <f t="shared" ref="EU5:EU57" si="9">EQ5/DN5*100-100</f>
        <v>-6.1837455830388706</v>
      </c>
      <c r="EV5" s="537">
        <f t="shared" ref="EV5:EV57" si="10">EQ5-DN5</f>
        <v>-49</v>
      </c>
      <c r="EW5" s="538">
        <f t="shared" ref="EW5:EW57" si="11">EQ5-DL5</f>
        <v>-365.4</v>
      </c>
      <c r="EX5" s="537">
        <f t="shared" ref="EX5:EX57" si="12">EV5/14</f>
        <v>-3.5</v>
      </c>
      <c r="EY5" s="537">
        <f t="shared" ref="EY5:EY57" si="13">EW5/14</f>
        <v>-26.099999999999998</v>
      </c>
      <c r="EZ5" s="537">
        <f t="shared" ref="EZ5:EZ57" si="14">EY5*2</f>
        <v>-52.199999999999996</v>
      </c>
    </row>
    <row r="6" spans="1:156">
      <c r="A6" s="7">
        <v>2</v>
      </c>
      <c r="B6" s="8" t="s">
        <v>17</v>
      </c>
      <c r="C6" s="8" t="s">
        <v>16</v>
      </c>
      <c r="D6" s="7">
        <v>1</v>
      </c>
      <c r="E6" s="7" t="s">
        <v>15</v>
      </c>
      <c r="F6" s="7">
        <v>1580</v>
      </c>
      <c r="G6" s="9">
        <v>972</v>
      </c>
      <c r="H6" s="10">
        <v>972</v>
      </c>
      <c r="I6" s="9">
        <v>468</v>
      </c>
      <c r="J6" s="10">
        <v>468</v>
      </c>
      <c r="K6" s="9"/>
      <c r="L6" s="10">
        <v>0</v>
      </c>
      <c r="M6" s="9">
        <v>420</v>
      </c>
      <c r="N6" s="10">
        <v>420</v>
      </c>
      <c r="O6" s="9">
        <v>600</v>
      </c>
      <c r="P6" s="10">
        <v>600</v>
      </c>
      <c r="Q6" s="9"/>
      <c r="R6" s="10">
        <v>0</v>
      </c>
      <c r="S6" s="9"/>
      <c r="T6" s="10">
        <v>0</v>
      </c>
      <c r="U6" s="9">
        <v>420</v>
      </c>
      <c r="V6" s="10">
        <v>420</v>
      </c>
      <c r="W6" s="9">
        <v>288</v>
      </c>
      <c r="X6" s="10">
        <v>288</v>
      </c>
      <c r="Y6" s="9">
        <v>180</v>
      </c>
      <c r="Z6" s="10">
        <v>180</v>
      </c>
      <c r="AA6" s="9"/>
      <c r="AB6" s="10">
        <v>0</v>
      </c>
      <c r="AC6" s="9">
        <v>120</v>
      </c>
      <c r="AD6" s="10">
        <v>120</v>
      </c>
      <c r="AE6" s="11">
        <v>289</v>
      </c>
      <c r="AF6" s="12">
        <v>289</v>
      </c>
      <c r="AG6" s="9">
        <v>120</v>
      </c>
      <c r="AH6" s="10">
        <v>120</v>
      </c>
      <c r="AI6" s="9"/>
      <c r="AJ6" s="10">
        <v>0</v>
      </c>
      <c r="AK6" s="9">
        <v>60</v>
      </c>
      <c r="AL6" s="10">
        <v>60</v>
      </c>
      <c r="AM6" s="9"/>
      <c r="AN6" s="10">
        <v>0</v>
      </c>
      <c r="AO6" s="9">
        <v>300</v>
      </c>
      <c r="AP6" s="10">
        <v>300</v>
      </c>
      <c r="AQ6" s="9"/>
      <c r="AR6" s="10">
        <v>0</v>
      </c>
      <c r="AS6" s="9"/>
      <c r="AT6" s="10">
        <v>0</v>
      </c>
      <c r="AU6" s="9"/>
      <c r="AV6" s="10">
        <v>0</v>
      </c>
      <c r="AW6" s="9">
        <v>180</v>
      </c>
      <c r="AX6" s="10">
        <v>180</v>
      </c>
      <c r="AY6" s="9">
        <v>12</v>
      </c>
      <c r="AZ6" s="10">
        <v>12</v>
      </c>
      <c r="BA6" s="9">
        <v>828</v>
      </c>
      <c r="BB6" s="10">
        <v>828</v>
      </c>
      <c r="BC6" s="9">
        <v>600</v>
      </c>
      <c r="BD6" s="10">
        <v>600</v>
      </c>
      <c r="BE6" s="11">
        <v>175</v>
      </c>
      <c r="BF6" s="12">
        <v>175</v>
      </c>
      <c r="BG6" s="9"/>
      <c r="BH6" s="10">
        <v>0</v>
      </c>
      <c r="BI6" s="9">
        <v>240</v>
      </c>
      <c r="BJ6" s="10">
        <v>240</v>
      </c>
      <c r="BK6" s="9"/>
      <c r="BL6" s="10">
        <v>0</v>
      </c>
      <c r="BM6" s="9"/>
      <c r="BN6" s="10">
        <v>0</v>
      </c>
      <c r="BO6" s="9">
        <v>660</v>
      </c>
      <c r="BP6" s="10">
        <v>660</v>
      </c>
      <c r="BQ6" s="9"/>
      <c r="BR6" s="10">
        <v>0</v>
      </c>
      <c r="BS6" s="9"/>
      <c r="BT6" s="10">
        <v>0</v>
      </c>
      <c r="BU6" s="9"/>
      <c r="BV6" s="10">
        <v>0</v>
      </c>
      <c r="BW6" s="9"/>
      <c r="BX6" s="10">
        <v>0</v>
      </c>
      <c r="BY6" s="9"/>
      <c r="BZ6" s="10">
        <v>0</v>
      </c>
      <c r="CA6" s="9"/>
      <c r="CB6" s="10">
        <v>0</v>
      </c>
      <c r="CC6" s="9"/>
      <c r="CD6" s="10">
        <v>0</v>
      </c>
      <c r="CE6" s="19">
        <f t="shared" ref="CE6:CE72" si="15">(BG6+BI6+BK6+BM6+BO6+BQ6+BS6+BU6+BW6+BY6+CA6)/11</f>
        <v>81.818181818181813</v>
      </c>
      <c r="CF6" s="10">
        <f t="shared" ref="CF6:CF72" si="16">(BH6+BJ6+BL6+BN6+BP6+BR6+BT6+BV6+BX6+BZ6+CB6)/11</f>
        <v>81.818181818181813</v>
      </c>
      <c r="CG6" s="11">
        <v>75</v>
      </c>
      <c r="CH6" s="12">
        <v>75</v>
      </c>
      <c r="CI6" s="15">
        <v>1.3304818210414671E-2</v>
      </c>
      <c r="CJ6" s="15"/>
      <c r="CK6" s="14"/>
      <c r="CL6" s="10">
        <v>0</v>
      </c>
      <c r="CM6" s="14"/>
      <c r="CN6" s="15">
        <v>0</v>
      </c>
      <c r="CO6" s="14"/>
      <c r="CP6" s="15">
        <v>0</v>
      </c>
      <c r="CQ6" s="14"/>
      <c r="CR6" s="15">
        <v>0</v>
      </c>
      <c r="CS6" s="14"/>
      <c r="CT6" s="15">
        <v>0</v>
      </c>
      <c r="CU6" s="14"/>
      <c r="CV6" s="15">
        <v>0</v>
      </c>
      <c r="CW6" s="14">
        <v>24</v>
      </c>
      <c r="CX6" s="17">
        <v>24</v>
      </c>
      <c r="CY6" s="14"/>
      <c r="CZ6" s="15">
        <v>0</v>
      </c>
      <c r="DA6" s="14"/>
      <c r="DB6" s="15">
        <v>0</v>
      </c>
      <c r="DC6" s="14"/>
      <c r="DD6" s="15">
        <v>0</v>
      </c>
      <c r="DE6" s="14"/>
      <c r="DF6" s="15">
        <v>0</v>
      </c>
      <c r="DG6" s="14"/>
      <c r="DH6" s="15">
        <v>0</v>
      </c>
      <c r="DI6" s="16">
        <f t="shared" ref="DI6:DI57" si="17">CK6+CM6+CO6+CQ6+CS6+CU6+CW6+CY6+DA6+DC6+DE6+DG6</f>
        <v>24</v>
      </c>
      <c r="DJ6" s="16">
        <f t="shared" ref="DJ6:DJ57" si="18">CL6+CN6+CP6+CR6+CT6+CV6+CX6+CZ6+DB6+DD6+DF6+DH6</f>
        <v>24</v>
      </c>
      <c r="DK6" s="16">
        <f t="shared" ref="DK6:DK56" si="19">(CK6+CM6)/2</f>
        <v>0</v>
      </c>
      <c r="DL6" s="17">
        <f t="shared" ref="DL6:DL56" si="20">(CL6+CN6)/2</f>
        <v>0</v>
      </c>
      <c r="DM6" s="68">
        <f t="shared" si="2"/>
        <v>2</v>
      </c>
      <c r="DN6" s="294">
        <f t="shared" si="3"/>
        <v>2</v>
      </c>
      <c r="DO6" s="69">
        <f>DN6/$DN$57%</f>
        <v>3.3803924575077801E-4</v>
      </c>
      <c r="DP6" s="14"/>
      <c r="DQ6" s="10"/>
      <c r="DR6" s="9"/>
      <c r="DS6" s="10"/>
      <c r="DT6" s="14"/>
      <c r="DU6" s="15"/>
      <c r="DV6" s="14"/>
      <c r="DW6" s="15"/>
      <c r="DX6" s="14"/>
      <c r="DY6" s="15"/>
      <c r="DZ6" s="14"/>
      <c r="EA6" s="15"/>
      <c r="EB6" s="14"/>
      <c r="EC6" s="17"/>
      <c r="ED6" s="14"/>
      <c r="EE6" s="15"/>
      <c r="EF6" s="14"/>
      <c r="EG6" s="15"/>
      <c r="EH6" s="14"/>
      <c r="EI6" s="15"/>
      <c r="EJ6" s="14"/>
      <c r="EK6" s="15"/>
      <c r="EL6" s="14"/>
      <c r="EM6" s="15"/>
      <c r="EN6" s="16">
        <f t="shared" ref="EN6:EN7" si="21">DP6+DR6+DT6+DV6+DX6+DZ6+EB6+ED6+EF6+EH6+EJ6+EL6</f>
        <v>0</v>
      </c>
      <c r="EO6" s="16">
        <f t="shared" ref="EO6:EO7" si="22">DQ6+DS6+DU6+DW6+DY6+EA6+EC6+EE6+EG6+EI6+EK6+EM6</f>
        <v>0</v>
      </c>
      <c r="EP6" s="68">
        <f t="shared" si="5"/>
        <v>0</v>
      </c>
      <c r="EQ6" s="294">
        <f t="shared" si="6"/>
        <v>0</v>
      </c>
      <c r="ER6" s="535">
        <f t="shared" si="0"/>
        <v>0</v>
      </c>
      <c r="ES6" s="522">
        <f t="shared" si="7"/>
        <v>-3.3803924575077801E-4</v>
      </c>
      <c r="ET6" s="522"/>
      <c r="EU6" s="522">
        <f t="shared" si="9"/>
        <v>-100</v>
      </c>
      <c r="EV6" s="522">
        <f t="shared" si="10"/>
        <v>-2</v>
      </c>
      <c r="EW6" s="523">
        <f t="shared" si="11"/>
        <v>0</v>
      </c>
      <c r="EX6" s="522">
        <f t="shared" si="12"/>
        <v>-0.14285714285714285</v>
      </c>
      <c r="EY6" s="522">
        <f t="shared" si="13"/>
        <v>0</v>
      </c>
      <c r="EZ6" s="522">
        <f t="shared" si="14"/>
        <v>0</v>
      </c>
    </row>
    <row r="7" spans="1:156">
      <c r="A7" s="7">
        <v>3</v>
      </c>
      <c r="B7" s="8" t="s">
        <v>19</v>
      </c>
      <c r="C7" s="8" t="s">
        <v>14</v>
      </c>
      <c r="D7" s="7">
        <v>0.64</v>
      </c>
      <c r="E7" s="7" t="s">
        <v>20</v>
      </c>
      <c r="F7" s="7">
        <v>1230</v>
      </c>
      <c r="G7" s="9"/>
      <c r="H7" s="10">
        <v>0</v>
      </c>
      <c r="I7" s="9"/>
      <c r="J7" s="10">
        <v>0</v>
      </c>
      <c r="K7" s="9"/>
      <c r="L7" s="10">
        <v>0</v>
      </c>
      <c r="M7" s="9"/>
      <c r="N7" s="10">
        <v>0</v>
      </c>
      <c r="O7" s="9"/>
      <c r="P7" s="10">
        <v>0</v>
      </c>
      <c r="Q7" s="9"/>
      <c r="R7" s="10">
        <v>0</v>
      </c>
      <c r="S7" s="9"/>
      <c r="T7" s="10">
        <v>0</v>
      </c>
      <c r="U7" s="9"/>
      <c r="V7" s="10">
        <v>0</v>
      </c>
      <c r="W7" s="9"/>
      <c r="X7" s="10">
        <v>0</v>
      </c>
      <c r="Y7" s="9"/>
      <c r="Z7" s="10">
        <v>0</v>
      </c>
      <c r="AA7" s="9"/>
      <c r="AB7" s="10">
        <v>0</v>
      </c>
      <c r="AC7" s="9"/>
      <c r="AD7" s="10">
        <v>0</v>
      </c>
      <c r="AE7" s="11">
        <v>0</v>
      </c>
      <c r="AF7" s="12">
        <v>0</v>
      </c>
      <c r="AG7" s="9"/>
      <c r="AH7" s="10">
        <v>0</v>
      </c>
      <c r="AI7" s="9"/>
      <c r="AJ7" s="10">
        <v>0</v>
      </c>
      <c r="AK7" s="9"/>
      <c r="AL7" s="10">
        <v>0</v>
      </c>
      <c r="AM7" s="9"/>
      <c r="AN7" s="10">
        <v>0</v>
      </c>
      <c r="AO7" s="9"/>
      <c r="AP7" s="10">
        <v>0</v>
      </c>
      <c r="AQ7" s="9"/>
      <c r="AR7" s="10">
        <v>0</v>
      </c>
      <c r="AS7" s="9"/>
      <c r="AT7" s="10">
        <v>0</v>
      </c>
      <c r="AU7" s="9"/>
      <c r="AV7" s="10">
        <v>0</v>
      </c>
      <c r="AW7" s="9"/>
      <c r="AX7" s="10">
        <v>0</v>
      </c>
      <c r="AY7" s="9"/>
      <c r="AZ7" s="10">
        <v>0</v>
      </c>
      <c r="BA7" s="9"/>
      <c r="BB7" s="10">
        <v>0</v>
      </c>
      <c r="BC7" s="9"/>
      <c r="BD7" s="10">
        <v>0</v>
      </c>
      <c r="BE7" s="11">
        <v>0</v>
      </c>
      <c r="BF7" s="12">
        <v>0</v>
      </c>
      <c r="BG7" s="9">
        <v>175070</v>
      </c>
      <c r="BH7" s="10">
        <v>112044.8</v>
      </c>
      <c r="BI7" s="9">
        <v>155676</v>
      </c>
      <c r="BJ7" s="10">
        <v>99632.639999999999</v>
      </c>
      <c r="BK7" s="9">
        <v>162568</v>
      </c>
      <c r="BL7" s="10">
        <v>104043.52</v>
      </c>
      <c r="BM7" s="9">
        <v>148862</v>
      </c>
      <c r="BN7" s="10">
        <v>95271.680000000008</v>
      </c>
      <c r="BO7" s="9">
        <v>160404</v>
      </c>
      <c r="BP7" s="10">
        <v>102658.56</v>
      </c>
      <c r="BQ7" s="9">
        <v>149233</v>
      </c>
      <c r="BR7" s="10">
        <v>95509.119999999995</v>
      </c>
      <c r="BS7" s="9">
        <v>157353</v>
      </c>
      <c r="BT7" s="10">
        <v>100705.92</v>
      </c>
      <c r="BU7" s="9">
        <v>179116</v>
      </c>
      <c r="BV7" s="10">
        <v>114634.24000000001</v>
      </c>
      <c r="BW7" s="9">
        <v>170683</v>
      </c>
      <c r="BX7" s="10">
        <v>109237.12</v>
      </c>
      <c r="BY7" s="9">
        <v>185136</v>
      </c>
      <c r="BZ7" s="10">
        <v>118487.04000000001</v>
      </c>
      <c r="CA7" s="9">
        <v>155498</v>
      </c>
      <c r="CB7" s="10">
        <v>99518.720000000001</v>
      </c>
      <c r="CC7" s="9">
        <v>193405</v>
      </c>
      <c r="CD7" s="10">
        <v>123779.2</v>
      </c>
      <c r="CE7" s="19">
        <f t="shared" si="15"/>
        <v>163599.90909090909</v>
      </c>
      <c r="CF7" s="10">
        <f t="shared" si="16"/>
        <v>104703.94181818183</v>
      </c>
      <c r="CG7" s="11">
        <v>166083.66666666666</v>
      </c>
      <c r="CH7" s="12">
        <v>106293.54666666666</v>
      </c>
      <c r="CI7" s="15">
        <v>18.856217537869711</v>
      </c>
      <c r="CJ7" s="15">
        <v>19.13</v>
      </c>
      <c r="CK7" s="14">
        <v>179189</v>
      </c>
      <c r="CL7" s="10">
        <v>114680.96000000001</v>
      </c>
      <c r="CM7" s="14">
        <v>156743</v>
      </c>
      <c r="CN7" s="15">
        <v>100315.52</v>
      </c>
      <c r="CO7" s="14">
        <v>209757</v>
      </c>
      <c r="CP7" s="15">
        <v>134244.48000000001</v>
      </c>
      <c r="CQ7" s="14">
        <v>163352</v>
      </c>
      <c r="CR7" s="15">
        <v>104545.28</v>
      </c>
      <c r="CS7" s="14">
        <v>167668</v>
      </c>
      <c r="CT7" s="15">
        <v>107307.52</v>
      </c>
      <c r="CU7" s="14">
        <v>169518</v>
      </c>
      <c r="CV7" s="15">
        <v>108491.52</v>
      </c>
      <c r="CW7" s="14">
        <v>154737</v>
      </c>
      <c r="CX7" s="17">
        <v>99031.680000000008</v>
      </c>
      <c r="CY7" s="14">
        <v>177450</v>
      </c>
      <c r="CZ7" s="15">
        <v>113568</v>
      </c>
      <c r="DA7" s="14">
        <v>159414</v>
      </c>
      <c r="DB7" s="15">
        <v>102024.96000000001</v>
      </c>
      <c r="DC7" s="14">
        <v>150772</v>
      </c>
      <c r="DD7" s="15">
        <v>96494.080000000002</v>
      </c>
      <c r="DE7" s="14">
        <v>171122</v>
      </c>
      <c r="DF7" s="15">
        <v>109518.08</v>
      </c>
      <c r="DG7" s="14">
        <v>181923</v>
      </c>
      <c r="DH7" s="15">
        <v>116430.72</v>
      </c>
      <c r="DI7" s="16">
        <f t="shared" si="17"/>
        <v>2041645</v>
      </c>
      <c r="DJ7" s="16">
        <f t="shared" si="18"/>
        <v>1306652.8</v>
      </c>
      <c r="DK7" s="16">
        <f t="shared" si="19"/>
        <v>167966</v>
      </c>
      <c r="DL7" s="17">
        <f t="shared" si="20"/>
        <v>107498.24000000001</v>
      </c>
      <c r="DM7" s="68">
        <f t="shared" si="2"/>
        <v>170137.08333333334</v>
      </c>
      <c r="DN7" s="294">
        <f t="shared" si="3"/>
        <v>108887.73333333334</v>
      </c>
      <c r="DO7" s="69">
        <f>DN7/$DN$57%</f>
        <v>18.404163623755924</v>
      </c>
      <c r="DP7" s="14">
        <v>128898</v>
      </c>
      <c r="DQ7" s="10">
        <v>82494.720000000001</v>
      </c>
      <c r="DR7" s="9">
        <v>121791</v>
      </c>
      <c r="DS7" s="10">
        <v>77946.240000000005</v>
      </c>
      <c r="DT7" s="14"/>
      <c r="DU7" s="15"/>
      <c r="DV7" s="14"/>
      <c r="DW7" s="15"/>
      <c r="DX7" s="14"/>
      <c r="DY7" s="15"/>
      <c r="DZ7" s="14"/>
      <c r="EA7" s="15"/>
      <c r="EB7" s="14"/>
      <c r="EC7" s="17"/>
      <c r="ED7" s="14"/>
      <c r="EE7" s="15"/>
      <c r="EF7" s="14"/>
      <c r="EG7" s="15"/>
      <c r="EH7" s="14"/>
      <c r="EI7" s="15"/>
      <c r="EJ7" s="14"/>
      <c r="EK7" s="15"/>
      <c r="EL7" s="14"/>
      <c r="EM7" s="15"/>
      <c r="EN7" s="16">
        <f t="shared" si="21"/>
        <v>250689</v>
      </c>
      <c r="EO7" s="16">
        <f t="shared" si="22"/>
        <v>160440.96000000002</v>
      </c>
      <c r="EP7" s="68">
        <f t="shared" si="5"/>
        <v>125344.5</v>
      </c>
      <c r="EQ7" s="294">
        <f t="shared" si="6"/>
        <v>80220.48000000001</v>
      </c>
      <c r="ER7" s="535">
        <f t="shared" si="0"/>
        <v>15.494926069827267</v>
      </c>
      <c r="ES7" s="522">
        <f t="shared" si="7"/>
        <v>-2.9092375539286568</v>
      </c>
      <c r="ET7" s="522">
        <f t="shared" si="8"/>
        <v>-25.375075908219515</v>
      </c>
      <c r="EU7" s="522">
        <f t="shared" si="9"/>
        <v>-26.327348780027862</v>
      </c>
      <c r="EV7" s="522">
        <f t="shared" si="10"/>
        <v>-28667.253333333327</v>
      </c>
      <c r="EW7" s="523">
        <f t="shared" si="11"/>
        <v>-27277.759999999995</v>
      </c>
      <c r="EX7" s="522">
        <f t="shared" si="12"/>
        <v>-2047.6609523809518</v>
      </c>
      <c r="EY7" s="522">
        <f t="shared" si="13"/>
        <v>-1948.4114285714281</v>
      </c>
      <c r="EZ7" s="522">
        <f t="shared" si="14"/>
        <v>-3896.8228571428563</v>
      </c>
    </row>
    <row r="8" spans="1:156" s="251" customFormat="1">
      <c r="A8" s="246"/>
      <c r="B8" s="247" t="s">
        <v>166</v>
      </c>
      <c r="C8" s="247"/>
      <c r="D8" s="246"/>
      <c r="E8" s="246"/>
      <c r="F8" s="246"/>
      <c r="G8" s="248"/>
      <c r="H8" s="249"/>
      <c r="I8" s="248"/>
      <c r="J8" s="249"/>
      <c r="K8" s="248"/>
      <c r="L8" s="249"/>
      <c r="M8" s="248"/>
      <c r="N8" s="249"/>
      <c r="O8" s="248"/>
      <c r="P8" s="249"/>
      <c r="Q8" s="248"/>
      <c r="R8" s="249"/>
      <c r="S8" s="248"/>
      <c r="T8" s="249"/>
      <c r="U8" s="248"/>
      <c r="V8" s="249"/>
      <c r="W8" s="248"/>
      <c r="X8" s="249"/>
      <c r="Y8" s="248"/>
      <c r="Z8" s="249"/>
      <c r="AA8" s="248"/>
      <c r="AB8" s="249"/>
      <c r="AC8" s="248"/>
      <c r="AD8" s="249"/>
      <c r="AE8" s="248"/>
      <c r="AF8" s="249"/>
      <c r="AG8" s="248"/>
      <c r="AH8" s="249"/>
      <c r="AI8" s="248"/>
      <c r="AJ8" s="249"/>
      <c r="AK8" s="248"/>
      <c r="AL8" s="249"/>
      <c r="AM8" s="248"/>
      <c r="AN8" s="249"/>
      <c r="AO8" s="248"/>
      <c r="AP8" s="249"/>
      <c r="AQ8" s="248"/>
      <c r="AR8" s="249"/>
      <c r="AS8" s="248"/>
      <c r="AT8" s="249"/>
      <c r="AU8" s="248"/>
      <c r="AV8" s="249"/>
      <c r="AW8" s="248"/>
      <c r="AX8" s="249"/>
      <c r="AY8" s="248"/>
      <c r="AZ8" s="249"/>
      <c r="BA8" s="248"/>
      <c r="BB8" s="249"/>
      <c r="BC8" s="248"/>
      <c r="BD8" s="249"/>
      <c r="BE8" s="248"/>
      <c r="BF8" s="249"/>
      <c r="BG8" s="248"/>
      <c r="BH8" s="249"/>
      <c r="BI8" s="248"/>
      <c r="BJ8" s="249"/>
      <c r="BK8" s="248"/>
      <c r="BL8" s="249"/>
      <c r="BM8" s="248"/>
      <c r="BN8" s="249"/>
      <c r="BO8" s="248"/>
      <c r="BP8" s="249"/>
      <c r="BQ8" s="248"/>
      <c r="BR8" s="249"/>
      <c r="BS8" s="248"/>
      <c r="BT8" s="249"/>
      <c r="BU8" s="248"/>
      <c r="BV8" s="249"/>
      <c r="BW8" s="248"/>
      <c r="BX8" s="249"/>
      <c r="BY8" s="248"/>
      <c r="BZ8" s="249"/>
      <c r="CA8" s="248"/>
      <c r="CB8" s="249"/>
      <c r="CC8" s="248"/>
      <c r="CD8" s="249"/>
      <c r="CE8" s="250">
        <f t="shared" ref="CE8:DJ8" si="23">SUM(CE6:CE7)</f>
        <v>163681.72727272726</v>
      </c>
      <c r="CF8" s="250">
        <f t="shared" si="23"/>
        <v>104785.76000000001</v>
      </c>
      <c r="CG8" s="250">
        <f t="shared" si="23"/>
        <v>166158.66666666666</v>
      </c>
      <c r="CH8" s="250">
        <f t="shared" si="23"/>
        <v>106368.54666666666</v>
      </c>
      <c r="CI8" s="250">
        <f t="shared" si="23"/>
        <v>18.869522356080125</v>
      </c>
      <c r="CJ8" s="250">
        <f t="shared" si="23"/>
        <v>19.13</v>
      </c>
      <c r="CK8" s="250">
        <f t="shared" si="23"/>
        <v>179189</v>
      </c>
      <c r="CL8" s="250">
        <f t="shared" si="23"/>
        <v>114680.96000000001</v>
      </c>
      <c r="CM8" s="250">
        <f t="shared" si="23"/>
        <v>156743</v>
      </c>
      <c r="CN8" s="250">
        <f t="shared" si="23"/>
        <v>100315.52</v>
      </c>
      <c r="CO8" s="250">
        <f t="shared" si="23"/>
        <v>209757</v>
      </c>
      <c r="CP8" s="250">
        <f t="shared" si="23"/>
        <v>134244.48000000001</v>
      </c>
      <c r="CQ8" s="250">
        <f t="shared" si="23"/>
        <v>163352</v>
      </c>
      <c r="CR8" s="250">
        <f t="shared" si="23"/>
        <v>104545.28</v>
      </c>
      <c r="CS8" s="250">
        <f t="shared" si="23"/>
        <v>167668</v>
      </c>
      <c r="CT8" s="250">
        <f t="shared" si="23"/>
        <v>107307.52</v>
      </c>
      <c r="CU8" s="250">
        <f t="shared" si="23"/>
        <v>169518</v>
      </c>
      <c r="CV8" s="250">
        <f t="shared" si="23"/>
        <v>108491.52</v>
      </c>
      <c r="CW8" s="250">
        <f t="shared" si="23"/>
        <v>154761</v>
      </c>
      <c r="CX8" s="250">
        <f t="shared" si="23"/>
        <v>99055.680000000008</v>
      </c>
      <c r="CY8" s="250">
        <f t="shared" si="23"/>
        <v>177450</v>
      </c>
      <c r="CZ8" s="250">
        <f t="shared" si="23"/>
        <v>113568</v>
      </c>
      <c r="DA8" s="250">
        <f t="shared" si="23"/>
        <v>159414</v>
      </c>
      <c r="DB8" s="250">
        <f t="shared" si="23"/>
        <v>102024.96000000001</v>
      </c>
      <c r="DC8" s="250">
        <f t="shared" si="23"/>
        <v>150772</v>
      </c>
      <c r="DD8" s="250">
        <f t="shared" si="23"/>
        <v>96494.080000000002</v>
      </c>
      <c r="DE8" s="250">
        <f t="shared" si="23"/>
        <v>171122</v>
      </c>
      <c r="DF8" s="250">
        <f t="shared" si="23"/>
        <v>109518.08</v>
      </c>
      <c r="DG8" s="250">
        <f t="shared" si="23"/>
        <v>181923</v>
      </c>
      <c r="DH8" s="250">
        <f t="shared" si="23"/>
        <v>116430.72</v>
      </c>
      <c r="DI8" s="250">
        <f t="shared" si="23"/>
        <v>2041669</v>
      </c>
      <c r="DJ8" s="250">
        <f t="shared" si="23"/>
        <v>1306676.8</v>
      </c>
      <c r="DK8" s="669">
        <f t="shared" si="19"/>
        <v>167966</v>
      </c>
      <c r="DL8" s="670">
        <f t="shared" si="20"/>
        <v>107498.24000000001</v>
      </c>
      <c r="DM8" s="502">
        <f t="shared" si="2"/>
        <v>170139.08333333334</v>
      </c>
      <c r="DN8" s="503">
        <f t="shared" si="3"/>
        <v>108889.73333333334</v>
      </c>
      <c r="DO8" s="250">
        <f>SUM(DO6:DO7)</f>
        <v>18.404501663001675</v>
      </c>
      <c r="DP8" s="250">
        <f t="shared" ref="DP8:EM8" si="24">SUM(DP6:DP7)</f>
        <v>128898</v>
      </c>
      <c r="DQ8" s="250">
        <f t="shared" si="24"/>
        <v>82494.720000000001</v>
      </c>
      <c r="DR8" s="250">
        <f t="shared" si="24"/>
        <v>121791</v>
      </c>
      <c r="DS8" s="250">
        <f t="shared" si="24"/>
        <v>77946.240000000005</v>
      </c>
      <c r="DT8" s="250">
        <f t="shared" si="24"/>
        <v>0</v>
      </c>
      <c r="DU8" s="250">
        <f t="shared" si="24"/>
        <v>0</v>
      </c>
      <c r="DV8" s="250">
        <f t="shared" si="24"/>
        <v>0</v>
      </c>
      <c r="DW8" s="250">
        <f t="shared" si="24"/>
        <v>0</v>
      </c>
      <c r="DX8" s="250">
        <f t="shared" si="24"/>
        <v>0</v>
      </c>
      <c r="DY8" s="250">
        <f t="shared" si="24"/>
        <v>0</v>
      </c>
      <c r="DZ8" s="250">
        <f t="shared" si="24"/>
        <v>0</v>
      </c>
      <c r="EA8" s="250">
        <f t="shared" si="24"/>
        <v>0</v>
      </c>
      <c r="EB8" s="250">
        <f t="shared" si="24"/>
        <v>0</v>
      </c>
      <c r="EC8" s="250">
        <f t="shared" si="24"/>
        <v>0</v>
      </c>
      <c r="ED8" s="250">
        <f t="shared" si="24"/>
        <v>0</v>
      </c>
      <c r="EE8" s="250">
        <f t="shared" si="24"/>
        <v>0</v>
      </c>
      <c r="EF8" s="250">
        <f t="shared" si="24"/>
        <v>0</v>
      </c>
      <c r="EG8" s="250">
        <f t="shared" si="24"/>
        <v>0</v>
      </c>
      <c r="EH8" s="250">
        <f t="shared" si="24"/>
        <v>0</v>
      </c>
      <c r="EI8" s="250">
        <f t="shared" si="24"/>
        <v>0</v>
      </c>
      <c r="EJ8" s="250">
        <f t="shared" si="24"/>
        <v>0</v>
      </c>
      <c r="EK8" s="250">
        <f t="shared" si="24"/>
        <v>0</v>
      </c>
      <c r="EL8" s="250">
        <f t="shared" si="24"/>
        <v>0</v>
      </c>
      <c r="EM8" s="250">
        <f t="shared" si="24"/>
        <v>0</v>
      </c>
      <c r="EN8" s="250">
        <f t="shared" ref="EN8:EO8" si="25">SUM(EN6:EN7)</f>
        <v>250689</v>
      </c>
      <c r="EO8" s="250">
        <f t="shared" si="25"/>
        <v>160440.96000000002</v>
      </c>
      <c r="EP8" s="502">
        <f t="shared" si="5"/>
        <v>125344.5</v>
      </c>
      <c r="EQ8" s="503">
        <f t="shared" si="6"/>
        <v>80220.48000000001</v>
      </c>
      <c r="ER8" s="536">
        <f t="shared" si="0"/>
        <v>15.494926069827267</v>
      </c>
      <c r="ES8" s="537">
        <f t="shared" si="7"/>
        <v>-2.9095755931744076</v>
      </c>
      <c r="ET8" s="537">
        <f t="shared" si="8"/>
        <v>-25.375075908219515</v>
      </c>
      <c r="EU8" s="537">
        <f t="shared" si="9"/>
        <v>-26.328701940678826</v>
      </c>
      <c r="EV8" s="537">
        <f t="shared" si="10"/>
        <v>-28669.253333333327</v>
      </c>
      <c r="EW8" s="538">
        <f t="shared" si="11"/>
        <v>-27277.759999999995</v>
      </c>
      <c r="EX8" s="537">
        <f t="shared" si="12"/>
        <v>-2047.8038095238092</v>
      </c>
      <c r="EY8" s="537">
        <f t="shared" si="13"/>
        <v>-1948.4114285714281</v>
      </c>
      <c r="EZ8" s="537">
        <f t="shared" si="14"/>
        <v>-3896.8228571428563</v>
      </c>
    </row>
    <row r="9" spans="1:156">
      <c r="A9" s="7">
        <v>4</v>
      </c>
      <c r="B9" s="8" t="s">
        <v>21</v>
      </c>
      <c r="C9" s="8" t="s">
        <v>16</v>
      </c>
      <c r="D9" s="7">
        <v>1</v>
      </c>
      <c r="E9" s="7" t="s">
        <v>15</v>
      </c>
      <c r="F9" s="7">
        <v>1530</v>
      </c>
      <c r="G9" s="9">
        <v>8475</v>
      </c>
      <c r="H9" s="10">
        <v>8475</v>
      </c>
      <c r="I9" s="9">
        <v>7344</v>
      </c>
      <c r="J9" s="10">
        <v>7344</v>
      </c>
      <c r="K9" s="9">
        <v>14040</v>
      </c>
      <c r="L9" s="10">
        <v>14040</v>
      </c>
      <c r="M9" s="9">
        <v>10788</v>
      </c>
      <c r="N9" s="10">
        <v>10788</v>
      </c>
      <c r="O9" s="9">
        <v>5844</v>
      </c>
      <c r="P9" s="10">
        <v>5844</v>
      </c>
      <c r="Q9" s="9">
        <v>7104</v>
      </c>
      <c r="R9" s="10">
        <v>7104</v>
      </c>
      <c r="S9" s="9">
        <v>10047</v>
      </c>
      <c r="T9" s="10">
        <v>10047</v>
      </c>
      <c r="U9" s="9">
        <v>12900</v>
      </c>
      <c r="V9" s="10">
        <v>12900</v>
      </c>
      <c r="W9" s="9">
        <v>8244</v>
      </c>
      <c r="X9" s="10">
        <v>8244</v>
      </c>
      <c r="Y9" s="9">
        <v>9120</v>
      </c>
      <c r="Z9" s="10">
        <v>9120</v>
      </c>
      <c r="AA9" s="9">
        <v>13236</v>
      </c>
      <c r="AB9" s="10">
        <v>13236</v>
      </c>
      <c r="AC9" s="9">
        <v>10632</v>
      </c>
      <c r="AD9" s="10">
        <v>10632</v>
      </c>
      <c r="AE9" s="11">
        <v>9814.5</v>
      </c>
      <c r="AF9" s="12">
        <v>9814.5</v>
      </c>
      <c r="AG9" s="9">
        <v>12312</v>
      </c>
      <c r="AH9" s="10">
        <v>12312</v>
      </c>
      <c r="AI9" s="9">
        <v>6684</v>
      </c>
      <c r="AJ9" s="10">
        <v>6684</v>
      </c>
      <c r="AK9" s="9">
        <v>12432</v>
      </c>
      <c r="AL9" s="10">
        <v>12432</v>
      </c>
      <c r="AM9" s="9">
        <v>12108</v>
      </c>
      <c r="AN9" s="10">
        <v>12108</v>
      </c>
      <c r="AO9" s="9">
        <v>12456</v>
      </c>
      <c r="AP9" s="10">
        <v>12456</v>
      </c>
      <c r="AQ9" s="9">
        <v>13150</v>
      </c>
      <c r="AR9" s="10">
        <v>13150</v>
      </c>
      <c r="AS9" s="9">
        <v>15358</v>
      </c>
      <c r="AT9" s="10">
        <v>15358</v>
      </c>
      <c r="AU9" s="9">
        <v>10075</v>
      </c>
      <c r="AV9" s="10">
        <v>10075</v>
      </c>
      <c r="AW9" s="9">
        <v>13018</v>
      </c>
      <c r="AX9" s="10">
        <v>13018</v>
      </c>
      <c r="AY9" s="9">
        <v>10356</v>
      </c>
      <c r="AZ9" s="10">
        <v>10356</v>
      </c>
      <c r="BA9" s="9">
        <v>16800</v>
      </c>
      <c r="BB9" s="10">
        <v>16800</v>
      </c>
      <c r="BC9" s="9">
        <v>16884</v>
      </c>
      <c r="BD9" s="10">
        <v>16884</v>
      </c>
      <c r="BE9" s="11">
        <v>12636.083333333334</v>
      </c>
      <c r="BF9" s="12">
        <v>12636.083333333334</v>
      </c>
      <c r="BG9" s="9">
        <v>15300</v>
      </c>
      <c r="BH9" s="10">
        <v>15300</v>
      </c>
      <c r="BI9" s="9">
        <v>13344</v>
      </c>
      <c r="BJ9" s="10">
        <v>13344</v>
      </c>
      <c r="BK9" s="9">
        <v>11724</v>
      </c>
      <c r="BL9" s="10">
        <v>11724</v>
      </c>
      <c r="BM9" s="9">
        <v>18996</v>
      </c>
      <c r="BN9" s="10">
        <v>18996</v>
      </c>
      <c r="BO9" s="9">
        <v>9228</v>
      </c>
      <c r="BP9" s="10">
        <v>9228</v>
      </c>
      <c r="BQ9" s="9">
        <v>13296</v>
      </c>
      <c r="BR9" s="10">
        <v>13296</v>
      </c>
      <c r="BS9" s="9">
        <v>18504</v>
      </c>
      <c r="BT9" s="10">
        <v>18504</v>
      </c>
      <c r="BU9" s="9">
        <v>21840</v>
      </c>
      <c r="BV9" s="10">
        <v>21840</v>
      </c>
      <c r="BW9" s="9">
        <v>19896</v>
      </c>
      <c r="BX9" s="10">
        <v>19896</v>
      </c>
      <c r="BY9" s="9">
        <v>28848</v>
      </c>
      <c r="BZ9" s="10">
        <v>28848</v>
      </c>
      <c r="CA9" s="9">
        <v>25560</v>
      </c>
      <c r="CB9" s="10">
        <v>25560</v>
      </c>
      <c r="CC9" s="9">
        <v>36288</v>
      </c>
      <c r="CD9" s="10">
        <v>36288</v>
      </c>
      <c r="CE9" s="19">
        <f t="shared" si="15"/>
        <v>17866.909090909092</v>
      </c>
      <c r="CF9" s="10">
        <f t="shared" si="16"/>
        <v>17866.909090909092</v>
      </c>
      <c r="CG9" s="11">
        <v>19402</v>
      </c>
      <c r="CH9" s="12">
        <v>19402</v>
      </c>
      <c r="CI9" s="15">
        <v>3.4418677722462063</v>
      </c>
      <c r="CJ9" s="15"/>
      <c r="CK9" s="14">
        <v>33792</v>
      </c>
      <c r="CL9" s="10">
        <v>33792</v>
      </c>
      <c r="CM9" s="14">
        <v>20238</v>
      </c>
      <c r="CN9" s="15">
        <v>20238</v>
      </c>
      <c r="CO9" s="14">
        <v>48540</v>
      </c>
      <c r="CP9" s="15">
        <v>48540</v>
      </c>
      <c r="CQ9" s="14">
        <v>22764</v>
      </c>
      <c r="CR9" s="15">
        <v>22764</v>
      </c>
      <c r="CS9" s="14">
        <v>26844</v>
      </c>
      <c r="CT9" s="15">
        <v>26844</v>
      </c>
      <c r="CU9" s="14">
        <v>33972</v>
      </c>
      <c r="CV9" s="15">
        <v>33972</v>
      </c>
      <c r="CW9" s="14">
        <v>40620</v>
      </c>
      <c r="CX9" s="15">
        <v>40620</v>
      </c>
      <c r="CY9" s="14">
        <v>36588</v>
      </c>
      <c r="CZ9" s="15">
        <v>36588</v>
      </c>
      <c r="DA9" s="14">
        <v>57684</v>
      </c>
      <c r="DB9" s="15">
        <v>57684</v>
      </c>
      <c r="DC9" s="14">
        <v>67716</v>
      </c>
      <c r="DD9" s="15">
        <v>67716</v>
      </c>
      <c r="DE9" s="14">
        <v>32580</v>
      </c>
      <c r="DF9" s="15">
        <v>32580</v>
      </c>
      <c r="DG9" s="14">
        <v>53064</v>
      </c>
      <c r="DH9" s="15">
        <v>53064</v>
      </c>
      <c r="DI9" s="16">
        <f t="shared" si="17"/>
        <v>474402</v>
      </c>
      <c r="DJ9" s="16">
        <f t="shared" si="18"/>
        <v>474402</v>
      </c>
      <c r="DK9" s="16">
        <f t="shared" si="19"/>
        <v>27015</v>
      </c>
      <c r="DL9" s="17">
        <f t="shared" si="20"/>
        <v>27015</v>
      </c>
      <c r="DM9" s="68">
        <f t="shared" si="2"/>
        <v>39533.5</v>
      </c>
      <c r="DN9" s="294">
        <f t="shared" si="3"/>
        <v>39533.5</v>
      </c>
      <c r="DO9" s="69">
        <f>DN9/$DN$57%</f>
        <v>6.6819372609441912</v>
      </c>
      <c r="DP9" s="14">
        <v>51190</v>
      </c>
      <c r="DQ9" s="10">
        <v>51190</v>
      </c>
      <c r="DR9" s="9">
        <v>42868</v>
      </c>
      <c r="DS9" s="10">
        <v>42868</v>
      </c>
      <c r="DT9" s="14"/>
      <c r="DU9" s="15"/>
      <c r="DV9" s="14"/>
      <c r="DW9" s="15"/>
      <c r="DX9" s="14"/>
      <c r="DY9" s="15"/>
      <c r="DZ9" s="14"/>
      <c r="EA9" s="15"/>
      <c r="EB9" s="14"/>
      <c r="EC9" s="15"/>
      <c r="ED9" s="14"/>
      <c r="EE9" s="15"/>
      <c r="EF9" s="14"/>
      <c r="EG9" s="15"/>
      <c r="EH9" s="14"/>
      <c r="EI9" s="15"/>
      <c r="EJ9" s="14"/>
      <c r="EK9" s="15"/>
      <c r="EL9" s="14"/>
      <c r="EM9" s="15"/>
      <c r="EN9" s="16">
        <f t="shared" ref="EN9:EN11" si="26">DP9+DR9+DT9+DV9+DX9+DZ9+EB9+ED9+EF9+EH9+EJ9+EL9</f>
        <v>94058</v>
      </c>
      <c r="EO9" s="16">
        <f t="shared" ref="EO9:EO11" si="27">DQ9+DS9+DU9+DW9+DY9+EA9+EC9+EE9+EG9+EI9+EK9+EM9</f>
        <v>94058</v>
      </c>
      <c r="EP9" s="68">
        <f t="shared" si="5"/>
        <v>47029</v>
      </c>
      <c r="EQ9" s="294">
        <f t="shared" si="6"/>
        <v>47029</v>
      </c>
      <c r="ER9" s="535">
        <f t="shared" si="0"/>
        <v>9.0838508836883847</v>
      </c>
      <c r="ES9" s="522">
        <f t="shared" si="7"/>
        <v>2.4019136227441935</v>
      </c>
      <c r="ET9" s="522">
        <f t="shared" si="8"/>
        <v>74.084767721636126</v>
      </c>
      <c r="EU9" s="522">
        <f t="shared" si="9"/>
        <v>18.959869477784679</v>
      </c>
      <c r="EV9" s="522">
        <f t="shared" si="10"/>
        <v>7495.5</v>
      </c>
      <c r="EW9" s="523">
        <f t="shared" si="11"/>
        <v>20014</v>
      </c>
      <c r="EX9" s="522">
        <f t="shared" si="12"/>
        <v>535.39285714285711</v>
      </c>
      <c r="EY9" s="522">
        <f t="shared" si="13"/>
        <v>1429.5714285714287</v>
      </c>
      <c r="EZ9" s="522">
        <f t="shared" si="14"/>
        <v>2859.1428571428573</v>
      </c>
    </row>
    <row r="10" spans="1:156">
      <c r="A10" s="7">
        <v>5</v>
      </c>
      <c r="B10" s="8" t="s">
        <v>22</v>
      </c>
      <c r="C10" s="8" t="s">
        <v>16</v>
      </c>
      <c r="D10" s="7">
        <v>0.6</v>
      </c>
      <c r="E10" s="7" t="s">
        <v>15</v>
      </c>
      <c r="F10" s="7">
        <v>1090</v>
      </c>
      <c r="G10" s="9">
        <v>1824</v>
      </c>
      <c r="H10" s="10">
        <v>1094.3999999999999</v>
      </c>
      <c r="I10" s="9">
        <v>1464</v>
      </c>
      <c r="J10" s="10">
        <v>878.4</v>
      </c>
      <c r="K10" s="9">
        <v>3360</v>
      </c>
      <c r="L10" s="10">
        <v>2016</v>
      </c>
      <c r="M10" s="9">
        <v>3240</v>
      </c>
      <c r="N10" s="10">
        <v>1944</v>
      </c>
      <c r="O10" s="9">
        <v>660</v>
      </c>
      <c r="P10" s="10">
        <v>396</v>
      </c>
      <c r="Q10" s="9">
        <v>720</v>
      </c>
      <c r="R10" s="10">
        <v>432</v>
      </c>
      <c r="S10" s="9">
        <v>1056</v>
      </c>
      <c r="T10" s="10">
        <v>633.6</v>
      </c>
      <c r="U10" s="9">
        <v>1224</v>
      </c>
      <c r="V10" s="10">
        <v>734.4</v>
      </c>
      <c r="W10" s="9">
        <v>852</v>
      </c>
      <c r="X10" s="10">
        <v>511.2</v>
      </c>
      <c r="Y10" s="9">
        <v>480</v>
      </c>
      <c r="Z10" s="10">
        <v>288</v>
      </c>
      <c r="AA10" s="9">
        <v>744</v>
      </c>
      <c r="AB10" s="10">
        <v>446.4</v>
      </c>
      <c r="AC10" s="9">
        <v>1608</v>
      </c>
      <c r="AD10" s="10">
        <v>964.8</v>
      </c>
      <c r="AE10" s="11">
        <v>1436</v>
      </c>
      <c r="AF10" s="12">
        <v>861.6</v>
      </c>
      <c r="AG10" s="9">
        <v>1488</v>
      </c>
      <c r="AH10" s="10">
        <v>892.8</v>
      </c>
      <c r="AI10" s="9">
        <v>492</v>
      </c>
      <c r="AJ10" s="10">
        <v>295.2</v>
      </c>
      <c r="AK10" s="9">
        <v>552</v>
      </c>
      <c r="AL10" s="10">
        <v>331.2</v>
      </c>
      <c r="AM10" s="9">
        <v>600</v>
      </c>
      <c r="AN10" s="10">
        <v>360</v>
      </c>
      <c r="AO10" s="9">
        <v>780</v>
      </c>
      <c r="AP10" s="10">
        <v>468</v>
      </c>
      <c r="AQ10" s="9">
        <v>648</v>
      </c>
      <c r="AR10" s="10">
        <v>388.8</v>
      </c>
      <c r="AS10" s="9">
        <v>564</v>
      </c>
      <c r="AT10" s="10">
        <v>338.4</v>
      </c>
      <c r="AU10" s="9">
        <v>636</v>
      </c>
      <c r="AV10" s="10">
        <v>381.59999999999997</v>
      </c>
      <c r="AW10" s="9">
        <v>600</v>
      </c>
      <c r="AX10" s="10">
        <v>360</v>
      </c>
      <c r="AY10" s="9">
        <v>876</v>
      </c>
      <c r="AZ10" s="10">
        <v>525.6</v>
      </c>
      <c r="BA10" s="9">
        <v>720</v>
      </c>
      <c r="BB10" s="10">
        <v>432</v>
      </c>
      <c r="BC10" s="9">
        <v>576</v>
      </c>
      <c r="BD10" s="10">
        <v>345.59999999999997</v>
      </c>
      <c r="BE10" s="11">
        <v>711</v>
      </c>
      <c r="BF10" s="12">
        <v>426.59999999999997</v>
      </c>
      <c r="BG10" s="9">
        <v>900</v>
      </c>
      <c r="BH10" s="10">
        <v>540</v>
      </c>
      <c r="BI10" s="9">
        <v>564</v>
      </c>
      <c r="BJ10" s="10">
        <v>338.4</v>
      </c>
      <c r="BK10" s="9">
        <v>744</v>
      </c>
      <c r="BL10" s="10">
        <v>446.4</v>
      </c>
      <c r="BM10" s="9">
        <v>612</v>
      </c>
      <c r="BN10" s="10">
        <v>367.2</v>
      </c>
      <c r="BO10" s="9">
        <v>12</v>
      </c>
      <c r="BP10" s="10">
        <v>7.1999999999999993</v>
      </c>
      <c r="BQ10" s="9">
        <v>336</v>
      </c>
      <c r="BR10" s="10">
        <v>201.6</v>
      </c>
      <c r="BS10" s="9">
        <v>408</v>
      </c>
      <c r="BT10" s="10">
        <v>244.79999999999998</v>
      </c>
      <c r="BU10" s="9">
        <v>336</v>
      </c>
      <c r="BV10" s="10">
        <v>201.6</v>
      </c>
      <c r="BW10" s="9">
        <v>840</v>
      </c>
      <c r="BX10" s="10">
        <v>504</v>
      </c>
      <c r="BY10" s="9">
        <v>1152</v>
      </c>
      <c r="BZ10" s="10">
        <v>691.19999999999993</v>
      </c>
      <c r="CA10" s="9">
        <v>1776</v>
      </c>
      <c r="CB10" s="10">
        <v>1065.5999999999999</v>
      </c>
      <c r="CC10" s="9">
        <v>600</v>
      </c>
      <c r="CD10" s="10">
        <v>360</v>
      </c>
      <c r="CE10" s="19">
        <f t="shared" si="15"/>
        <v>698.18181818181813</v>
      </c>
      <c r="CF10" s="10">
        <f t="shared" si="16"/>
        <v>418.90909090909093</v>
      </c>
      <c r="CG10" s="11">
        <v>690</v>
      </c>
      <c r="CH10" s="12">
        <v>414</v>
      </c>
      <c r="CI10" s="15">
        <v>7.344259652148899E-2</v>
      </c>
      <c r="CJ10" s="15"/>
      <c r="CK10" s="14">
        <v>672</v>
      </c>
      <c r="CL10" s="10">
        <v>403.2</v>
      </c>
      <c r="CM10" s="14">
        <v>756</v>
      </c>
      <c r="CN10" s="15">
        <v>453.59999999999997</v>
      </c>
      <c r="CO10" s="14">
        <v>540</v>
      </c>
      <c r="CP10" s="15">
        <v>324</v>
      </c>
      <c r="CQ10" s="14">
        <v>756</v>
      </c>
      <c r="CR10" s="15">
        <v>453.59999999999997</v>
      </c>
      <c r="CS10" s="14">
        <v>720</v>
      </c>
      <c r="CT10" s="15">
        <v>432</v>
      </c>
      <c r="CU10" s="14">
        <v>456</v>
      </c>
      <c r="CV10" s="15">
        <v>273.59999999999997</v>
      </c>
      <c r="CW10" s="14">
        <v>648</v>
      </c>
      <c r="CX10" s="15">
        <v>388.8</v>
      </c>
      <c r="CY10" s="14">
        <v>552</v>
      </c>
      <c r="CZ10" s="15">
        <v>331.2</v>
      </c>
      <c r="DA10" s="14">
        <v>660</v>
      </c>
      <c r="DB10" s="15">
        <v>396</v>
      </c>
      <c r="DC10" s="14">
        <v>840</v>
      </c>
      <c r="DD10" s="15">
        <v>504</v>
      </c>
      <c r="DE10" s="14">
        <v>456</v>
      </c>
      <c r="DF10" s="15">
        <v>273.59999999999997</v>
      </c>
      <c r="DG10" s="14">
        <v>516</v>
      </c>
      <c r="DH10" s="15">
        <v>309.59999999999997</v>
      </c>
      <c r="DI10" s="16">
        <f t="shared" si="17"/>
        <v>7572</v>
      </c>
      <c r="DJ10" s="16">
        <f t="shared" si="18"/>
        <v>4543.2</v>
      </c>
      <c r="DK10" s="16">
        <f t="shared" si="19"/>
        <v>714</v>
      </c>
      <c r="DL10" s="17">
        <f t="shared" si="20"/>
        <v>428.4</v>
      </c>
      <c r="DM10" s="68">
        <f t="shared" si="2"/>
        <v>631</v>
      </c>
      <c r="DN10" s="294">
        <f t="shared" si="3"/>
        <v>378.59999999999997</v>
      </c>
      <c r="DO10" s="69">
        <f>DN10/$DN$57%</f>
        <v>6.399082922062227E-2</v>
      </c>
      <c r="DP10" s="14">
        <v>216</v>
      </c>
      <c r="DQ10" s="10">
        <v>129.6</v>
      </c>
      <c r="DR10" s="9"/>
      <c r="DS10" s="10"/>
      <c r="DT10" s="14"/>
      <c r="DU10" s="15"/>
      <c r="DV10" s="14"/>
      <c r="DW10" s="15"/>
      <c r="DX10" s="14"/>
      <c r="DY10" s="15"/>
      <c r="DZ10" s="14"/>
      <c r="EA10" s="15"/>
      <c r="EB10" s="14"/>
      <c r="EC10" s="15"/>
      <c r="ED10" s="14"/>
      <c r="EE10" s="15"/>
      <c r="EF10" s="14"/>
      <c r="EG10" s="15"/>
      <c r="EH10" s="14"/>
      <c r="EI10" s="15"/>
      <c r="EJ10" s="14"/>
      <c r="EK10" s="15"/>
      <c r="EL10" s="14"/>
      <c r="EM10" s="15"/>
      <c r="EN10" s="16">
        <f t="shared" si="26"/>
        <v>216</v>
      </c>
      <c r="EO10" s="16">
        <f t="shared" si="27"/>
        <v>129.6</v>
      </c>
      <c r="EP10" s="68">
        <f t="shared" si="5"/>
        <v>108</v>
      </c>
      <c r="EQ10" s="294">
        <f t="shared" si="6"/>
        <v>64.8</v>
      </c>
      <c r="ER10" s="535">
        <f t="shared" si="0"/>
        <v>1.2516394932127141E-2</v>
      </c>
      <c r="ES10" s="522">
        <f t="shared" si="7"/>
        <v>-5.147443428849513E-2</v>
      </c>
      <c r="ET10" s="522">
        <f t="shared" si="8"/>
        <v>-84.87394957983193</v>
      </c>
      <c r="EU10" s="522">
        <f t="shared" si="9"/>
        <v>-82.884310618066564</v>
      </c>
      <c r="EV10" s="522">
        <f t="shared" si="10"/>
        <v>-313.79999999999995</v>
      </c>
      <c r="EW10" s="523">
        <f t="shared" si="11"/>
        <v>-363.59999999999997</v>
      </c>
      <c r="EX10" s="522">
        <f t="shared" si="12"/>
        <v>-22.414285714285711</v>
      </c>
      <c r="EY10" s="522">
        <f t="shared" si="13"/>
        <v>-25.971428571428568</v>
      </c>
      <c r="EZ10" s="522">
        <f t="shared" si="14"/>
        <v>-51.942857142857136</v>
      </c>
    </row>
    <row r="11" spans="1:156">
      <c r="A11" s="7">
        <v>6</v>
      </c>
      <c r="B11" s="8" t="s">
        <v>23</v>
      </c>
      <c r="C11" s="8" t="s">
        <v>14</v>
      </c>
      <c r="D11" s="7">
        <v>0.64</v>
      </c>
      <c r="E11" s="7" t="s">
        <v>20</v>
      </c>
      <c r="F11" s="7">
        <v>1230</v>
      </c>
      <c r="G11" s="9">
        <v>70658</v>
      </c>
      <c r="H11" s="10">
        <v>45221.120000000003</v>
      </c>
      <c r="I11" s="9">
        <v>66416</v>
      </c>
      <c r="J11" s="10">
        <v>42506.239999999998</v>
      </c>
      <c r="K11" s="9">
        <v>74508</v>
      </c>
      <c r="L11" s="10">
        <v>47685.120000000003</v>
      </c>
      <c r="M11" s="9">
        <v>54532</v>
      </c>
      <c r="N11" s="10">
        <v>34900.480000000003</v>
      </c>
      <c r="O11" s="9">
        <v>57792</v>
      </c>
      <c r="P11" s="10">
        <v>36986.879999999997</v>
      </c>
      <c r="Q11" s="9">
        <v>64400</v>
      </c>
      <c r="R11" s="10">
        <v>41216</v>
      </c>
      <c r="S11" s="9">
        <v>60830</v>
      </c>
      <c r="T11" s="10">
        <v>38931.200000000004</v>
      </c>
      <c r="U11" s="9">
        <v>64428</v>
      </c>
      <c r="V11" s="10">
        <v>41233.919999999998</v>
      </c>
      <c r="W11" s="9">
        <v>58705</v>
      </c>
      <c r="X11" s="10">
        <v>37571.200000000004</v>
      </c>
      <c r="Y11" s="9">
        <v>62384</v>
      </c>
      <c r="Z11" s="10">
        <v>39925.760000000002</v>
      </c>
      <c r="AA11" s="9">
        <v>67326</v>
      </c>
      <c r="AB11" s="10">
        <v>43088.639999999999</v>
      </c>
      <c r="AC11" s="9">
        <v>82770</v>
      </c>
      <c r="AD11" s="10">
        <v>52972.800000000003</v>
      </c>
      <c r="AE11" s="11">
        <v>65395.75</v>
      </c>
      <c r="AF11" s="12">
        <v>41853.279999999999</v>
      </c>
      <c r="AG11" s="9">
        <v>67662</v>
      </c>
      <c r="AH11" s="10">
        <v>43303.68</v>
      </c>
      <c r="AI11" s="9">
        <v>58922</v>
      </c>
      <c r="AJ11" s="10">
        <v>37710.080000000002</v>
      </c>
      <c r="AK11" s="9">
        <v>61334</v>
      </c>
      <c r="AL11" s="10">
        <v>39253.760000000002</v>
      </c>
      <c r="AM11" s="9">
        <v>59794</v>
      </c>
      <c r="AN11" s="10">
        <v>38268.160000000003</v>
      </c>
      <c r="AO11" s="9">
        <v>45528</v>
      </c>
      <c r="AP11" s="10">
        <v>29137.920000000002</v>
      </c>
      <c r="AQ11" s="9">
        <v>58940</v>
      </c>
      <c r="AR11" s="10">
        <v>37721.599999999999</v>
      </c>
      <c r="AS11" s="9">
        <v>68562</v>
      </c>
      <c r="AT11" s="10">
        <v>43879.68</v>
      </c>
      <c r="AU11" s="9">
        <v>62636</v>
      </c>
      <c r="AV11" s="10">
        <v>40087.040000000001</v>
      </c>
      <c r="AW11" s="9">
        <v>66628</v>
      </c>
      <c r="AX11" s="10">
        <v>42641.919999999998</v>
      </c>
      <c r="AY11" s="9">
        <v>67270</v>
      </c>
      <c r="AZ11" s="10">
        <v>43052.800000000003</v>
      </c>
      <c r="BA11" s="9">
        <v>65856</v>
      </c>
      <c r="BB11" s="10">
        <v>42147.840000000004</v>
      </c>
      <c r="BC11" s="9">
        <v>87710</v>
      </c>
      <c r="BD11" s="10">
        <v>56134.400000000001</v>
      </c>
      <c r="BE11" s="11">
        <v>64236.833333333336</v>
      </c>
      <c r="BF11" s="12">
        <v>41111.573333333334</v>
      </c>
      <c r="BG11" s="9">
        <v>75935</v>
      </c>
      <c r="BH11" s="10">
        <v>48598.400000000001</v>
      </c>
      <c r="BI11" s="9">
        <v>64518</v>
      </c>
      <c r="BJ11" s="10">
        <v>41291.520000000004</v>
      </c>
      <c r="BK11" s="9">
        <v>69272</v>
      </c>
      <c r="BL11" s="10">
        <v>44334.080000000002</v>
      </c>
      <c r="BM11" s="9">
        <v>59570</v>
      </c>
      <c r="BN11" s="10">
        <v>38124.800000000003</v>
      </c>
      <c r="BO11" s="9">
        <v>65708</v>
      </c>
      <c r="BP11" s="10">
        <v>42053.120000000003</v>
      </c>
      <c r="BQ11" s="9">
        <v>66472</v>
      </c>
      <c r="BR11" s="10">
        <v>42542.080000000002</v>
      </c>
      <c r="BS11" s="9">
        <v>71516</v>
      </c>
      <c r="BT11" s="10">
        <v>45770.239999999998</v>
      </c>
      <c r="BU11" s="9">
        <v>59500</v>
      </c>
      <c r="BV11" s="10">
        <v>38080</v>
      </c>
      <c r="BW11" s="9">
        <v>66640</v>
      </c>
      <c r="BX11" s="10">
        <v>42649.599999999999</v>
      </c>
      <c r="BY11" s="9">
        <v>76510</v>
      </c>
      <c r="BZ11" s="10">
        <v>48966.400000000001</v>
      </c>
      <c r="CA11" s="9">
        <v>66934</v>
      </c>
      <c r="CB11" s="10">
        <v>42837.760000000002</v>
      </c>
      <c r="CC11" s="9">
        <v>79688</v>
      </c>
      <c r="CD11" s="10">
        <v>51000.32</v>
      </c>
      <c r="CE11" s="19">
        <f t="shared" si="15"/>
        <v>67506.818181818177</v>
      </c>
      <c r="CF11" s="10">
        <f t="shared" si="16"/>
        <v>43204.36363636364</v>
      </c>
      <c r="CG11" s="11">
        <v>68521.916666666672</v>
      </c>
      <c r="CH11" s="12">
        <v>43854.026666666672</v>
      </c>
      <c r="CI11" s="15">
        <v>7.7795980345956979</v>
      </c>
      <c r="CJ11" s="15">
        <v>11.29</v>
      </c>
      <c r="CK11" s="14">
        <v>78915</v>
      </c>
      <c r="CL11" s="10">
        <v>50505.599999999999</v>
      </c>
      <c r="CM11" s="14">
        <v>57960</v>
      </c>
      <c r="CN11" s="15">
        <v>37094.400000000001</v>
      </c>
      <c r="CO11" s="14">
        <v>67424</v>
      </c>
      <c r="CP11" s="15">
        <v>43151.360000000001</v>
      </c>
      <c r="CQ11" s="14">
        <v>59108</v>
      </c>
      <c r="CR11" s="15">
        <v>37829.120000000003</v>
      </c>
      <c r="CS11" s="14">
        <v>62751</v>
      </c>
      <c r="CT11" s="15">
        <v>40160.639999999999</v>
      </c>
      <c r="CU11" s="14">
        <v>60505</v>
      </c>
      <c r="CV11" s="15">
        <v>38723.200000000004</v>
      </c>
      <c r="CW11" s="14">
        <v>62881</v>
      </c>
      <c r="CX11" s="15">
        <v>40243.840000000004</v>
      </c>
      <c r="CY11" s="14">
        <v>62132</v>
      </c>
      <c r="CZ11" s="15">
        <v>39764.480000000003</v>
      </c>
      <c r="DA11" s="14">
        <v>62320</v>
      </c>
      <c r="DB11" s="15">
        <v>39884.800000000003</v>
      </c>
      <c r="DC11" s="14">
        <v>61037</v>
      </c>
      <c r="DD11" s="15">
        <v>39063.68</v>
      </c>
      <c r="DE11" s="14">
        <v>68404</v>
      </c>
      <c r="DF11" s="15">
        <v>43778.559999999998</v>
      </c>
      <c r="DG11" s="14">
        <v>62636</v>
      </c>
      <c r="DH11" s="15">
        <v>40087.040000000001</v>
      </c>
      <c r="DI11" s="16">
        <f t="shared" si="17"/>
        <v>766073</v>
      </c>
      <c r="DJ11" s="16">
        <f t="shared" si="18"/>
        <v>490286.72</v>
      </c>
      <c r="DK11" s="16">
        <f t="shared" si="19"/>
        <v>68437.5</v>
      </c>
      <c r="DL11" s="17">
        <f t="shared" si="20"/>
        <v>43800</v>
      </c>
      <c r="DM11" s="68">
        <f t="shared" si="2"/>
        <v>63839.416666666664</v>
      </c>
      <c r="DN11" s="294">
        <f t="shared" si="3"/>
        <v>40857.226666666662</v>
      </c>
      <c r="DO11" s="69">
        <f>DN11/$DN$57%</f>
        <v>6.9056730429342856</v>
      </c>
      <c r="DP11" s="14">
        <v>58716</v>
      </c>
      <c r="DQ11" s="10">
        <v>37578.239999999998</v>
      </c>
      <c r="DR11" s="9">
        <v>55034</v>
      </c>
      <c r="DS11" s="10">
        <v>35221.760000000002</v>
      </c>
      <c r="DT11" s="14"/>
      <c r="DU11" s="15"/>
      <c r="DV11" s="14"/>
      <c r="DW11" s="15"/>
      <c r="DX11" s="14"/>
      <c r="DY11" s="15"/>
      <c r="DZ11" s="14"/>
      <c r="EA11" s="15"/>
      <c r="EB11" s="14"/>
      <c r="EC11" s="15"/>
      <c r="ED11" s="14"/>
      <c r="EE11" s="15"/>
      <c r="EF11" s="14"/>
      <c r="EG11" s="15"/>
      <c r="EH11" s="14"/>
      <c r="EI11" s="15"/>
      <c r="EJ11" s="14"/>
      <c r="EK11" s="15"/>
      <c r="EL11" s="14"/>
      <c r="EM11" s="15"/>
      <c r="EN11" s="16">
        <f t="shared" si="26"/>
        <v>113750</v>
      </c>
      <c r="EO11" s="16">
        <f t="shared" si="27"/>
        <v>72800</v>
      </c>
      <c r="EP11" s="68">
        <f t="shared" si="5"/>
        <v>56875</v>
      </c>
      <c r="EQ11" s="294">
        <f t="shared" si="6"/>
        <v>36400</v>
      </c>
      <c r="ER11" s="535">
        <f t="shared" si="0"/>
        <v>7.0308144371825305</v>
      </c>
      <c r="ES11" s="522">
        <f t="shared" si="7"/>
        <v>0.12514139424824489</v>
      </c>
      <c r="ET11" s="522">
        <f t="shared" si="8"/>
        <v>-16.894977168949779</v>
      </c>
      <c r="EU11" s="522">
        <f t="shared" si="9"/>
        <v>-10.909273659298776</v>
      </c>
      <c r="EV11" s="522">
        <f t="shared" si="10"/>
        <v>-4457.2266666666619</v>
      </c>
      <c r="EW11" s="523">
        <f t="shared" si="11"/>
        <v>-7400</v>
      </c>
      <c r="EX11" s="522">
        <f t="shared" si="12"/>
        <v>-318.37333333333299</v>
      </c>
      <c r="EY11" s="522">
        <f t="shared" si="13"/>
        <v>-528.57142857142856</v>
      </c>
      <c r="EZ11" s="522">
        <f t="shared" si="14"/>
        <v>-1057.1428571428571</v>
      </c>
    </row>
    <row r="12" spans="1:156" s="251" customFormat="1">
      <c r="A12" s="246"/>
      <c r="B12" s="247" t="s">
        <v>23</v>
      </c>
      <c r="C12" s="247"/>
      <c r="D12" s="246"/>
      <c r="E12" s="246"/>
      <c r="F12" s="246"/>
      <c r="G12" s="248"/>
      <c r="H12" s="249"/>
      <c r="I12" s="248"/>
      <c r="J12" s="249"/>
      <c r="K12" s="248"/>
      <c r="L12" s="249"/>
      <c r="M12" s="248"/>
      <c r="N12" s="249"/>
      <c r="O12" s="248"/>
      <c r="P12" s="249"/>
      <c r="Q12" s="248"/>
      <c r="R12" s="249"/>
      <c r="S12" s="248"/>
      <c r="T12" s="249"/>
      <c r="U12" s="248"/>
      <c r="V12" s="249"/>
      <c r="W12" s="248"/>
      <c r="X12" s="249"/>
      <c r="Y12" s="248"/>
      <c r="Z12" s="249"/>
      <c r="AA12" s="248"/>
      <c r="AB12" s="249"/>
      <c r="AC12" s="248"/>
      <c r="AD12" s="249"/>
      <c r="AE12" s="248"/>
      <c r="AF12" s="249"/>
      <c r="AG12" s="248"/>
      <c r="AH12" s="249"/>
      <c r="AI12" s="248"/>
      <c r="AJ12" s="249"/>
      <c r="AK12" s="248"/>
      <c r="AL12" s="249"/>
      <c r="AM12" s="248"/>
      <c r="AN12" s="249"/>
      <c r="AO12" s="248"/>
      <c r="AP12" s="249"/>
      <c r="AQ12" s="248"/>
      <c r="AR12" s="249"/>
      <c r="AS12" s="248"/>
      <c r="AT12" s="249"/>
      <c r="AU12" s="248"/>
      <c r="AV12" s="249"/>
      <c r="AW12" s="248"/>
      <c r="AX12" s="249"/>
      <c r="AY12" s="248"/>
      <c r="AZ12" s="249"/>
      <c r="BA12" s="248"/>
      <c r="BB12" s="249"/>
      <c r="BC12" s="248"/>
      <c r="BD12" s="249"/>
      <c r="BE12" s="248"/>
      <c r="BF12" s="249"/>
      <c r="BG12" s="248"/>
      <c r="BH12" s="249"/>
      <c r="BI12" s="248"/>
      <c r="BJ12" s="249"/>
      <c r="BK12" s="248"/>
      <c r="BL12" s="249"/>
      <c r="BM12" s="248"/>
      <c r="BN12" s="249"/>
      <c r="BO12" s="248"/>
      <c r="BP12" s="249"/>
      <c r="BQ12" s="248"/>
      <c r="BR12" s="249"/>
      <c r="BS12" s="248"/>
      <c r="BT12" s="249"/>
      <c r="BU12" s="248"/>
      <c r="BV12" s="249"/>
      <c r="BW12" s="248"/>
      <c r="BX12" s="249"/>
      <c r="BY12" s="248"/>
      <c r="BZ12" s="249"/>
      <c r="CA12" s="248"/>
      <c r="CB12" s="249"/>
      <c r="CC12" s="248"/>
      <c r="CD12" s="249"/>
      <c r="CE12" s="250">
        <f t="shared" ref="CE12:CW12" si="28">SUM(CE9:CE11)</f>
        <v>86071.909090909088</v>
      </c>
      <c r="CF12" s="250">
        <f t="shared" si="28"/>
        <v>61490.181818181823</v>
      </c>
      <c r="CG12" s="250">
        <f t="shared" si="28"/>
        <v>88613.916666666672</v>
      </c>
      <c r="CH12" s="250">
        <f t="shared" si="28"/>
        <v>63670.026666666672</v>
      </c>
      <c r="CI12" s="250">
        <f t="shared" si="28"/>
        <v>11.294908403363394</v>
      </c>
      <c r="CJ12" s="250">
        <f t="shared" si="28"/>
        <v>11.29</v>
      </c>
      <c r="CK12" s="250">
        <f t="shared" si="28"/>
        <v>113379</v>
      </c>
      <c r="CL12" s="250">
        <f t="shared" si="28"/>
        <v>84700.799999999988</v>
      </c>
      <c r="CM12" s="250">
        <f t="shared" si="28"/>
        <v>78954</v>
      </c>
      <c r="CN12" s="250">
        <f t="shared" si="28"/>
        <v>57786</v>
      </c>
      <c r="CO12" s="250">
        <f t="shared" si="28"/>
        <v>116504</v>
      </c>
      <c r="CP12" s="250">
        <f t="shared" si="28"/>
        <v>92015.360000000001</v>
      </c>
      <c r="CQ12" s="250">
        <f t="shared" si="28"/>
        <v>82628</v>
      </c>
      <c r="CR12" s="250">
        <f t="shared" si="28"/>
        <v>61046.720000000001</v>
      </c>
      <c r="CS12" s="250">
        <f t="shared" si="28"/>
        <v>90315</v>
      </c>
      <c r="CT12" s="250">
        <f t="shared" si="28"/>
        <v>67436.639999999999</v>
      </c>
      <c r="CU12" s="250">
        <f t="shared" si="28"/>
        <v>94933</v>
      </c>
      <c r="CV12" s="250">
        <f t="shared" si="28"/>
        <v>72968.800000000003</v>
      </c>
      <c r="CW12" s="250">
        <f t="shared" si="28"/>
        <v>104149</v>
      </c>
      <c r="CX12" s="250">
        <f>SUM(CX9:CX11)</f>
        <v>81252.640000000014</v>
      </c>
      <c r="CY12" s="250">
        <f t="shared" ref="CY12:EM12" si="29">SUM(CY9:CY11)</f>
        <v>99272</v>
      </c>
      <c r="CZ12" s="250">
        <f t="shared" si="29"/>
        <v>76683.679999999993</v>
      </c>
      <c r="DA12" s="250">
        <f t="shared" si="29"/>
        <v>120664</v>
      </c>
      <c r="DB12" s="250">
        <f t="shared" si="29"/>
        <v>97964.800000000003</v>
      </c>
      <c r="DC12" s="250">
        <f t="shared" si="29"/>
        <v>129593</v>
      </c>
      <c r="DD12" s="250">
        <f t="shared" si="29"/>
        <v>107283.68</v>
      </c>
      <c r="DE12" s="250">
        <f t="shared" si="29"/>
        <v>101440</v>
      </c>
      <c r="DF12" s="250">
        <f t="shared" si="29"/>
        <v>76632.160000000003</v>
      </c>
      <c r="DG12" s="250">
        <f t="shared" si="29"/>
        <v>116216</v>
      </c>
      <c r="DH12" s="250">
        <f t="shared" si="29"/>
        <v>93460.64</v>
      </c>
      <c r="DI12" s="250">
        <f t="shared" si="29"/>
        <v>1248047</v>
      </c>
      <c r="DJ12" s="250">
        <f t="shared" si="29"/>
        <v>969231.91999999993</v>
      </c>
      <c r="DK12" s="669">
        <f t="shared" si="19"/>
        <v>96166.5</v>
      </c>
      <c r="DL12" s="670">
        <f t="shared" si="20"/>
        <v>71243.399999999994</v>
      </c>
      <c r="DM12" s="502">
        <f t="shared" si="2"/>
        <v>104003.91666666667</v>
      </c>
      <c r="DN12" s="503">
        <f t="shared" si="3"/>
        <v>80769.32666666666</v>
      </c>
      <c r="DO12" s="250">
        <f t="shared" si="29"/>
        <v>13.651601133099099</v>
      </c>
      <c r="DP12" s="250">
        <f t="shared" si="29"/>
        <v>110122</v>
      </c>
      <c r="DQ12" s="250">
        <f t="shared" si="29"/>
        <v>88897.84</v>
      </c>
      <c r="DR12" s="250">
        <f t="shared" si="29"/>
        <v>97902</v>
      </c>
      <c r="DS12" s="250">
        <f t="shared" si="29"/>
        <v>78089.760000000009</v>
      </c>
      <c r="DT12" s="250">
        <f t="shared" si="29"/>
        <v>0</v>
      </c>
      <c r="DU12" s="250">
        <f t="shared" si="29"/>
        <v>0</v>
      </c>
      <c r="DV12" s="250">
        <f t="shared" si="29"/>
        <v>0</v>
      </c>
      <c r="DW12" s="250">
        <f t="shared" si="29"/>
        <v>0</v>
      </c>
      <c r="DX12" s="250">
        <f t="shared" si="29"/>
        <v>0</v>
      </c>
      <c r="DY12" s="250">
        <f t="shared" si="29"/>
        <v>0</v>
      </c>
      <c r="DZ12" s="250">
        <f t="shared" si="29"/>
        <v>0</v>
      </c>
      <c r="EA12" s="250">
        <f t="shared" si="29"/>
        <v>0</v>
      </c>
      <c r="EB12" s="250">
        <f t="shared" si="29"/>
        <v>0</v>
      </c>
      <c r="EC12" s="250">
        <f t="shared" si="29"/>
        <v>0</v>
      </c>
      <c r="ED12" s="250">
        <f t="shared" si="29"/>
        <v>0</v>
      </c>
      <c r="EE12" s="250">
        <f t="shared" si="29"/>
        <v>0</v>
      </c>
      <c r="EF12" s="250">
        <f t="shared" si="29"/>
        <v>0</v>
      </c>
      <c r="EG12" s="250">
        <f t="shared" si="29"/>
        <v>0</v>
      </c>
      <c r="EH12" s="250">
        <f t="shared" si="29"/>
        <v>0</v>
      </c>
      <c r="EI12" s="250">
        <f t="shared" si="29"/>
        <v>0</v>
      </c>
      <c r="EJ12" s="250">
        <f t="shared" si="29"/>
        <v>0</v>
      </c>
      <c r="EK12" s="250">
        <f t="shared" si="29"/>
        <v>0</v>
      </c>
      <c r="EL12" s="250">
        <f t="shared" si="29"/>
        <v>0</v>
      </c>
      <c r="EM12" s="250">
        <f t="shared" si="29"/>
        <v>0</v>
      </c>
      <c r="EN12" s="250">
        <f t="shared" ref="EN12:EO12" si="30">SUM(EN9:EN11)</f>
        <v>208024</v>
      </c>
      <c r="EO12" s="250">
        <f t="shared" si="30"/>
        <v>166987.6</v>
      </c>
      <c r="EP12" s="502">
        <f t="shared" si="5"/>
        <v>104012</v>
      </c>
      <c r="EQ12" s="503">
        <f t="shared" si="6"/>
        <v>83493.8</v>
      </c>
      <c r="ER12" s="536">
        <f t="shared" si="0"/>
        <v>16.127181715803044</v>
      </c>
      <c r="ES12" s="537">
        <f t="shared" si="7"/>
        <v>2.4755805827039445</v>
      </c>
      <c r="ET12" s="537">
        <f t="shared" si="8"/>
        <v>17.195136672309317</v>
      </c>
      <c r="EU12" s="537">
        <f t="shared" si="9"/>
        <v>3.3731534553670173</v>
      </c>
      <c r="EV12" s="537">
        <f t="shared" si="10"/>
        <v>2724.4733333333425</v>
      </c>
      <c r="EW12" s="538">
        <f t="shared" si="11"/>
        <v>12250.400000000009</v>
      </c>
      <c r="EX12" s="537">
        <f t="shared" si="12"/>
        <v>194.60523809523875</v>
      </c>
      <c r="EY12" s="537">
        <f t="shared" si="13"/>
        <v>875.02857142857204</v>
      </c>
      <c r="EZ12" s="537">
        <f t="shared" si="14"/>
        <v>1750.0571428571441</v>
      </c>
    </row>
    <row r="13" spans="1:156">
      <c r="A13" s="7">
        <v>7</v>
      </c>
      <c r="B13" s="8" t="s">
        <v>24</v>
      </c>
      <c r="C13" s="8" t="s">
        <v>16</v>
      </c>
      <c r="D13" s="7">
        <v>1</v>
      </c>
      <c r="E13" s="7" t="s">
        <v>18</v>
      </c>
      <c r="F13" s="7">
        <v>1900</v>
      </c>
      <c r="G13" s="9"/>
      <c r="H13" s="10">
        <v>0</v>
      </c>
      <c r="I13" s="9"/>
      <c r="J13" s="10">
        <v>0</v>
      </c>
      <c r="K13" s="9"/>
      <c r="L13" s="10">
        <v>0</v>
      </c>
      <c r="M13" s="9"/>
      <c r="N13" s="10">
        <v>0</v>
      </c>
      <c r="O13" s="9"/>
      <c r="P13" s="10">
        <v>0</v>
      </c>
      <c r="Q13" s="9"/>
      <c r="R13" s="10">
        <v>0</v>
      </c>
      <c r="S13" s="9"/>
      <c r="T13" s="10">
        <v>0</v>
      </c>
      <c r="U13" s="9"/>
      <c r="V13" s="10">
        <v>0</v>
      </c>
      <c r="W13" s="9"/>
      <c r="X13" s="10">
        <v>0</v>
      </c>
      <c r="Y13" s="9"/>
      <c r="Z13" s="10">
        <v>0</v>
      </c>
      <c r="AA13" s="9"/>
      <c r="AB13" s="10">
        <v>0</v>
      </c>
      <c r="AC13" s="9"/>
      <c r="AD13" s="10">
        <v>0</v>
      </c>
      <c r="AE13" s="11">
        <v>0</v>
      </c>
      <c r="AF13" s="12">
        <v>0</v>
      </c>
      <c r="AG13" s="9"/>
      <c r="AH13" s="10">
        <v>0</v>
      </c>
      <c r="AI13" s="9"/>
      <c r="AJ13" s="10">
        <v>0</v>
      </c>
      <c r="AK13" s="9"/>
      <c r="AL13" s="10">
        <v>0</v>
      </c>
      <c r="AM13" s="9"/>
      <c r="AN13" s="10">
        <v>0</v>
      </c>
      <c r="AO13" s="9"/>
      <c r="AP13" s="10">
        <v>0</v>
      </c>
      <c r="AQ13" s="9"/>
      <c r="AR13" s="10">
        <v>0</v>
      </c>
      <c r="AS13" s="9"/>
      <c r="AT13" s="10">
        <v>0</v>
      </c>
      <c r="AU13" s="9"/>
      <c r="AV13" s="10">
        <v>0</v>
      </c>
      <c r="AW13" s="9"/>
      <c r="AX13" s="10">
        <v>0</v>
      </c>
      <c r="AY13" s="9"/>
      <c r="AZ13" s="10">
        <v>0</v>
      </c>
      <c r="BA13" s="9"/>
      <c r="BB13" s="10">
        <v>0</v>
      </c>
      <c r="BC13" s="9"/>
      <c r="BD13" s="10">
        <v>0</v>
      </c>
      <c r="BE13" s="11">
        <v>0</v>
      </c>
      <c r="BF13" s="12">
        <v>0</v>
      </c>
      <c r="BG13" s="9"/>
      <c r="BH13" s="10">
        <v>0</v>
      </c>
      <c r="BI13" s="9"/>
      <c r="BJ13" s="10">
        <v>0</v>
      </c>
      <c r="BK13" s="9"/>
      <c r="BL13" s="10">
        <v>0</v>
      </c>
      <c r="BM13" s="9"/>
      <c r="BN13" s="10">
        <v>0</v>
      </c>
      <c r="BO13" s="9"/>
      <c r="BP13" s="10">
        <v>0</v>
      </c>
      <c r="BQ13" s="9"/>
      <c r="BR13" s="10">
        <v>0</v>
      </c>
      <c r="BS13" s="9"/>
      <c r="BT13" s="10">
        <v>0</v>
      </c>
      <c r="BU13" s="9"/>
      <c r="BV13" s="10">
        <v>0</v>
      </c>
      <c r="BW13" s="9"/>
      <c r="BX13" s="10">
        <v>0</v>
      </c>
      <c r="BY13" s="9"/>
      <c r="BZ13" s="10">
        <v>0</v>
      </c>
      <c r="CA13" s="9"/>
      <c r="CB13" s="10">
        <v>0</v>
      </c>
      <c r="CC13" s="9"/>
      <c r="CD13" s="10">
        <v>0</v>
      </c>
      <c r="CE13" s="19">
        <f t="shared" si="15"/>
        <v>0</v>
      </c>
      <c r="CF13" s="10">
        <f t="shared" si="16"/>
        <v>0</v>
      </c>
      <c r="CG13" s="11">
        <v>0</v>
      </c>
      <c r="CH13" s="12">
        <v>0</v>
      </c>
      <c r="CI13" s="15">
        <v>0</v>
      </c>
      <c r="CJ13" s="15"/>
      <c r="CK13" s="14"/>
      <c r="CL13" s="10">
        <v>0</v>
      </c>
      <c r="CM13" s="14"/>
      <c r="CN13" s="15">
        <v>0</v>
      </c>
      <c r="CO13" s="14">
        <v>16608</v>
      </c>
      <c r="CP13" s="15">
        <v>16608</v>
      </c>
      <c r="CQ13" s="14">
        <v>6468</v>
      </c>
      <c r="CR13" s="15">
        <v>6468</v>
      </c>
      <c r="CS13" s="14">
        <v>8040</v>
      </c>
      <c r="CT13" s="15">
        <v>8040</v>
      </c>
      <c r="CU13" s="14">
        <v>1188</v>
      </c>
      <c r="CV13" s="15">
        <v>1188</v>
      </c>
      <c r="CW13" s="14">
        <v>1740</v>
      </c>
      <c r="CX13" s="15">
        <v>1740</v>
      </c>
      <c r="CY13" s="14">
        <v>1872</v>
      </c>
      <c r="CZ13" s="15">
        <v>1872</v>
      </c>
      <c r="DA13" s="14">
        <v>348</v>
      </c>
      <c r="DB13" s="15">
        <v>348</v>
      </c>
      <c r="DC13" s="14">
        <v>1704</v>
      </c>
      <c r="DD13" s="15">
        <v>1704</v>
      </c>
      <c r="DE13" s="14">
        <v>3192</v>
      </c>
      <c r="DF13" s="15">
        <v>3192</v>
      </c>
      <c r="DG13" s="14">
        <v>420</v>
      </c>
      <c r="DH13" s="15">
        <v>420</v>
      </c>
      <c r="DI13" s="16">
        <f t="shared" si="17"/>
        <v>41580</v>
      </c>
      <c r="DJ13" s="16">
        <f t="shared" si="18"/>
        <v>41580</v>
      </c>
      <c r="DK13" s="16">
        <f t="shared" si="19"/>
        <v>0</v>
      </c>
      <c r="DL13" s="17">
        <f t="shared" si="20"/>
        <v>0</v>
      </c>
      <c r="DM13" s="68">
        <f t="shared" si="2"/>
        <v>3465</v>
      </c>
      <c r="DN13" s="294">
        <f t="shared" si="3"/>
        <v>3465</v>
      </c>
      <c r="DO13" s="69">
        <f>DN13/$DN$57%</f>
        <v>0.58565299326322284</v>
      </c>
      <c r="DP13" s="14">
        <v>1356</v>
      </c>
      <c r="DQ13" s="10">
        <v>1356</v>
      </c>
      <c r="DR13" s="9">
        <v>1032</v>
      </c>
      <c r="DS13" s="10">
        <v>1032</v>
      </c>
      <c r="DT13" s="14"/>
      <c r="DU13" s="15"/>
      <c r="DV13" s="14"/>
      <c r="DW13" s="15"/>
      <c r="DX13" s="14"/>
      <c r="DY13" s="15"/>
      <c r="DZ13" s="14"/>
      <c r="EA13" s="15"/>
      <c r="EB13" s="14"/>
      <c r="EC13" s="15"/>
      <c r="ED13" s="14"/>
      <c r="EE13" s="15"/>
      <c r="EF13" s="14"/>
      <c r="EG13" s="15"/>
      <c r="EH13" s="14"/>
      <c r="EI13" s="15"/>
      <c r="EJ13" s="14"/>
      <c r="EK13" s="15"/>
      <c r="EL13" s="14"/>
      <c r="EM13" s="15"/>
      <c r="EN13" s="16">
        <f t="shared" ref="EN13:EN14" si="31">DP13+DR13+DT13+DV13+DX13+DZ13+EB13+ED13+EF13+EH13+EJ13+EL13</f>
        <v>2388</v>
      </c>
      <c r="EO13" s="16">
        <f t="shared" ref="EO13:EO14" si="32">DQ13+DS13+DU13+DW13+DY13+EA13+EC13+EE13+EG13+EI13+EK13+EM13</f>
        <v>2388</v>
      </c>
      <c r="EP13" s="68">
        <f t="shared" si="5"/>
        <v>1194</v>
      </c>
      <c r="EQ13" s="294">
        <f t="shared" si="6"/>
        <v>1194</v>
      </c>
      <c r="ER13" s="535">
        <f t="shared" si="0"/>
        <v>0.23062616587900936</v>
      </c>
      <c r="ES13" s="522">
        <f t="shared" si="7"/>
        <v>-0.35502682738421348</v>
      </c>
      <c r="ET13" s="522"/>
      <c r="EU13" s="522">
        <f t="shared" si="9"/>
        <v>-65.541125541125538</v>
      </c>
      <c r="EV13" s="522">
        <f t="shared" si="10"/>
        <v>-2271</v>
      </c>
      <c r="EW13" s="523">
        <f t="shared" si="11"/>
        <v>1194</v>
      </c>
      <c r="EX13" s="522">
        <f t="shared" si="12"/>
        <v>-162.21428571428572</v>
      </c>
      <c r="EY13" s="522">
        <f t="shared" si="13"/>
        <v>85.285714285714292</v>
      </c>
      <c r="EZ13" s="522">
        <f t="shared" si="14"/>
        <v>170.57142857142858</v>
      </c>
    </row>
    <row r="14" spans="1:156">
      <c r="A14" s="7">
        <v>8</v>
      </c>
      <c r="B14" s="8" t="s">
        <v>25</v>
      </c>
      <c r="C14" s="8" t="s">
        <v>14</v>
      </c>
      <c r="D14" s="7">
        <v>0.64</v>
      </c>
      <c r="E14" s="7" t="s">
        <v>20</v>
      </c>
      <c r="F14" s="7">
        <v>1500</v>
      </c>
      <c r="G14" s="9">
        <v>19838</v>
      </c>
      <c r="H14" s="10">
        <v>12696.32</v>
      </c>
      <c r="I14" s="9">
        <v>21560</v>
      </c>
      <c r="J14" s="10">
        <v>13798.4</v>
      </c>
      <c r="K14" s="9">
        <v>33040</v>
      </c>
      <c r="L14" s="10">
        <v>21145.600000000002</v>
      </c>
      <c r="M14" s="9">
        <v>33390</v>
      </c>
      <c r="N14" s="10">
        <v>21369.600000000002</v>
      </c>
      <c r="O14" s="9">
        <v>41692</v>
      </c>
      <c r="P14" s="10">
        <v>26682.880000000001</v>
      </c>
      <c r="Q14" s="9">
        <v>61586</v>
      </c>
      <c r="R14" s="10">
        <v>39415.040000000001</v>
      </c>
      <c r="S14" s="9">
        <v>77210</v>
      </c>
      <c r="T14" s="10">
        <v>49414.400000000001</v>
      </c>
      <c r="U14" s="9">
        <v>85148</v>
      </c>
      <c r="V14" s="10">
        <v>54494.720000000001</v>
      </c>
      <c r="W14" s="9">
        <v>78722</v>
      </c>
      <c r="X14" s="10">
        <v>50382.080000000002</v>
      </c>
      <c r="Y14" s="9">
        <v>46494</v>
      </c>
      <c r="Z14" s="10">
        <v>29756.16</v>
      </c>
      <c r="AA14" s="9">
        <v>52136</v>
      </c>
      <c r="AB14" s="10">
        <v>33367.040000000001</v>
      </c>
      <c r="AC14" s="9">
        <v>53018</v>
      </c>
      <c r="AD14" s="10">
        <v>33931.520000000004</v>
      </c>
      <c r="AE14" s="11">
        <v>50319.5</v>
      </c>
      <c r="AF14" s="12">
        <v>32204.48</v>
      </c>
      <c r="AG14" s="9">
        <v>44912</v>
      </c>
      <c r="AH14" s="10">
        <v>28743.68</v>
      </c>
      <c r="AI14" s="9">
        <v>31654</v>
      </c>
      <c r="AJ14" s="10">
        <v>20258.560000000001</v>
      </c>
      <c r="AK14" s="9">
        <v>34804</v>
      </c>
      <c r="AL14" s="10">
        <v>22274.560000000001</v>
      </c>
      <c r="AM14" s="9">
        <v>36498</v>
      </c>
      <c r="AN14" s="10">
        <v>23358.720000000001</v>
      </c>
      <c r="AO14" s="9">
        <v>35546</v>
      </c>
      <c r="AP14" s="10">
        <v>22749.439999999999</v>
      </c>
      <c r="AQ14" s="9">
        <v>54246</v>
      </c>
      <c r="AR14" s="10">
        <v>34717.440000000002</v>
      </c>
      <c r="AS14" s="9">
        <v>73412</v>
      </c>
      <c r="AT14" s="10">
        <v>46983.68</v>
      </c>
      <c r="AU14" s="9">
        <v>66720</v>
      </c>
      <c r="AV14" s="10">
        <v>42700.800000000003</v>
      </c>
      <c r="AW14" s="9">
        <v>68740</v>
      </c>
      <c r="AX14" s="10">
        <v>43993.599999999999</v>
      </c>
      <c r="AY14" s="9">
        <v>81158</v>
      </c>
      <c r="AZ14" s="10">
        <v>51941.120000000003</v>
      </c>
      <c r="BA14" s="9">
        <v>93086</v>
      </c>
      <c r="BB14" s="10">
        <v>59575.040000000001</v>
      </c>
      <c r="BC14" s="9">
        <v>97244</v>
      </c>
      <c r="BD14" s="10">
        <v>62236.160000000003</v>
      </c>
      <c r="BE14" s="11">
        <v>59835</v>
      </c>
      <c r="BF14" s="12">
        <v>38294.400000000001</v>
      </c>
      <c r="BG14" s="9">
        <v>91784</v>
      </c>
      <c r="BH14" s="10">
        <v>58741.760000000002</v>
      </c>
      <c r="BI14" s="9">
        <v>70816</v>
      </c>
      <c r="BJ14" s="10">
        <v>45322.239999999998</v>
      </c>
      <c r="BK14" s="9">
        <v>67550</v>
      </c>
      <c r="BL14" s="10">
        <v>43232</v>
      </c>
      <c r="BM14" s="9">
        <v>56644</v>
      </c>
      <c r="BN14" s="10">
        <v>36252.160000000003</v>
      </c>
      <c r="BO14" s="9">
        <v>80334</v>
      </c>
      <c r="BP14" s="10">
        <v>51413.760000000002</v>
      </c>
      <c r="BQ14" s="9">
        <v>84071</v>
      </c>
      <c r="BR14" s="10">
        <v>53805.440000000002</v>
      </c>
      <c r="BS14" s="9">
        <v>80080</v>
      </c>
      <c r="BT14" s="10">
        <v>51251.200000000004</v>
      </c>
      <c r="BU14" s="9">
        <v>73961</v>
      </c>
      <c r="BV14" s="10">
        <v>47335.040000000001</v>
      </c>
      <c r="BW14" s="9">
        <v>72380</v>
      </c>
      <c r="BX14" s="10">
        <v>46323.200000000004</v>
      </c>
      <c r="BY14" s="9">
        <v>74174</v>
      </c>
      <c r="BZ14" s="10">
        <v>47471.360000000001</v>
      </c>
      <c r="CA14" s="9">
        <v>68837</v>
      </c>
      <c r="CB14" s="10">
        <v>44055.68</v>
      </c>
      <c r="CC14" s="9">
        <v>70386</v>
      </c>
      <c r="CD14" s="10">
        <v>45047.040000000001</v>
      </c>
      <c r="CE14" s="19">
        <f t="shared" si="15"/>
        <v>74602.818181818177</v>
      </c>
      <c r="CF14" s="10">
        <f t="shared" si="16"/>
        <v>47745.803636363635</v>
      </c>
      <c r="CG14" s="11">
        <v>74251.416666666672</v>
      </c>
      <c r="CH14" s="12">
        <v>47520.906666666669</v>
      </c>
      <c r="CI14" s="15">
        <v>8.4300936585877686</v>
      </c>
      <c r="CJ14" s="15">
        <v>8.43</v>
      </c>
      <c r="CK14" s="14">
        <v>58032</v>
      </c>
      <c r="CL14" s="10">
        <v>37140.480000000003</v>
      </c>
      <c r="CM14" s="14">
        <v>56770</v>
      </c>
      <c r="CN14" s="15">
        <v>36332.800000000003</v>
      </c>
      <c r="CO14" s="14">
        <v>36787</v>
      </c>
      <c r="CP14" s="15">
        <v>23543.68</v>
      </c>
      <c r="CQ14" s="14">
        <v>36194</v>
      </c>
      <c r="CR14" s="15">
        <v>23164.16</v>
      </c>
      <c r="CS14" s="14">
        <v>70375</v>
      </c>
      <c r="CT14" s="15">
        <v>45040</v>
      </c>
      <c r="CU14" s="14">
        <v>54995</v>
      </c>
      <c r="CV14" s="15">
        <v>35196.800000000003</v>
      </c>
      <c r="CW14" s="14">
        <v>53721</v>
      </c>
      <c r="CX14" s="15">
        <v>34381.440000000002</v>
      </c>
      <c r="CY14" s="14">
        <v>56280</v>
      </c>
      <c r="CZ14" s="15">
        <v>36019.200000000004</v>
      </c>
      <c r="DA14" s="14">
        <v>40221</v>
      </c>
      <c r="DB14" s="15">
        <v>25741.440000000002</v>
      </c>
      <c r="DC14" s="14">
        <v>65648</v>
      </c>
      <c r="DD14" s="15">
        <v>42014.720000000001</v>
      </c>
      <c r="DE14" s="14">
        <v>79478</v>
      </c>
      <c r="DF14" s="15">
        <v>50865.919999999998</v>
      </c>
      <c r="DG14" s="14">
        <v>51447</v>
      </c>
      <c r="DH14" s="15">
        <v>32926.080000000002</v>
      </c>
      <c r="DI14" s="16">
        <f t="shared" si="17"/>
        <v>659948</v>
      </c>
      <c r="DJ14" s="16">
        <f t="shared" si="18"/>
        <v>422366.71999999997</v>
      </c>
      <c r="DK14" s="16">
        <f t="shared" si="19"/>
        <v>57401</v>
      </c>
      <c r="DL14" s="17">
        <f t="shared" si="20"/>
        <v>36736.639999999999</v>
      </c>
      <c r="DM14" s="68">
        <f t="shared" si="2"/>
        <v>54995.666666666664</v>
      </c>
      <c r="DN14" s="294">
        <f t="shared" si="3"/>
        <v>35197.226666666662</v>
      </c>
      <c r="DO14" s="69">
        <f>DN14/$DN$57%</f>
        <v>5.9490219774595845</v>
      </c>
      <c r="DP14" s="14">
        <v>50320</v>
      </c>
      <c r="DQ14" s="10">
        <v>32204.799999999999</v>
      </c>
      <c r="DR14" s="9">
        <v>27412</v>
      </c>
      <c r="DS14" s="10">
        <v>17543.68</v>
      </c>
      <c r="DT14" s="14"/>
      <c r="DU14" s="15"/>
      <c r="DV14" s="14"/>
      <c r="DW14" s="15"/>
      <c r="DX14" s="14"/>
      <c r="DY14" s="15"/>
      <c r="DZ14" s="14"/>
      <c r="EA14" s="15"/>
      <c r="EB14" s="14"/>
      <c r="EC14" s="15"/>
      <c r="ED14" s="14"/>
      <c r="EE14" s="15"/>
      <c r="EF14" s="14"/>
      <c r="EG14" s="15"/>
      <c r="EH14" s="14"/>
      <c r="EI14" s="15"/>
      <c r="EJ14" s="14"/>
      <c r="EK14" s="15"/>
      <c r="EL14" s="14"/>
      <c r="EM14" s="15"/>
      <c r="EN14" s="16">
        <f t="shared" si="31"/>
        <v>77732</v>
      </c>
      <c r="EO14" s="16">
        <f t="shared" si="32"/>
        <v>49748.479999999996</v>
      </c>
      <c r="EP14" s="68">
        <f t="shared" si="5"/>
        <v>38866</v>
      </c>
      <c r="EQ14" s="294">
        <f t="shared" si="6"/>
        <v>24874.239999999998</v>
      </c>
      <c r="ER14" s="535">
        <f t="shared" si="0"/>
        <v>4.8045649919215156</v>
      </c>
      <c r="ES14" s="522">
        <f t="shared" si="7"/>
        <v>-1.1444569855380688</v>
      </c>
      <c r="ET14" s="522">
        <f t="shared" si="8"/>
        <v>-32.29037821640739</v>
      </c>
      <c r="EU14" s="522">
        <f t="shared" si="9"/>
        <v>-29.328977434585752</v>
      </c>
      <c r="EV14" s="522">
        <f t="shared" si="10"/>
        <v>-10322.986666666664</v>
      </c>
      <c r="EW14" s="523">
        <f t="shared" si="11"/>
        <v>-11862.400000000001</v>
      </c>
      <c r="EX14" s="522">
        <f t="shared" si="12"/>
        <v>-737.35619047619025</v>
      </c>
      <c r="EY14" s="522">
        <f t="shared" si="13"/>
        <v>-847.3142857142858</v>
      </c>
      <c r="EZ14" s="522">
        <f t="shared" si="14"/>
        <v>-1694.6285714285716</v>
      </c>
    </row>
    <row r="15" spans="1:156" s="251" customFormat="1">
      <c r="A15" s="246"/>
      <c r="B15" s="247" t="s">
        <v>25</v>
      </c>
      <c r="C15" s="247"/>
      <c r="D15" s="246"/>
      <c r="E15" s="246"/>
      <c r="F15" s="246"/>
      <c r="G15" s="248"/>
      <c r="H15" s="249"/>
      <c r="I15" s="248"/>
      <c r="J15" s="249"/>
      <c r="K15" s="248"/>
      <c r="L15" s="249"/>
      <c r="M15" s="248"/>
      <c r="N15" s="249"/>
      <c r="O15" s="248"/>
      <c r="P15" s="249"/>
      <c r="Q15" s="248"/>
      <c r="R15" s="249"/>
      <c r="S15" s="248"/>
      <c r="T15" s="249"/>
      <c r="U15" s="248"/>
      <c r="V15" s="249"/>
      <c r="W15" s="248"/>
      <c r="X15" s="249"/>
      <c r="Y15" s="248"/>
      <c r="Z15" s="249"/>
      <c r="AA15" s="248"/>
      <c r="AB15" s="249"/>
      <c r="AC15" s="248"/>
      <c r="AD15" s="249"/>
      <c r="AE15" s="248"/>
      <c r="AF15" s="249"/>
      <c r="AG15" s="248"/>
      <c r="AH15" s="249"/>
      <c r="AI15" s="248"/>
      <c r="AJ15" s="249"/>
      <c r="AK15" s="248"/>
      <c r="AL15" s="249"/>
      <c r="AM15" s="248"/>
      <c r="AN15" s="249"/>
      <c r="AO15" s="248"/>
      <c r="AP15" s="249"/>
      <c r="AQ15" s="248"/>
      <c r="AR15" s="249"/>
      <c r="AS15" s="248"/>
      <c r="AT15" s="249"/>
      <c r="AU15" s="248"/>
      <c r="AV15" s="249"/>
      <c r="AW15" s="248"/>
      <c r="AX15" s="249"/>
      <c r="AY15" s="248"/>
      <c r="AZ15" s="249"/>
      <c r="BA15" s="248"/>
      <c r="BB15" s="249"/>
      <c r="BC15" s="248"/>
      <c r="BD15" s="249"/>
      <c r="BE15" s="248"/>
      <c r="BF15" s="249"/>
      <c r="BG15" s="248"/>
      <c r="BH15" s="249"/>
      <c r="BI15" s="248"/>
      <c r="BJ15" s="249"/>
      <c r="BK15" s="248"/>
      <c r="BL15" s="249"/>
      <c r="BM15" s="248"/>
      <c r="BN15" s="249"/>
      <c r="BO15" s="248"/>
      <c r="BP15" s="249"/>
      <c r="BQ15" s="248"/>
      <c r="BR15" s="249"/>
      <c r="BS15" s="248"/>
      <c r="BT15" s="249"/>
      <c r="BU15" s="248"/>
      <c r="BV15" s="249"/>
      <c r="BW15" s="248"/>
      <c r="BX15" s="249"/>
      <c r="BY15" s="248"/>
      <c r="BZ15" s="249"/>
      <c r="CA15" s="248"/>
      <c r="CB15" s="249"/>
      <c r="CC15" s="248"/>
      <c r="CD15" s="249"/>
      <c r="CE15" s="250">
        <f t="shared" ref="CE15:EM15" si="33">SUM(CE13:CE14)</f>
        <v>74602.818181818177</v>
      </c>
      <c r="CF15" s="250">
        <f t="shared" si="33"/>
        <v>47745.803636363635</v>
      </c>
      <c r="CG15" s="250">
        <f t="shared" si="33"/>
        <v>74251.416666666672</v>
      </c>
      <c r="CH15" s="250">
        <f t="shared" si="33"/>
        <v>47520.906666666669</v>
      </c>
      <c r="CI15" s="250">
        <f t="shared" si="33"/>
        <v>8.4300936585877686</v>
      </c>
      <c r="CJ15" s="250">
        <f t="shared" si="33"/>
        <v>8.43</v>
      </c>
      <c r="CK15" s="250">
        <f t="shared" si="33"/>
        <v>58032</v>
      </c>
      <c r="CL15" s="250">
        <f t="shared" si="33"/>
        <v>37140.480000000003</v>
      </c>
      <c r="CM15" s="250">
        <f t="shared" si="33"/>
        <v>56770</v>
      </c>
      <c r="CN15" s="250">
        <f t="shared" si="33"/>
        <v>36332.800000000003</v>
      </c>
      <c r="CO15" s="250">
        <f t="shared" si="33"/>
        <v>53395</v>
      </c>
      <c r="CP15" s="250">
        <f t="shared" si="33"/>
        <v>40151.68</v>
      </c>
      <c r="CQ15" s="250">
        <f t="shared" si="33"/>
        <v>42662</v>
      </c>
      <c r="CR15" s="250">
        <f t="shared" si="33"/>
        <v>29632.16</v>
      </c>
      <c r="CS15" s="250">
        <f t="shared" si="33"/>
        <v>78415</v>
      </c>
      <c r="CT15" s="250">
        <f t="shared" si="33"/>
        <v>53080</v>
      </c>
      <c r="CU15" s="250">
        <f t="shared" si="33"/>
        <v>56183</v>
      </c>
      <c r="CV15" s="250">
        <f t="shared" si="33"/>
        <v>36384.800000000003</v>
      </c>
      <c r="CW15" s="250">
        <f t="shared" si="33"/>
        <v>55461</v>
      </c>
      <c r="CX15" s="250">
        <f t="shared" si="33"/>
        <v>36121.440000000002</v>
      </c>
      <c r="CY15" s="250">
        <f t="shared" si="33"/>
        <v>58152</v>
      </c>
      <c r="CZ15" s="250">
        <f t="shared" si="33"/>
        <v>37891.200000000004</v>
      </c>
      <c r="DA15" s="250">
        <f t="shared" si="33"/>
        <v>40569</v>
      </c>
      <c r="DB15" s="250">
        <f t="shared" si="33"/>
        <v>26089.440000000002</v>
      </c>
      <c r="DC15" s="250">
        <f t="shared" si="33"/>
        <v>67352</v>
      </c>
      <c r="DD15" s="250">
        <f t="shared" si="33"/>
        <v>43718.720000000001</v>
      </c>
      <c r="DE15" s="250">
        <f t="shared" si="33"/>
        <v>82670</v>
      </c>
      <c r="DF15" s="250">
        <f t="shared" si="33"/>
        <v>54057.919999999998</v>
      </c>
      <c r="DG15" s="250">
        <f t="shared" si="33"/>
        <v>51867</v>
      </c>
      <c r="DH15" s="250">
        <f t="shared" si="33"/>
        <v>33346.080000000002</v>
      </c>
      <c r="DI15" s="250">
        <f t="shared" si="33"/>
        <v>701528</v>
      </c>
      <c r="DJ15" s="250">
        <f t="shared" si="33"/>
        <v>463946.72</v>
      </c>
      <c r="DK15" s="669">
        <f t="shared" si="19"/>
        <v>57401</v>
      </c>
      <c r="DL15" s="670">
        <f t="shared" si="20"/>
        <v>36736.639999999999</v>
      </c>
      <c r="DM15" s="502">
        <f t="shared" si="2"/>
        <v>58460.666666666664</v>
      </c>
      <c r="DN15" s="503">
        <f t="shared" si="3"/>
        <v>38662.226666666662</v>
      </c>
      <c r="DO15" s="250">
        <f t="shared" si="33"/>
        <v>6.5346749707228078</v>
      </c>
      <c r="DP15" s="250">
        <f t="shared" si="33"/>
        <v>51676</v>
      </c>
      <c r="DQ15" s="250">
        <f t="shared" si="33"/>
        <v>33560.800000000003</v>
      </c>
      <c r="DR15" s="250">
        <f t="shared" si="33"/>
        <v>28444</v>
      </c>
      <c r="DS15" s="250">
        <f t="shared" si="33"/>
        <v>18575.68</v>
      </c>
      <c r="DT15" s="250">
        <f t="shared" si="33"/>
        <v>0</v>
      </c>
      <c r="DU15" s="250">
        <f t="shared" si="33"/>
        <v>0</v>
      </c>
      <c r="DV15" s="250">
        <f t="shared" si="33"/>
        <v>0</v>
      </c>
      <c r="DW15" s="250">
        <f t="shared" si="33"/>
        <v>0</v>
      </c>
      <c r="DX15" s="250">
        <f t="shared" si="33"/>
        <v>0</v>
      </c>
      <c r="DY15" s="250">
        <f t="shared" si="33"/>
        <v>0</v>
      </c>
      <c r="DZ15" s="250">
        <f t="shared" si="33"/>
        <v>0</v>
      </c>
      <c r="EA15" s="250">
        <f t="shared" si="33"/>
        <v>0</v>
      </c>
      <c r="EB15" s="250">
        <f t="shared" si="33"/>
        <v>0</v>
      </c>
      <c r="EC15" s="250">
        <f t="shared" si="33"/>
        <v>0</v>
      </c>
      <c r="ED15" s="250">
        <f t="shared" si="33"/>
        <v>0</v>
      </c>
      <c r="EE15" s="250">
        <f t="shared" si="33"/>
        <v>0</v>
      </c>
      <c r="EF15" s="250">
        <f t="shared" si="33"/>
        <v>0</v>
      </c>
      <c r="EG15" s="250">
        <f t="shared" si="33"/>
        <v>0</v>
      </c>
      <c r="EH15" s="250">
        <f t="shared" si="33"/>
        <v>0</v>
      </c>
      <c r="EI15" s="250">
        <f t="shared" si="33"/>
        <v>0</v>
      </c>
      <c r="EJ15" s="250">
        <f t="shared" si="33"/>
        <v>0</v>
      </c>
      <c r="EK15" s="250">
        <f t="shared" si="33"/>
        <v>0</v>
      </c>
      <c r="EL15" s="250">
        <f t="shared" si="33"/>
        <v>0</v>
      </c>
      <c r="EM15" s="250">
        <f t="shared" si="33"/>
        <v>0</v>
      </c>
      <c r="EN15" s="250">
        <f t="shared" ref="EN15:EO15" si="34">SUM(EN13:EN14)</f>
        <v>80120</v>
      </c>
      <c r="EO15" s="250">
        <f t="shared" si="34"/>
        <v>52136.479999999996</v>
      </c>
      <c r="EP15" s="502">
        <f t="shared" si="5"/>
        <v>40060</v>
      </c>
      <c r="EQ15" s="503">
        <f t="shared" si="6"/>
        <v>26068.239999999998</v>
      </c>
      <c r="ER15" s="536">
        <f t="shared" si="0"/>
        <v>5.0351911578005248</v>
      </c>
      <c r="ES15" s="537">
        <f t="shared" si="7"/>
        <v>-1.4994838129222829</v>
      </c>
      <c r="ET15" s="537">
        <f t="shared" si="8"/>
        <v>-29.040217069389044</v>
      </c>
      <c r="EU15" s="537">
        <f t="shared" si="9"/>
        <v>-32.574395611634017</v>
      </c>
      <c r="EV15" s="537">
        <f t="shared" si="10"/>
        <v>-12593.986666666664</v>
      </c>
      <c r="EW15" s="538">
        <f t="shared" si="11"/>
        <v>-10668.400000000001</v>
      </c>
      <c r="EX15" s="537">
        <f t="shared" si="12"/>
        <v>-899.57047619047603</v>
      </c>
      <c r="EY15" s="537">
        <f t="shared" si="13"/>
        <v>-762.02857142857158</v>
      </c>
      <c r="EZ15" s="537">
        <f t="shared" si="14"/>
        <v>-1524.0571428571432</v>
      </c>
    </row>
    <row r="16" spans="1:156">
      <c r="A16" s="7">
        <v>9</v>
      </c>
      <c r="B16" s="8" t="s">
        <v>26</v>
      </c>
      <c r="C16" s="8" t="s">
        <v>16</v>
      </c>
      <c r="D16" s="7">
        <v>1</v>
      </c>
      <c r="E16" s="7" t="s">
        <v>15</v>
      </c>
      <c r="F16" s="7">
        <v>1580</v>
      </c>
      <c r="G16" s="9">
        <v>840</v>
      </c>
      <c r="H16" s="10">
        <v>840</v>
      </c>
      <c r="I16" s="9"/>
      <c r="J16" s="10">
        <v>0</v>
      </c>
      <c r="K16" s="9">
        <v>1812</v>
      </c>
      <c r="L16" s="10">
        <v>1812</v>
      </c>
      <c r="M16" s="9"/>
      <c r="N16" s="10">
        <v>0</v>
      </c>
      <c r="O16" s="9"/>
      <c r="P16" s="10">
        <v>0</v>
      </c>
      <c r="Q16" s="9"/>
      <c r="R16" s="10">
        <v>0</v>
      </c>
      <c r="S16" s="9"/>
      <c r="T16" s="10">
        <v>0</v>
      </c>
      <c r="U16" s="9"/>
      <c r="V16" s="10">
        <v>0</v>
      </c>
      <c r="W16" s="9"/>
      <c r="X16" s="10">
        <v>0</v>
      </c>
      <c r="Y16" s="9"/>
      <c r="Z16" s="10">
        <v>0</v>
      </c>
      <c r="AA16" s="9"/>
      <c r="AB16" s="10">
        <v>0</v>
      </c>
      <c r="AC16" s="9">
        <v>120</v>
      </c>
      <c r="AD16" s="10">
        <v>120</v>
      </c>
      <c r="AE16" s="11">
        <v>231</v>
      </c>
      <c r="AF16" s="12">
        <v>231</v>
      </c>
      <c r="AG16" s="9"/>
      <c r="AH16" s="10">
        <v>0</v>
      </c>
      <c r="AI16" s="9"/>
      <c r="AJ16" s="10">
        <v>0</v>
      </c>
      <c r="AK16" s="9"/>
      <c r="AL16" s="10">
        <v>0</v>
      </c>
      <c r="AM16" s="9"/>
      <c r="AN16" s="10">
        <v>0</v>
      </c>
      <c r="AO16" s="9"/>
      <c r="AP16" s="10">
        <v>0</v>
      </c>
      <c r="AQ16" s="9"/>
      <c r="AR16" s="10">
        <v>0</v>
      </c>
      <c r="AS16" s="9"/>
      <c r="AT16" s="10">
        <v>0</v>
      </c>
      <c r="AU16" s="9"/>
      <c r="AV16" s="10">
        <v>0</v>
      </c>
      <c r="AW16" s="9"/>
      <c r="AX16" s="10">
        <v>0</v>
      </c>
      <c r="AY16" s="9"/>
      <c r="AZ16" s="10">
        <v>0</v>
      </c>
      <c r="BA16" s="9"/>
      <c r="BB16" s="10">
        <v>0</v>
      </c>
      <c r="BC16" s="9"/>
      <c r="BD16" s="10">
        <v>0</v>
      </c>
      <c r="BE16" s="11">
        <v>0</v>
      </c>
      <c r="BF16" s="12">
        <v>0</v>
      </c>
      <c r="BG16" s="9"/>
      <c r="BH16" s="10">
        <v>0</v>
      </c>
      <c r="BI16" s="9"/>
      <c r="BJ16" s="10">
        <v>0</v>
      </c>
      <c r="BK16" s="9"/>
      <c r="BL16" s="10">
        <v>0</v>
      </c>
      <c r="BM16" s="9"/>
      <c r="BN16" s="10">
        <v>0</v>
      </c>
      <c r="BO16" s="9"/>
      <c r="BP16" s="10">
        <v>0</v>
      </c>
      <c r="BQ16" s="9"/>
      <c r="BR16" s="10">
        <v>0</v>
      </c>
      <c r="BS16" s="9"/>
      <c r="BT16" s="10">
        <v>0</v>
      </c>
      <c r="BU16" s="9"/>
      <c r="BV16" s="10">
        <v>0</v>
      </c>
      <c r="BW16" s="9"/>
      <c r="BX16" s="10">
        <v>0</v>
      </c>
      <c r="BY16" s="9"/>
      <c r="BZ16" s="10">
        <v>0</v>
      </c>
      <c r="CA16" s="9"/>
      <c r="CB16" s="10">
        <v>0</v>
      </c>
      <c r="CC16" s="9"/>
      <c r="CD16" s="10">
        <v>0</v>
      </c>
      <c r="CE16" s="19">
        <f t="shared" si="15"/>
        <v>0</v>
      </c>
      <c r="CF16" s="10">
        <f t="shared" si="16"/>
        <v>0</v>
      </c>
      <c r="CG16" s="11">
        <v>0</v>
      </c>
      <c r="CH16" s="12">
        <v>0</v>
      </c>
      <c r="CI16" s="15">
        <v>0</v>
      </c>
      <c r="CJ16" s="15"/>
      <c r="CK16" s="14"/>
      <c r="CL16" s="10">
        <v>0</v>
      </c>
      <c r="CM16" s="14"/>
      <c r="CN16" s="15">
        <v>0</v>
      </c>
      <c r="CO16" s="14"/>
      <c r="CP16" s="15">
        <v>0</v>
      </c>
      <c r="CQ16" s="14"/>
      <c r="CR16" s="15">
        <v>0</v>
      </c>
      <c r="CS16" s="14">
        <v>840</v>
      </c>
      <c r="CT16" s="15">
        <v>840</v>
      </c>
      <c r="CU16" s="14">
        <v>1140</v>
      </c>
      <c r="CV16" s="15">
        <v>1140</v>
      </c>
      <c r="CW16" s="14"/>
      <c r="CX16" s="15">
        <v>0</v>
      </c>
      <c r="CY16" s="14"/>
      <c r="CZ16" s="15">
        <v>0</v>
      </c>
      <c r="DA16" s="14"/>
      <c r="DB16" s="15">
        <v>0</v>
      </c>
      <c r="DC16" s="14"/>
      <c r="DD16" s="15">
        <v>0</v>
      </c>
      <c r="DE16" s="14"/>
      <c r="DF16" s="15">
        <v>0</v>
      </c>
      <c r="DG16" s="14"/>
      <c r="DH16" s="15">
        <v>0</v>
      </c>
      <c r="DI16" s="16">
        <f t="shared" si="17"/>
        <v>1980</v>
      </c>
      <c r="DJ16" s="16">
        <f t="shared" si="18"/>
        <v>1980</v>
      </c>
      <c r="DK16" s="16">
        <f t="shared" si="19"/>
        <v>0</v>
      </c>
      <c r="DL16" s="17">
        <f t="shared" si="20"/>
        <v>0</v>
      </c>
      <c r="DM16" s="68">
        <f t="shared" si="2"/>
        <v>165</v>
      </c>
      <c r="DN16" s="294">
        <f t="shared" si="3"/>
        <v>165</v>
      </c>
      <c r="DO16" s="69">
        <f>DN16/$DN$57%</f>
        <v>2.7888237774439186E-2</v>
      </c>
      <c r="DP16" s="14"/>
      <c r="DQ16" s="10"/>
      <c r="DR16" s="9"/>
      <c r="DS16" s="10"/>
      <c r="DT16" s="14"/>
      <c r="DU16" s="15"/>
      <c r="DV16" s="14"/>
      <c r="DW16" s="15"/>
      <c r="DX16" s="14"/>
      <c r="DY16" s="15"/>
      <c r="DZ16" s="14"/>
      <c r="EA16" s="15"/>
      <c r="EB16" s="14"/>
      <c r="EC16" s="15"/>
      <c r="ED16" s="14"/>
      <c r="EE16" s="15"/>
      <c r="EF16" s="14"/>
      <c r="EG16" s="15"/>
      <c r="EH16" s="14"/>
      <c r="EI16" s="15"/>
      <c r="EJ16" s="14"/>
      <c r="EK16" s="15"/>
      <c r="EL16" s="14"/>
      <c r="EM16" s="15"/>
      <c r="EN16" s="16">
        <f t="shared" ref="EN16:EN20" si="35">DP16+DR16+DT16+DV16+DX16+DZ16+EB16+ED16+EF16+EH16+EJ16+EL16</f>
        <v>0</v>
      </c>
      <c r="EO16" s="16">
        <f t="shared" ref="EO16:EO20" si="36">DQ16+DS16+DU16+DW16+DY16+EA16+EC16+EE16+EG16+EI16+EK16+EM16</f>
        <v>0</v>
      </c>
      <c r="EP16" s="68">
        <f t="shared" si="5"/>
        <v>0</v>
      </c>
      <c r="EQ16" s="294">
        <f t="shared" si="6"/>
        <v>0</v>
      </c>
      <c r="ER16" s="535">
        <f t="shared" si="0"/>
        <v>0</v>
      </c>
      <c r="ES16" s="522">
        <f t="shared" si="7"/>
        <v>-2.7888237774439186E-2</v>
      </c>
      <c r="ET16" s="522"/>
      <c r="EU16" s="522">
        <f t="shared" si="9"/>
        <v>-100</v>
      </c>
      <c r="EV16" s="522">
        <f t="shared" si="10"/>
        <v>-165</v>
      </c>
      <c r="EW16" s="523">
        <f t="shared" si="11"/>
        <v>0</v>
      </c>
      <c r="EX16" s="522">
        <f t="shared" si="12"/>
        <v>-11.785714285714286</v>
      </c>
      <c r="EY16" s="522">
        <f t="shared" si="13"/>
        <v>0</v>
      </c>
      <c r="EZ16" s="522">
        <f t="shared" si="14"/>
        <v>0</v>
      </c>
    </row>
    <row r="17" spans="1:156">
      <c r="A17" s="7">
        <v>10</v>
      </c>
      <c r="B17" s="8" t="s">
        <v>27</v>
      </c>
      <c r="C17" s="8" t="s">
        <v>14</v>
      </c>
      <c r="D17" s="7">
        <v>0.7</v>
      </c>
      <c r="E17" s="7" t="s">
        <v>15</v>
      </c>
      <c r="F17" s="7">
        <v>1700</v>
      </c>
      <c r="G17" s="9">
        <v>25776</v>
      </c>
      <c r="H17" s="10">
        <v>18043.199999999997</v>
      </c>
      <c r="I17" s="9">
        <v>20160</v>
      </c>
      <c r="J17" s="10">
        <v>14112</v>
      </c>
      <c r="K17" s="9">
        <v>22660</v>
      </c>
      <c r="L17" s="10">
        <v>15861.999999999998</v>
      </c>
      <c r="M17" s="9">
        <v>16679</v>
      </c>
      <c r="N17" s="10">
        <v>11675.3</v>
      </c>
      <c r="O17" s="9">
        <v>12936</v>
      </c>
      <c r="P17" s="10">
        <v>9055.1999999999989</v>
      </c>
      <c r="Q17" s="9">
        <v>12696</v>
      </c>
      <c r="R17" s="10">
        <v>8887.1999999999989</v>
      </c>
      <c r="S17" s="9">
        <v>14820</v>
      </c>
      <c r="T17" s="10">
        <v>10374</v>
      </c>
      <c r="U17" s="9">
        <v>24228</v>
      </c>
      <c r="V17" s="10">
        <v>16959.599999999999</v>
      </c>
      <c r="W17" s="9">
        <v>9156</v>
      </c>
      <c r="X17" s="10">
        <v>6409.2</v>
      </c>
      <c r="Y17" s="9">
        <v>8520</v>
      </c>
      <c r="Z17" s="10">
        <v>5964</v>
      </c>
      <c r="AA17" s="9">
        <v>10776</v>
      </c>
      <c r="AB17" s="10">
        <v>7543.2</v>
      </c>
      <c r="AC17" s="9">
        <v>8832</v>
      </c>
      <c r="AD17" s="10">
        <v>6182.4</v>
      </c>
      <c r="AE17" s="11">
        <v>15603.25</v>
      </c>
      <c r="AF17" s="12">
        <v>10922.275</v>
      </c>
      <c r="AG17" s="9">
        <v>10740</v>
      </c>
      <c r="AH17" s="10">
        <v>7517.9999999999991</v>
      </c>
      <c r="AI17" s="9">
        <v>5988</v>
      </c>
      <c r="AJ17" s="10">
        <v>4191.5999999999995</v>
      </c>
      <c r="AK17" s="9">
        <v>9600</v>
      </c>
      <c r="AL17" s="10">
        <v>6720</v>
      </c>
      <c r="AM17" s="9">
        <v>6972</v>
      </c>
      <c r="AN17" s="10">
        <v>4880.3999999999996</v>
      </c>
      <c r="AO17" s="9">
        <v>6840</v>
      </c>
      <c r="AP17" s="10">
        <v>4788</v>
      </c>
      <c r="AQ17" s="9">
        <v>7380</v>
      </c>
      <c r="AR17" s="10">
        <v>5166</v>
      </c>
      <c r="AS17" s="9">
        <v>4404</v>
      </c>
      <c r="AT17" s="10">
        <v>3082.7999999999997</v>
      </c>
      <c r="AU17" s="9">
        <v>6624</v>
      </c>
      <c r="AV17" s="10">
        <v>4636.7999999999993</v>
      </c>
      <c r="AW17" s="9">
        <v>4282</v>
      </c>
      <c r="AX17" s="10">
        <v>2997.3999999999996</v>
      </c>
      <c r="AY17" s="9">
        <v>6540</v>
      </c>
      <c r="AZ17" s="10">
        <v>4578</v>
      </c>
      <c r="BA17" s="9">
        <v>5640</v>
      </c>
      <c r="BB17" s="10">
        <v>3947.9999999999995</v>
      </c>
      <c r="BC17" s="9">
        <v>5580</v>
      </c>
      <c r="BD17" s="10">
        <v>3905.9999999999995</v>
      </c>
      <c r="BE17" s="11">
        <v>6715.833333333333</v>
      </c>
      <c r="BF17" s="12">
        <v>4701.083333333333</v>
      </c>
      <c r="BG17" s="9">
        <v>6204</v>
      </c>
      <c r="BH17" s="10">
        <v>4342.7999999999993</v>
      </c>
      <c r="BI17" s="9">
        <v>5268</v>
      </c>
      <c r="BJ17" s="10">
        <v>3687.6</v>
      </c>
      <c r="BK17" s="9">
        <v>4440</v>
      </c>
      <c r="BL17" s="10">
        <v>3108</v>
      </c>
      <c r="BM17" s="9">
        <v>3996</v>
      </c>
      <c r="BN17" s="10">
        <v>2797.2</v>
      </c>
      <c r="BO17" s="9">
        <v>2436</v>
      </c>
      <c r="BP17" s="10">
        <v>1705.1999999999998</v>
      </c>
      <c r="BQ17" s="9">
        <v>4006</v>
      </c>
      <c r="BR17" s="10">
        <v>2804.2</v>
      </c>
      <c r="BS17" s="9">
        <v>4020</v>
      </c>
      <c r="BT17" s="10">
        <v>2814</v>
      </c>
      <c r="BU17" s="9">
        <v>3900</v>
      </c>
      <c r="BV17" s="10">
        <v>2730</v>
      </c>
      <c r="BW17" s="9">
        <v>4788</v>
      </c>
      <c r="BX17" s="10">
        <v>3351.6</v>
      </c>
      <c r="BY17" s="9">
        <v>4680</v>
      </c>
      <c r="BZ17" s="10">
        <v>3276</v>
      </c>
      <c r="CA17" s="9">
        <v>4452</v>
      </c>
      <c r="CB17" s="10">
        <v>3116.3999999999996</v>
      </c>
      <c r="CC17" s="9">
        <v>5232</v>
      </c>
      <c r="CD17" s="10">
        <v>3662.3999999999996</v>
      </c>
      <c r="CE17" s="19">
        <f t="shared" si="15"/>
        <v>4380.909090909091</v>
      </c>
      <c r="CF17" s="10">
        <f t="shared" si="16"/>
        <v>3066.6363636363635</v>
      </c>
      <c r="CG17" s="11">
        <v>4451.833333333333</v>
      </c>
      <c r="CH17" s="12">
        <v>3116.2833333333328</v>
      </c>
      <c r="CI17" s="15">
        <v>0.55282110989526745</v>
      </c>
      <c r="CJ17" s="15"/>
      <c r="CK17" s="14">
        <v>4836</v>
      </c>
      <c r="CL17" s="10">
        <v>3385.2</v>
      </c>
      <c r="CM17" s="14">
        <v>3924</v>
      </c>
      <c r="CN17" s="15">
        <v>2746.7999999999997</v>
      </c>
      <c r="CO17" s="14">
        <v>6216</v>
      </c>
      <c r="CP17" s="15">
        <v>4351.2</v>
      </c>
      <c r="CQ17" s="14">
        <v>1416</v>
      </c>
      <c r="CR17" s="15">
        <v>991.19999999999993</v>
      </c>
      <c r="CS17" s="14">
        <v>2400</v>
      </c>
      <c r="CT17" s="15">
        <v>1680</v>
      </c>
      <c r="CU17" s="14">
        <v>4740</v>
      </c>
      <c r="CV17" s="15">
        <v>3318</v>
      </c>
      <c r="CW17" s="14">
        <v>4320</v>
      </c>
      <c r="CX17" s="15">
        <v>3024</v>
      </c>
      <c r="CY17" s="14">
        <v>3120</v>
      </c>
      <c r="CZ17" s="15">
        <v>2184</v>
      </c>
      <c r="DA17" s="14">
        <v>1824</v>
      </c>
      <c r="DB17" s="15">
        <v>1276.8</v>
      </c>
      <c r="DC17" s="14">
        <v>4923</v>
      </c>
      <c r="DD17" s="15">
        <v>3446.1</v>
      </c>
      <c r="DE17" s="14">
        <v>2664</v>
      </c>
      <c r="DF17" s="15">
        <v>1864.8</v>
      </c>
      <c r="DG17" s="14">
        <v>4852</v>
      </c>
      <c r="DH17" s="15">
        <v>3396.3999999999996</v>
      </c>
      <c r="DI17" s="16">
        <f t="shared" si="17"/>
        <v>45235</v>
      </c>
      <c r="DJ17" s="16">
        <f t="shared" si="18"/>
        <v>31664.5</v>
      </c>
      <c r="DK17" s="16">
        <f t="shared" si="19"/>
        <v>4380</v>
      </c>
      <c r="DL17" s="17">
        <f t="shared" si="20"/>
        <v>3066</v>
      </c>
      <c r="DM17" s="68">
        <f t="shared" si="2"/>
        <v>3769.5833333333335</v>
      </c>
      <c r="DN17" s="294">
        <f t="shared" si="3"/>
        <v>2638.7083333333335</v>
      </c>
      <c r="DO17" s="69">
        <f>DN17/$DN$57%</f>
        <v>0.44599348737814626</v>
      </c>
      <c r="DP17" s="14">
        <v>3300</v>
      </c>
      <c r="DQ17" s="10">
        <v>2310</v>
      </c>
      <c r="DR17" s="9">
        <v>2844</v>
      </c>
      <c r="DS17" s="10">
        <v>1990.8</v>
      </c>
      <c r="DT17" s="14"/>
      <c r="DU17" s="15"/>
      <c r="DV17" s="14"/>
      <c r="DW17" s="15"/>
      <c r="DX17" s="14"/>
      <c r="DY17" s="15"/>
      <c r="DZ17" s="14"/>
      <c r="EA17" s="15"/>
      <c r="EB17" s="14"/>
      <c r="EC17" s="15"/>
      <c r="ED17" s="14"/>
      <c r="EE17" s="15"/>
      <c r="EF17" s="14"/>
      <c r="EG17" s="15"/>
      <c r="EH17" s="14"/>
      <c r="EI17" s="15"/>
      <c r="EJ17" s="14"/>
      <c r="EK17" s="15"/>
      <c r="EL17" s="14"/>
      <c r="EM17" s="15"/>
      <c r="EN17" s="16">
        <f t="shared" si="35"/>
        <v>6144</v>
      </c>
      <c r="EO17" s="16">
        <f t="shared" si="36"/>
        <v>4300.8</v>
      </c>
      <c r="EP17" s="68">
        <f t="shared" si="5"/>
        <v>3072</v>
      </c>
      <c r="EQ17" s="294">
        <f t="shared" si="6"/>
        <v>2150.4</v>
      </c>
      <c r="ER17" s="535">
        <f t="shared" si="0"/>
        <v>0.41535888367355256</v>
      </c>
      <c r="ES17" s="522">
        <f t="shared" si="7"/>
        <v>-3.0634603704593699E-2</v>
      </c>
      <c r="ET17" s="522">
        <f t="shared" si="8"/>
        <v>-29.863013698630141</v>
      </c>
      <c r="EU17" s="522">
        <f t="shared" si="9"/>
        <v>-18.505581960871012</v>
      </c>
      <c r="EV17" s="522">
        <f t="shared" si="10"/>
        <v>-488.30833333333339</v>
      </c>
      <c r="EW17" s="523">
        <f t="shared" si="11"/>
        <v>-915.59999999999991</v>
      </c>
      <c r="EX17" s="522">
        <f t="shared" si="12"/>
        <v>-34.87916666666667</v>
      </c>
      <c r="EY17" s="522">
        <f t="shared" si="13"/>
        <v>-65.399999999999991</v>
      </c>
      <c r="EZ17" s="522">
        <f t="shared" si="14"/>
        <v>-130.79999999999998</v>
      </c>
    </row>
    <row r="18" spans="1:156">
      <c r="A18" s="7">
        <v>11</v>
      </c>
      <c r="B18" s="8" t="s">
        <v>28</v>
      </c>
      <c r="C18" s="8" t="s">
        <v>14</v>
      </c>
      <c r="D18" s="7">
        <v>0.68</v>
      </c>
      <c r="E18" s="7" t="s">
        <v>15</v>
      </c>
      <c r="F18" s="7">
        <v>1500</v>
      </c>
      <c r="G18" s="9"/>
      <c r="H18" s="10">
        <v>0</v>
      </c>
      <c r="I18" s="9"/>
      <c r="J18" s="10">
        <v>0</v>
      </c>
      <c r="K18" s="9"/>
      <c r="L18" s="10">
        <v>0</v>
      </c>
      <c r="M18" s="9"/>
      <c r="N18" s="10">
        <v>0</v>
      </c>
      <c r="O18" s="9"/>
      <c r="P18" s="10">
        <v>0</v>
      </c>
      <c r="Q18" s="9"/>
      <c r="R18" s="10">
        <v>0</v>
      </c>
      <c r="S18" s="9"/>
      <c r="T18" s="10">
        <v>0</v>
      </c>
      <c r="U18" s="9"/>
      <c r="V18" s="10">
        <v>0</v>
      </c>
      <c r="W18" s="9"/>
      <c r="X18" s="10">
        <v>0</v>
      </c>
      <c r="Y18" s="9"/>
      <c r="Z18" s="10">
        <v>0</v>
      </c>
      <c r="AA18" s="9"/>
      <c r="AB18" s="10">
        <v>0</v>
      </c>
      <c r="AC18" s="9"/>
      <c r="AD18" s="10">
        <v>0</v>
      </c>
      <c r="AE18" s="11">
        <v>0</v>
      </c>
      <c r="AF18" s="12">
        <v>0</v>
      </c>
      <c r="AG18" s="9"/>
      <c r="AH18" s="10">
        <v>0</v>
      </c>
      <c r="AI18" s="9"/>
      <c r="AJ18" s="10">
        <v>0</v>
      </c>
      <c r="AK18" s="9"/>
      <c r="AL18" s="10">
        <v>0</v>
      </c>
      <c r="AM18" s="9"/>
      <c r="AN18" s="10">
        <v>0</v>
      </c>
      <c r="AO18" s="9"/>
      <c r="AP18" s="10">
        <v>0</v>
      </c>
      <c r="AQ18" s="9"/>
      <c r="AR18" s="10">
        <v>0</v>
      </c>
      <c r="AS18" s="9"/>
      <c r="AT18" s="10">
        <v>0</v>
      </c>
      <c r="AU18" s="9">
        <v>264</v>
      </c>
      <c r="AV18" s="10">
        <v>179.52</v>
      </c>
      <c r="AW18" s="9">
        <v>1668</v>
      </c>
      <c r="AX18" s="10">
        <v>1134.24</v>
      </c>
      <c r="AY18" s="9">
        <v>4235</v>
      </c>
      <c r="AZ18" s="10">
        <v>2879.8</v>
      </c>
      <c r="BA18" s="9">
        <v>576</v>
      </c>
      <c r="BB18" s="10">
        <v>391.68</v>
      </c>
      <c r="BC18" s="9">
        <v>324</v>
      </c>
      <c r="BD18" s="10">
        <v>220.32000000000002</v>
      </c>
      <c r="BE18" s="11">
        <v>588.91666666666663</v>
      </c>
      <c r="BF18" s="12">
        <v>400.46333333333331</v>
      </c>
      <c r="BG18" s="9">
        <v>1200</v>
      </c>
      <c r="BH18" s="10">
        <v>816.00000000000011</v>
      </c>
      <c r="BI18" s="9">
        <v>611</v>
      </c>
      <c r="BJ18" s="10">
        <v>415.48</v>
      </c>
      <c r="BK18" s="9">
        <v>1647</v>
      </c>
      <c r="BL18" s="10">
        <v>1119.96</v>
      </c>
      <c r="BM18" s="9">
        <v>1038</v>
      </c>
      <c r="BN18" s="10">
        <v>705.84</v>
      </c>
      <c r="BO18" s="9">
        <v>283</v>
      </c>
      <c r="BP18" s="10">
        <v>192.44000000000003</v>
      </c>
      <c r="BQ18" s="9">
        <v>674</v>
      </c>
      <c r="BR18" s="10">
        <v>458.32000000000005</v>
      </c>
      <c r="BS18" s="9">
        <v>670</v>
      </c>
      <c r="BT18" s="10">
        <v>455.6</v>
      </c>
      <c r="BU18" s="9">
        <v>624</v>
      </c>
      <c r="BV18" s="10">
        <v>424.32000000000005</v>
      </c>
      <c r="BW18" s="9">
        <v>984</v>
      </c>
      <c r="BX18" s="10">
        <v>669.12</v>
      </c>
      <c r="BY18" s="9">
        <v>712</v>
      </c>
      <c r="BZ18" s="10">
        <v>484.16</v>
      </c>
      <c r="CA18" s="9">
        <v>528</v>
      </c>
      <c r="CB18" s="10">
        <v>359.04</v>
      </c>
      <c r="CC18" s="9">
        <v>492</v>
      </c>
      <c r="CD18" s="10">
        <v>334.56</v>
      </c>
      <c r="CE18" s="19">
        <f t="shared" si="15"/>
        <v>815.5454545454545</v>
      </c>
      <c r="CF18" s="10">
        <f t="shared" si="16"/>
        <v>554.57090909090903</v>
      </c>
      <c r="CG18" s="11">
        <v>788.58333333333337</v>
      </c>
      <c r="CH18" s="12">
        <v>536.23666666666668</v>
      </c>
      <c r="CI18" s="15">
        <v>9.5127084903449718E-2</v>
      </c>
      <c r="CJ18" s="15"/>
      <c r="CK18" s="14">
        <v>360</v>
      </c>
      <c r="CL18" s="10">
        <v>244.8</v>
      </c>
      <c r="CM18" s="14">
        <v>360</v>
      </c>
      <c r="CN18" s="15">
        <v>244.8</v>
      </c>
      <c r="CO18" s="14">
        <v>240</v>
      </c>
      <c r="CP18" s="15">
        <v>163.20000000000002</v>
      </c>
      <c r="CQ18" s="14">
        <v>1116</v>
      </c>
      <c r="CR18" s="15">
        <v>758.88000000000011</v>
      </c>
      <c r="CS18" s="14">
        <v>480</v>
      </c>
      <c r="CT18" s="15">
        <v>326.40000000000003</v>
      </c>
      <c r="CU18" s="14">
        <v>420</v>
      </c>
      <c r="CV18" s="15">
        <v>285.60000000000002</v>
      </c>
      <c r="CW18" s="14">
        <v>300</v>
      </c>
      <c r="CX18" s="15">
        <v>204.00000000000003</v>
      </c>
      <c r="CY18" s="14">
        <v>180</v>
      </c>
      <c r="CZ18" s="15">
        <v>122.4</v>
      </c>
      <c r="DA18" s="14">
        <v>540</v>
      </c>
      <c r="DB18" s="15">
        <v>367.20000000000005</v>
      </c>
      <c r="DC18" s="14">
        <v>96</v>
      </c>
      <c r="DD18" s="15">
        <v>65.28</v>
      </c>
      <c r="DE18" s="14">
        <v>96</v>
      </c>
      <c r="DF18" s="15">
        <v>65.28</v>
      </c>
      <c r="DG18" s="14">
        <v>72</v>
      </c>
      <c r="DH18" s="15">
        <v>48.96</v>
      </c>
      <c r="DI18" s="16">
        <f t="shared" si="17"/>
        <v>4260</v>
      </c>
      <c r="DJ18" s="16">
        <f t="shared" si="18"/>
        <v>2896.8000000000011</v>
      </c>
      <c r="DK18" s="16">
        <f t="shared" si="19"/>
        <v>360</v>
      </c>
      <c r="DL18" s="17">
        <f t="shared" si="20"/>
        <v>244.8</v>
      </c>
      <c r="DM18" s="68">
        <f t="shared" si="2"/>
        <v>355</v>
      </c>
      <c r="DN18" s="294">
        <f t="shared" si="3"/>
        <v>241.40000000000009</v>
      </c>
      <c r="DO18" s="69">
        <f>DN18/$DN$57%</f>
        <v>4.080133696211892E-2</v>
      </c>
      <c r="DP18" s="14">
        <v>96</v>
      </c>
      <c r="DQ18" s="10">
        <v>65.28</v>
      </c>
      <c r="DR18" s="9">
        <v>60</v>
      </c>
      <c r="DS18" s="10">
        <v>40.800000000000004</v>
      </c>
      <c r="DT18" s="14"/>
      <c r="DU18" s="15"/>
      <c r="DV18" s="14"/>
      <c r="DW18" s="15"/>
      <c r="DX18" s="14"/>
      <c r="DY18" s="15"/>
      <c r="DZ18" s="14"/>
      <c r="EA18" s="15"/>
      <c r="EB18" s="14"/>
      <c r="EC18" s="15"/>
      <c r="ED18" s="14"/>
      <c r="EE18" s="15"/>
      <c r="EF18" s="14"/>
      <c r="EG18" s="15"/>
      <c r="EH18" s="14"/>
      <c r="EI18" s="15"/>
      <c r="EJ18" s="14"/>
      <c r="EK18" s="15"/>
      <c r="EL18" s="14"/>
      <c r="EM18" s="15"/>
      <c r="EN18" s="16">
        <f t="shared" si="35"/>
        <v>156</v>
      </c>
      <c r="EO18" s="16">
        <f t="shared" si="36"/>
        <v>106.08000000000001</v>
      </c>
      <c r="EP18" s="68">
        <f t="shared" si="5"/>
        <v>78</v>
      </c>
      <c r="EQ18" s="294">
        <f t="shared" si="6"/>
        <v>53.040000000000006</v>
      </c>
      <c r="ER18" s="535">
        <f t="shared" si="0"/>
        <v>1.0244901037037402E-2</v>
      </c>
      <c r="ES18" s="522">
        <f t="shared" si="7"/>
        <v>-3.0556435925081518E-2</v>
      </c>
      <c r="ET18" s="522">
        <f t="shared" si="8"/>
        <v>-78.333333333333329</v>
      </c>
      <c r="EU18" s="522">
        <f t="shared" si="9"/>
        <v>-78.028169014084511</v>
      </c>
      <c r="EV18" s="522">
        <f t="shared" si="10"/>
        <v>-188.36000000000007</v>
      </c>
      <c r="EW18" s="523">
        <f t="shared" si="11"/>
        <v>-191.76</v>
      </c>
      <c r="EX18" s="522">
        <f t="shared" si="12"/>
        <v>-13.454285714285719</v>
      </c>
      <c r="EY18" s="522">
        <f t="shared" si="13"/>
        <v>-13.697142857142856</v>
      </c>
      <c r="EZ18" s="522">
        <f t="shared" si="14"/>
        <v>-27.394285714285711</v>
      </c>
    </row>
    <row r="19" spans="1:156">
      <c r="A19" s="7">
        <v>12</v>
      </c>
      <c r="B19" s="8" t="s">
        <v>27</v>
      </c>
      <c r="C19" s="8" t="s">
        <v>14</v>
      </c>
      <c r="D19" s="7">
        <v>0.64</v>
      </c>
      <c r="E19" s="7" t="s">
        <v>20</v>
      </c>
      <c r="F19" s="7">
        <v>1230</v>
      </c>
      <c r="G19" s="9">
        <v>39676</v>
      </c>
      <c r="H19" s="10">
        <v>25392.639999999999</v>
      </c>
      <c r="I19" s="9">
        <v>47110</v>
      </c>
      <c r="J19" s="10">
        <v>30150.400000000001</v>
      </c>
      <c r="K19" s="9">
        <v>48888</v>
      </c>
      <c r="L19" s="10">
        <v>31288.32</v>
      </c>
      <c r="M19" s="9">
        <v>33124</v>
      </c>
      <c r="N19" s="10">
        <v>21199.360000000001</v>
      </c>
      <c r="O19" s="9">
        <v>38360</v>
      </c>
      <c r="P19" s="10">
        <v>24550.400000000001</v>
      </c>
      <c r="Q19" s="9">
        <v>36918</v>
      </c>
      <c r="R19" s="10">
        <v>23627.52</v>
      </c>
      <c r="S19" s="9">
        <v>42098</v>
      </c>
      <c r="T19" s="10">
        <v>26942.720000000001</v>
      </c>
      <c r="U19" s="9">
        <v>45248</v>
      </c>
      <c r="V19" s="10">
        <v>28958.720000000001</v>
      </c>
      <c r="W19" s="9">
        <v>37324</v>
      </c>
      <c r="X19" s="10">
        <v>23887.360000000001</v>
      </c>
      <c r="Y19" s="9">
        <v>43708</v>
      </c>
      <c r="Z19" s="10">
        <v>27973.119999999999</v>
      </c>
      <c r="AA19" s="9">
        <v>44828</v>
      </c>
      <c r="AB19" s="10">
        <v>28689.920000000002</v>
      </c>
      <c r="AC19" s="9">
        <v>54670</v>
      </c>
      <c r="AD19" s="10">
        <v>34988.800000000003</v>
      </c>
      <c r="AE19" s="11">
        <v>42662.666666666664</v>
      </c>
      <c r="AF19" s="12">
        <v>27304.106666666667</v>
      </c>
      <c r="AG19" s="9">
        <v>53162</v>
      </c>
      <c r="AH19" s="10">
        <v>34023.68</v>
      </c>
      <c r="AI19" s="9">
        <v>47572</v>
      </c>
      <c r="AJ19" s="10">
        <v>30446.080000000002</v>
      </c>
      <c r="AK19" s="9">
        <v>52598</v>
      </c>
      <c r="AL19" s="10">
        <v>33662.720000000001</v>
      </c>
      <c r="AM19" s="9">
        <v>43540</v>
      </c>
      <c r="AN19" s="10">
        <v>27865.600000000002</v>
      </c>
      <c r="AO19" s="9">
        <v>34048</v>
      </c>
      <c r="AP19" s="10">
        <v>21790.720000000001</v>
      </c>
      <c r="AQ19" s="9">
        <v>44774</v>
      </c>
      <c r="AR19" s="10">
        <v>28655.360000000001</v>
      </c>
      <c r="AS19" s="9">
        <v>48580</v>
      </c>
      <c r="AT19" s="10">
        <v>31091.200000000001</v>
      </c>
      <c r="AU19" s="9">
        <v>50008</v>
      </c>
      <c r="AV19" s="10">
        <v>32005.119999999999</v>
      </c>
      <c r="AW19" s="9">
        <v>46382</v>
      </c>
      <c r="AX19" s="10">
        <v>29684.48</v>
      </c>
      <c r="AY19" s="9">
        <v>41111</v>
      </c>
      <c r="AZ19" s="10">
        <v>26311.040000000001</v>
      </c>
      <c r="BA19" s="9">
        <v>53928</v>
      </c>
      <c r="BB19" s="10">
        <v>34513.919999999998</v>
      </c>
      <c r="BC19" s="9">
        <v>67326</v>
      </c>
      <c r="BD19" s="10">
        <v>43088.639999999999</v>
      </c>
      <c r="BE19" s="11">
        <v>48585.75</v>
      </c>
      <c r="BF19" s="12">
        <v>31094.880000000001</v>
      </c>
      <c r="BG19" s="9">
        <v>58324</v>
      </c>
      <c r="BH19" s="10">
        <v>37327.360000000001</v>
      </c>
      <c r="BI19" s="9">
        <v>52393</v>
      </c>
      <c r="BJ19" s="10">
        <v>33531.520000000004</v>
      </c>
      <c r="BK19" s="9">
        <v>52290</v>
      </c>
      <c r="BL19" s="10">
        <v>33465.599999999999</v>
      </c>
      <c r="BM19" s="9">
        <v>51660</v>
      </c>
      <c r="BN19" s="10">
        <v>33062.400000000001</v>
      </c>
      <c r="BO19" s="9">
        <v>50582</v>
      </c>
      <c r="BP19" s="10">
        <v>32372.48</v>
      </c>
      <c r="BQ19" s="9">
        <v>50162</v>
      </c>
      <c r="BR19" s="10">
        <v>32103.68</v>
      </c>
      <c r="BS19" s="9">
        <v>47579</v>
      </c>
      <c r="BT19" s="10">
        <v>30450.560000000001</v>
      </c>
      <c r="BU19" s="9">
        <v>54922</v>
      </c>
      <c r="BV19" s="10">
        <v>35150.080000000002</v>
      </c>
      <c r="BW19" s="9">
        <v>54362</v>
      </c>
      <c r="BX19" s="10">
        <v>34791.68</v>
      </c>
      <c r="BY19" s="9">
        <v>53634</v>
      </c>
      <c r="BZ19" s="10">
        <v>34325.760000000002</v>
      </c>
      <c r="CA19" s="9">
        <v>53928</v>
      </c>
      <c r="CB19" s="10">
        <v>34513.919999999998</v>
      </c>
      <c r="CC19" s="9">
        <v>54544</v>
      </c>
      <c r="CD19" s="10">
        <v>34908.160000000003</v>
      </c>
      <c r="CE19" s="19">
        <f t="shared" si="15"/>
        <v>52712.36363636364</v>
      </c>
      <c r="CF19" s="10">
        <f t="shared" si="16"/>
        <v>33735.912727272727</v>
      </c>
      <c r="CG19" s="11">
        <v>52865</v>
      </c>
      <c r="CH19" s="12">
        <v>33833.599999999999</v>
      </c>
      <c r="CI19" s="15">
        <v>6.0019986320518113</v>
      </c>
      <c r="CJ19" s="15"/>
      <c r="CK19" s="14">
        <v>57739</v>
      </c>
      <c r="CL19" s="10">
        <v>36952.959999999999</v>
      </c>
      <c r="CM19" s="14">
        <v>45556</v>
      </c>
      <c r="CN19" s="15">
        <v>29155.84</v>
      </c>
      <c r="CO19" s="14">
        <v>63224</v>
      </c>
      <c r="CP19" s="15">
        <v>40463.360000000001</v>
      </c>
      <c r="CQ19" s="14">
        <v>50397</v>
      </c>
      <c r="CR19" s="15">
        <v>32254.080000000002</v>
      </c>
      <c r="CS19" s="14">
        <v>50260</v>
      </c>
      <c r="CT19" s="15">
        <v>32166.400000000001</v>
      </c>
      <c r="CU19" s="14">
        <v>51932</v>
      </c>
      <c r="CV19" s="15">
        <v>33236.480000000003</v>
      </c>
      <c r="CW19" s="14">
        <v>43064</v>
      </c>
      <c r="CX19" s="15">
        <v>27560.959999999999</v>
      </c>
      <c r="CY19" s="14">
        <v>45798</v>
      </c>
      <c r="CZ19" s="15">
        <v>29310.720000000001</v>
      </c>
      <c r="DA19" s="14">
        <v>44562</v>
      </c>
      <c r="DB19" s="15">
        <v>28519.68</v>
      </c>
      <c r="DC19" s="14">
        <v>51382</v>
      </c>
      <c r="DD19" s="15">
        <v>32884.480000000003</v>
      </c>
      <c r="DE19" s="14">
        <v>49140</v>
      </c>
      <c r="DF19" s="15">
        <v>31449.600000000002</v>
      </c>
      <c r="DG19" s="14">
        <v>69160</v>
      </c>
      <c r="DH19" s="15">
        <v>44262.400000000001</v>
      </c>
      <c r="DI19" s="16">
        <f t="shared" si="17"/>
        <v>622214</v>
      </c>
      <c r="DJ19" s="16">
        <f t="shared" si="18"/>
        <v>398216.95999999996</v>
      </c>
      <c r="DK19" s="16">
        <f t="shared" si="19"/>
        <v>51647.5</v>
      </c>
      <c r="DL19" s="17">
        <f t="shared" si="20"/>
        <v>33054.400000000001</v>
      </c>
      <c r="DM19" s="68">
        <f t="shared" si="2"/>
        <v>51851.166666666664</v>
      </c>
      <c r="DN19" s="294">
        <f t="shared" si="3"/>
        <v>33184.746666666666</v>
      </c>
      <c r="DO19" s="69">
        <f>DN19/$DN$57%</f>
        <v>5.6088733668153221</v>
      </c>
      <c r="DP19" s="14">
        <v>47432</v>
      </c>
      <c r="DQ19" s="10">
        <v>30356.48</v>
      </c>
      <c r="DR19" s="9">
        <v>37828</v>
      </c>
      <c r="DS19" s="10">
        <v>24209.920000000002</v>
      </c>
      <c r="DT19" s="14"/>
      <c r="DU19" s="15"/>
      <c r="DV19" s="14"/>
      <c r="DW19" s="15"/>
      <c r="DX19" s="14"/>
      <c r="DY19" s="15"/>
      <c r="DZ19" s="14"/>
      <c r="EA19" s="15"/>
      <c r="EB19" s="14"/>
      <c r="EC19" s="15"/>
      <c r="ED19" s="14"/>
      <c r="EE19" s="15"/>
      <c r="EF19" s="14"/>
      <c r="EG19" s="15"/>
      <c r="EH19" s="14"/>
      <c r="EI19" s="15"/>
      <c r="EJ19" s="14"/>
      <c r="EK19" s="15"/>
      <c r="EL19" s="14"/>
      <c r="EM19" s="15"/>
      <c r="EN19" s="16">
        <f t="shared" si="35"/>
        <v>85260</v>
      </c>
      <c r="EO19" s="16">
        <f t="shared" si="36"/>
        <v>54566.400000000001</v>
      </c>
      <c r="EP19" s="68">
        <f t="shared" si="5"/>
        <v>42630</v>
      </c>
      <c r="EQ19" s="294">
        <f t="shared" si="6"/>
        <v>27283.200000000001</v>
      </c>
      <c r="ER19" s="535">
        <f t="shared" si="0"/>
        <v>5.2698658366081981</v>
      </c>
      <c r="ES19" s="522">
        <f t="shared" si="7"/>
        <v>-0.33900753020712404</v>
      </c>
      <c r="ET19" s="522">
        <f t="shared" si="8"/>
        <v>-17.459702792971584</v>
      </c>
      <c r="EU19" s="522">
        <f t="shared" si="9"/>
        <v>-17.783913573143636</v>
      </c>
      <c r="EV19" s="522">
        <f t="shared" si="10"/>
        <v>-5901.5466666666653</v>
      </c>
      <c r="EW19" s="523">
        <f t="shared" si="11"/>
        <v>-5771.2000000000007</v>
      </c>
      <c r="EX19" s="522">
        <f t="shared" si="12"/>
        <v>-421.53904761904749</v>
      </c>
      <c r="EY19" s="522">
        <f t="shared" si="13"/>
        <v>-412.22857142857146</v>
      </c>
      <c r="EZ19" s="522">
        <f t="shared" si="14"/>
        <v>-824.45714285714291</v>
      </c>
    </row>
    <row r="20" spans="1:156">
      <c r="A20" s="7">
        <v>13</v>
      </c>
      <c r="B20" s="8" t="s">
        <v>29</v>
      </c>
      <c r="C20" s="8" t="s">
        <v>14</v>
      </c>
      <c r="D20" s="7">
        <v>0.64</v>
      </c>
      <c r="E20" s="7" t="s">
        <v>20</v>
      </c>
      <c r="F20" s="7">
        <v>1500</v>
      </c>
      <c r="G20" s="9"/>
      <c r="H20" s="10">
        <v>0</v>
      </c>
      <c r="I20" s="9"/>
      <c r="J20" s="10">
        <v>0</v>
      </c>
      <c r="K20" s="9"/>
      <c r="L20" s="10">
        <v>0</v>
      </c>
      <c r="M20" s="9"/>
      <c r="N20" s="10">
        <v>0</v>
      </c>
      <c r="O20" s="9"/>
      <c r="P20" s="10">
        <v>0</v>
      </c>
      <c r="Q20" s="9"/>
      <c r="R20" s="10">
        <v>0</v>
      </c>
      <c r="S20" s="9"/>
      <c r="T20" s="10">
        <v>0</v>
      </c>
      <c r="U20" s="9"/>
      <c r="V20" s="10">
        <v>0</v>
      </c>
      <c r="W20" s="9"/>
      <c r="X20" s="10">
        <v>0</v>
      </c>
      <c r="Y20" s="9"/>
      <c r="Z20" s="10">
        <v>0</v>
      </c>
      <c r="AA20" s="9"/>
      <c r="AB20" s="10">
        <v>0</v>
      </c>
      <c r="AC20" s="9"/>
      <c r="AD20" s="10">
        <v>0</v>
      </c>
      <c r="AE20" s="11">
        <v>0</v>
      </c>
      <c r="AF20" s="12">
        <v>0</v>
      </c>
      <c r="AG20" s="9"/>
      <c r="AH20" s="10">
        <v>0</v>
      </c>
      <c r="AI20" s="9"/>
      <c r="AJ20" s="10">
        <v>0</v>
      </c>
      <c r="AK20" s="9"/>
      <c r="AL20" s="10">
        <v>0</v>
      </c>
      <c r="AM20" s="9"/>
      <c r="AN20" s="10">
        <v>0</v>
      </c>
      <c r="AO20" s="9"/>
      <c r="AP20" s="10">
        <v>0</v>
      </c>
      <c r="AQ20" s="9"/>
      <c r="AR20" s="10">
        <v>0</v>
      </c>
      <c r="AS20" s="9"/>
      <c r="AT20" s="10">
        <v>0</v>
      </c>
      <c r="AU20" s="9"/>
      <c r="AV20" s="10">
        <v>0</v>
      </c>
      <c r="AW20" s="9"/>
      <c r="AX20" s="10">
        <v>0</v>
      </c>
      <c r="AY20" s="9"/>
      <c r="AZ20" s="10">
        <v>0</v>
      </c>
      <c r="BA20" s="9"/>
      <c r="BB20" s="10">
        <v>0</v>
      </c>
      <c r="BC20" s="9"/>
      <c r="BD20" s="10">
        <v>0</v>
      </c>
      <c r="BE20" s="11">
        <v>0</v>
      </c>
      <c r="BF20" s="12">
        <v>0</v>
      </c>
      <c r="BG20" s="9"/>
      <c r="BH20" s="10">
        <v>0</v>
      </c>
      <c r="BI20" s="9"/>
      <c r="BJ20" s="10">
        <v>0</v>
      </c>
      <c r="BK20" s="9">
        <v>1470</v>
      </c>
      <c r="BL20" s="10">
        <v>940.80000000000007</v>
      </c>
      <c r="BM20" s="9">
        <v>7000</v>
      </c>
      <c r="BN20" s="10">
        <v>4480</v>
      </c>
      <c r="BO20" s="9">
        <v>1826</v>
      </c>
      <c r="BP20" s="10">
        <v>1168.6400000000001</v>
      </c>
      <c r="BQ20" s="9">
        <v>2906</v>
      </c>
      <c r="BR20" s="10">
        <v>1859.8400000000001</v>
      </c>
      <c r="BS20" s="9">
        <v>3304</v>
      </c>
      <c r="BT20" s="10">
        <v>2114.56</v>
      </c>
      <c r="BU20" s="9">
        <v>3584</v>
      </c>
      <c r="BV20" s="10">
        <v>2293.7600000000002</v>
      </c>
      <c r="BW20" s="9">
        <v>1974</v>
      </c>
      <c r="BX20" s="10">
        <v>1263.3600000000001</v>
      </c>
      <c r="BY20" s="9">
        <v>3724</v>
      </c>
      <c r="BZ20" s="10">
        <v>2383.36</v>
      </c>
      <c r="CA20" s="9">
        <v>2646</v>
      </c>
      <c r="CB20" s="10">
        <v>1693.44</v>
      </c>
      <c r="CC20" s="9">
        <v>3262</v>
      </c>
      <c r="CD20" s="10">
        <v>2087.6799999999998</v>
      </c>
      <c r="CE20" s="19">
        <f t="shared" si="15"/>
        <v>2584.909090909091</v>
      </c>
      <c r="CF20" s="10">
        <f t="shared" si="16"/>
        <v>1654.3418181818181</v>
      </c>
      <c r="CG20" s="11">
        <v>2641.3333333333335</v>
      </c>
      <c r="CH20" s="12">
        <v>1690.4533333333334</v>
      </c>
      <c r="CI20" s="15">
        <v>0.29988232390919356</v>
      </c>
      <c r="CJ20" s="15">
        <v>6.95</v>
      </c>
      <c r="CK20" s="14">
        <v>3080</v>
      </c>
      <c r="CL20" s="10">
        <v>1971.2</v>
      </c>
      <c r="CM20" s="14">
        <v>2198</v>
      </c>
      <c r="CN20" s="15">
        <v>1406.72</v>
      </c>
      <c r="CO20" s="14">
        <v>1960</v>
      </c>
      <c r="CP20" s="15">
        <v>1254.4000000000001</v>
      </c>
      <c r="CQ20" s="14">
        <v>504</v>
      </c>
      <c r="CR20" s="15">
        <v>322.56</v>
      </c>
      <c r="CS20" s="14">
        <v>3220</v>
      </c>
      <c r="CT20" s="15">
        <v>2060.8000000000002</v>
      </c>
      <c r="CU20" s="14">
        <v>1764</v>
      </c>
      <c r="CV20" s="15">
        <v>1128.96</v>
      </c>
      <c r="CW20" s="14">
        <v>2086</v>
      </c>
      <c r="CX20" s="15">
        <v>1335.04</v>
      </c>
      <c r="CY20" s="14">
        <v>2310</v>
      </c>
      <c r="CZ20" s="15">
        <v>1478.4</v>
      </c>
      <c r="DA20" s="14">
        <v>3290</v>
      </c>
      <c r="DB20" s="15">
        <v>2105.6</v>
      </c>
      <c r="DC20" s="14">
        <v>2100</v>
      </c>
      <c r="DD20" s="15">
        <v>1344</v>
      </c>
      <c r="DE20" s="14">
        <v>3528</v>
      </c>
      <c r="DF20" s="15">
        <v>2257.92</v>
      </c>
      <c r="DG20" s="14">
        <v>3892</v>
      </c>
      <c r="DH20" s="15">
        <v>2490.88</v>
      </c>
      <c r="DI20" s="16">
        <f t="shared" si="17"/>
        <v>29932</v>
      </c>
      <c r="DJ20" s="16">
        <f t="shared" si="18"/>
        <v>19156.48</v>
      </c>
      <c r="DK20" s="16">
        <f t="shared" si="19"/>
        <v>2639</v>
      </c>
      <c r="DL20" s="17">
        <f t="shared" si="20"/>
        <v>1688.96</v>
      </c>
      <c r="DM20" s="68">
        <f t="shared" si="2"/>
        <v>2494.3333333333335</v>
      </c>
      <c r="DN20" s="294">
        <f t="shared" si="3"/>
        <v>1596.3733333333332</v>
      </c>
      <c r="DO20" s="69">
        <f>DN20/$DN$57%</f>
        <v>0.26981841876832763</v>
      </c>
      <c r="DP20" s="14">
        <v>1820</v>
      </c>
      <c r="DQ20" s="10">
        <v>1164.8</v>
      </c>
      <c r="DR20" s="9">
        <v>2982</v>
      </c>
      <c r="DS20" s="10">
        <v>1908.48</v>
      </c>
      <c r="DT20" s="14"/>
      <c r="DU20" s="15"/>
      <c r="DV20" s="14"/>
      <c r="DW20" s="15"/>
      <c r="DX20" s="14"/>
      <c r="DY20" s="15"/>
      <c r="DZ20" s="14"/>
      <c r="EA20" s="15"/>
      <c r="EB20" s="14"/>
      <c r="EC20" s="15"/>
      <c r="ED20" s="14"/>
      <c r="EE20" s="15"/>
      <c r="EF20" s="14"/>
      <c r="EG20" s="15"/>
      <c r="EH20" s="14"/>
      <c r="EI20" s="15"/>
      <c r="EJ20" s="14"/>
      <c r="EK20" s="15"/>
      <c r="EL20" s="14"/>
      <c r="EM20" s="15"/>
      <c r="EN20" s="16">
        <f t="shared" si="35"/>
        <v>4802</v>
      </c>
      <c r="EO20" s="16">
        <f t="shared" si="36"/>
        <v>3073.2799999999997</v>
      </c>
      <c r="EP20" s="68">
        <f t="shared" si="5"/>
        <v>2401</v>
      </c>
      <c r="EQ20" s="294">
        <f t="shared" si="6"/>
        <v>1536.6399999999999</v>
      </c>
      <c r="ER20" s="535">
        <f t="shared" si="0"/>
        <v>0.29680853562505943</v>
      </c>
      <c r="ES20" s="522">
        <f t="shared" si="7"/>
        <v>2.6990116856731805E-2</v>
      </c>
      <c r="ET20" s="522">
        <f t="shared" si="8"/>
        <v>-9.0185676392572987</v>
      </c>
      <c r="EU20" s="522">
        <f t="shared" si="9"/>
        <v>-3.741814780168383</v>
      </c>
      <c r="EV20" s="522">
        <f t="shared" si="10"/>
        <v>-59.733333333333348</v>
      </c>
      <c r="EW20" s="523">
        <f t="shared" si="11"/>
        <v>-152.32000000000016</v>
      </c>
      <c r="EX20" s="522">
        <f t="shared" si="12"/>
        <v>-4.2666666666666675</v>
      </c>
      <c r="EY20" s="522">
        <f t="shared" si="13"/>
        <v>-10.880000000000011</v>
      </c>
      <c r="EZ20" s="522">
        <f t="shared" si="14"/>
        <v>-21.760000000000023</v>
      </c>
    </row>
    <row r="21" spans="1:156" s="251" customFormat="1">
      <c r="A21" s="246"/>
      <c r="B21" s="247" t="s">
        <v>168</v>
      </c>
      <c r="C21" s="247"/>
      <c r="D21" s="246"/>
      <c r="E21" s="246"/>
      <c r="F21" s="246"/>
      <c r="G21" s="248"/>
      <c r="H21" s="249"/>
      <c r="I21" s="248"/>
      <c r="J21" s="249"/>
      <c r="K21" s="248"/>
      <c r="L21" s="249"/>
      <c r="M21" s="248"/>
      <c r="N21" s="249"/>
      <c r="O21" s="248"/>
      <c r="P21" s="249"/>
      <c r="Q21" s="248"/>
      <c r="R21" s="249"/>
      <c r="S21" s="248"/>
      <c r="T21" s="249"/>
      <c r="U21" s="248"/>
      <c r="V21" s="249"/>
      <c r="W21" s="248"/>
      <c r="X21" s="249"/>
      <c r="Y21" s="248"/>
      <c r="Z21" s="249"/>
      <c r="AA21" s="248"/>
      <c r="AB21" s="249"/>
      <c r="AC21" s="248"/>
      <c r="AD21" s="249"/>
      <c r="AE21" s="248"/>
      <c r="AF21" s="249"/>
      <c r="AG21" s="248"/>
      <c r="AH21" s="249"/>
      <c r="AI21" s="248"/>
      <c r="AJ21" s="249"/>
      <c r="AK21" s="248"/>
      <c r="AL21" s="249"/>
      <c r="AM21" s="248"/>
      <c r="AN21" s="249"/>
      <c r="AO21" s="248"/>
      <c r="AP21" s="249"/>
      <c r="AQ21" s="248"/>
      <c r="AR21" s="249"/>
      <c r="AS21" s="248"/>
      <c r="AT21" s="249"/>
      <c r="AU21" s="248"/>
      <c r="AV21" s="249"/>
      <c r="AW21" s="248"/>
      <c r="AX21" s="249"/>
      <c r="AY21" s="248"/>
      <c r="AZ21" s="249"/>
      <c r="BA21" s="248"/>
      <c r="BB21" s="249"/>
      <c r="BC21" s="248"/>
      <c r="BD21" s="249"/>
      <c r="BE21" s="248"/>
      <c r="BF21" s="249"/>
      <c r="BG21" s="248"/>
      <c r="BH21" s="249"/>
      <c r="BI21" s="248"/>
      <c r="BJ21" s="249"/>
      <c r="BK21" s="248"/>
      <c r="BL21" s="249"/>
      <c r="BM21" s="248"/>
      <c r="BN21" s="249"/>
      <c r="BO21" s="248"/>
      <c r="BP21" s="249"/>
      <c r="BQ21" s="248"/>
      <c r="BR21" s="249"/>
      <c r="BS21" s="248"/>
      <c r="BT21" s="249"/>
      <c r="BU21" s="248"/>
      <c r="BV21" s="249"/>
      <c r="BW21" s="248"/>
      <c r="BX21" s="249"/>
      <c r="BY21" s="248"/>
      <c r="BZ21" s="249"/>
      <c r="CA21" s="248"/>
      <c r="CB21" s="249"/>
      <c r="CC21" s="248"/>
      <c r="CD21" s="249"/>
      <c r="CE21" s="250">
        <f t="shared" ref="CE21:DJ21" si="37">SUM(CE16:CE20)</f>
        <v>60493.727272727272</v>
      </c>
      <c r="CF21" s="250">
        <f t="shared" si="37"/>
        <v>39011.461818181822</v>
      </c>
      <c r="CG21" s="250">
        <f t="shared" si="37"/>
        <v>60746.75</v>
      </c>
      <c r="CH21" s="250">
        <f t="shared" si="37"/>
        <v>39176.573333333326</v>
      </c>
      <c r="CI21" s="250">
        <f t="shared" si="37"/>
        <v>6.9498291507597223</v>
      </c>
      <c r="CJ21" s="250">
        <f t="shared" si="37"/>
        <v>6.95</v>
      </c>
      <c r="CK21" s="250">
        <f t="shared" si="37"/>
        <v>66015</v>
      </c>
      <c r="CL21" s="250">
        <f t="shared" si="37"/>
        <v>42554.159999999996</v>
      </c>
      <c r="CM21" s="250">
        <f t="shared" si="37"/>
        <v>52038</v>
      </c>
      <c r="CN21" s="250">
        <f t="shared" si="37"/>
        <v>33554.159999999996</v>
      </c>
      <c r="CO21" s="250">
        <f t="shared" si="37"/>
        <v>71640</v>
      </c>
      <c r="CP21" s="250">
        <f t="shared" si="37"/>
        <v>46232.160000000003</v>
      </c>
      <c r="CQ21" s="250">
        <f t="shared" si="37"/>
        <v>53433</v>
      </c>
      <c r="CR21" s="250">
        <f t="shared" si="37"/>
        <v>34326.720000000001</v>
      </c>
      <c r="CS21" s="250">
        <f t="shared" si="37"/>
        <v>57200</v>
      </c>
      <c r="CT21" s="250">
        <f t="shared" si="37"/>
        <v>37073.600000000006</v>
      </c>
      <c r="CU21" s="250">
        <f t="shared" si="37"/>
        <v>59996</v>
      </c>
      <c r="CV21" s="250">
        <f t="shared" si="37"/>
        <v>39109.040000000001</v>
      </c>
      <c r="CW21" s="250">
        <f t="shared" si="37"/>
        <v>49770</v>
      </c>
      <c r="CX21" s="250">
        <f t="shared" si="37"/>
        <v>32124</v>
      </c>
      <c r="CY21" s="250">
        <f t="shared" si="37"/>
        <v>51408</v>
      </c>
      <c r="CZ21" s="250">
        <f t="shared" si="37"/>
        <v>33095.520000000004</v>
      </c>
      <c r="DA21" s="250">
        <f t="shared" si="37"/>
        <v>50216</v>
      </c>
      <c r="DB21" s="250">
        <f t="shared" si="37"/>
        <v>32269.279999999999</v>
      </c>
      <c r="DC21" s="250">
        <f t="shared" si="37"/>
        <v>58501</v>
      </c>
      <c r="DD21" s="250">
        <f t="shared" si="37"/>
        <v>37739.86</v>
      </c>
      <c r="DE21" s="250">
        <f t="shared" si="37"/>
        <v>55428</v>
      </c>
      <c r="DF21" s="250">
        <f t="shared" si="37"/>
        <v>35637.599999999999</v>
      </c>
      <c r="DG21" s="250">
        <f t="shared" si="37"/>
        <v>77976</v>
      </c>
      <c r="DH21" s="250">
        <f t="shared" si="37"/>
        <v>50198.64</v>
      </c>
      <c r="DI21" s="250">
        <f t="shared" si="37"/>
        <v>703621</v>
      </c>
      <c r="DJ21" s="250">
        <f t="shared" si="37"/>
        <v>453914.73999999993</v>
      </c>
      <c r="DK21" s="669">
        <f t="shared" si="19"/>
        <v>59026.5</v>
      </c>
      <c r="DL21" s="670">
        <f t="shared" si="20"/>
        <v>38054.159999999996</v>
      </c>
      <c r="DM21" s="502">
        <f t="shared" si="2"/>
        <v>58635.083333333336</v>
      </c>
      <c r="DN21" s="503">
        <f t="shared" si="3"/>
        <v>37826.228333333325</v>
      </c>
      <c r="DO21" s="250">
        <f>SUM(DO16:DO20)</f>
        <v>6.3933748476983538</v>
      </c>
      <c r="DP21" s="250">
        <f t="shared" ref="DP21:EO21" si="38">SUM(DP16:DP20)</f>
        <v>52648</v>
      </c>
      <c r="DQ21" s="250">
        <f t="shared" si="38"/>
        <v>33896.559999999998</v>
      </c>
      <c r="DR21" s="250">
        <f t="shared" si="38"/>
        <v>43714</v>
      </c>
      <c r="DS21" s="250">
        <f t="shared" si="38"/>
        <v>28150</v>
      </c>
      <c r="DT21" s="250">
        <f t="shared" si="38"/>
        <v>0</v>
      </c>
      <c r="DU21" s="250">
        <f t="shared" si="38"/>
        <v>0</v>
      </c>
      <c r="DV21" s="250">
        <f t="shared" si="38"/>
        <v>0</v>
      </c>
      <c r="DW21" s="250">
        <f t="shared" si="38"/>
        <v>0</v>
      </c>
      <c r="DX21" s="250">
        <f t="shared" si="38"/>
        <v>0</v>
      </c>
      <c r="DY21" s="250">
        <f t="shared" si="38"/>
        <v>0</v>
      </c>
      <c r="DZ21" s="250">
        <f t="shared" si="38"/>
        <v>0</v>
      </c>
      <c r="EA21" s="250">
        <f t="shared" si="38"/>
        <v>0</v>
      </c>
      <c r="EB21" s="250">
        <f t="shared" si="38"/>
        <v>0</v>
      </c>
      <c r="EC21" s="250">
        <f t="shared" si="38"/>
        <v>0</v>
      </c>
      <c r="ED21" s="250">
        <f t="shared" si="38"/>
        <v>0</v>
      </c>
      <c r="EE21" s="250">
        <f t="shared" si="38"/>
        <v>0</v>
      </c>
      <c r="EF21" s="250">
        <f t="shared" si="38"/>
        <v>0</v>
      </c>
      <c r="EG21" s="250">
        <f t="shared" si="38"/>
        <v>0</v>
      </c>
      <c r="EH21" s="250">
        <f t="shared" si="38"/>
        <v>0</v>
      </c>
      <c r="EI21" s="250">
        <f t="shared" si="38"/>
        <v>0</v>
      </c>
      <c r="EJ21" s="250">
        <f t="shared" si="38"/>
        <v>0</v>
      </c>
      <c r="EK21" s="250">
        <f t="shared" si="38"/>
        <v>0</v>
      </c>
      <c r="EL21" s="250">
        <f t="shared" si="38"/>
        <v>0</v>
      </c>
      <c r="EM21" s="250">
        <f t="shared" si="38"/>
        <v>0</v>
      </c>
      <c r="EN21" s="250">
        <f t="shared" si="38"/>
        <v>96362</v>
      </c>
      <c r="EO21" s="250">
        <f t="shared" si="38"/>
        <v>62046.559999999998</v>
      </c>
      <c r="EP21" s="502">
        <f t="shared" si="5"/>
        <v>48181</v>
      </c>
      <c r="EQ21" s="503">
        <f t="shared" si="6"/>
        <v>31023.279999999999</v>
      </c>
      <c r="ER21" s="536">
        <f t="shared" si="0"/>
        <v>5.992278156943847</v>
      </c>
      <c r="ES21" s="537">
        <f t="shared" si="7"/>
        <v>-0.40109669075450682</v>
      </c>
      <c r="ET21" s="537">
        <f t="shared" si="8"/>
        <v>-18.475982652093748</v>
      </c>
      <c r="EU21" s="537">
        <f t="shared" si="9"/>
        <v>-17.984738719874997</v>
      </c>
      <c r="EV21" s="537">
        <f t="shared" si="10"/>
        <v>-6802.9483333333264</v>
      </c>
      <c r="EW21" s="538">
        <f t="shared" si="11"/>
        <v>-7030.8799999999974</v>
      </c>
      <c r="EX21" s="537">
        <f t="shared" si="12"/>
        <v>-485.92488095238048</v>
      </c>
      <c r="EY21" s="537">
        <f t="shared" si="13"/>
        <v>-502.20571428571412</v>
      </c>
      <c r="EZ21" s="537">
        <f t="shared" si="14"/>
        <v>-1004.4114285714282</v>
      </c>
    </row>
    <row r="22" spans="1:156">
      <c r="A22" s="7"/>
      <c r="B22" s="671" t="s">
        <v>1262</v>
      </c>
      <c r="C22" s="671" t="s">
        <v>16</v>
      </c>
      <c r="D22" s="671">
        <v>1</v>
      </c>
      <c r="E22" s="671" t="s">
        <v>15</v>
      </c>
      <c r="F22" s="7"/>
      <c r="G22" s="9"/>
      <c r="H22" s="10"/>
      <c r="I22" s="9"/>
      <c r="J22" s="10"/>
      <c r="K22" s="9"/>
      <c r="L22" s="10"/>
      <c r="M22" s="9"/>
      <c r="N22" s="10"/>
      <c r="O22" s="9"/>
      <c r="P22" s="10"/>
      <c r="Q22" s="9"/>
      <c r="R22" s="10"/>
      <c r="S22" s="9"/>
      <c r="T22" s="10"/>
      <c r="U22" s="9"/>
      <c r="V22" s="10"/>
      <c r="W22" s="9"/>
      <c r="X22" s="10"/>
      <c r="Y22" s="9"/>
      <c r="Z22" s="10"/>
      <c r="AA22" s="9"/>
      <c r="AB22" s="10"/>
      <c r="AC22" s="9"/>
      <c r="AD22" s="10"/>
      <c r="AE22" s="9"/>
      <c r="AF22" s="10"/>
      <c r="AG22" s="9"/>
      <c r="AH22" s="10"/>
      <c r="AI22" s="9"/>
      <c r="AJ22" s="10"/>
      <c r="AK22" s="9"/>
      <c r="AL22" s="10"/>
      <c r="AM22" s="9"/>
      <c r="AN22" s="10"/>
      <c r="AO22" s="9"/>
      <c r="AP22" s="10"/>
      <c r="AQ22" s="9"/>
      <c r="AR22" s="10"/>
      <c r="AS22" s="9"/>
      <c r="AT22" s="10"/>
      <c r="AU22" s="9"/>
      <c r="AV22" s="10"/>
      <c r="AW22" s="9"/>
      <c r="AX22" s="10"/>
      <c r="AY22" s="9"/>
      <c r="AZ22" s="10"/>
      <c r="BA22" s="9"/>
      <c r="BB22" s="10"/>
      <c r="BC22" s="9"/>
      <c r="BD22" s="10"/>
      <c r="BE22" s="9"/>
      <c r="BF22" s="10"/>
      <c r="BG22" s="9"/>
      <c r="BH22" s="10"/>
      <c r="BI22" s="9"/>
      <c r="BJ22" s="10"/>
      <c r="BK22" s="9"/>
      <c r="BL22" s="10"/>
      <c r="BM22" s="9"/>
      <c r="BN22" s="10"/>
      <c r="BO22" s="9"/>
      <c r="BP22" s="10"/>
      <c r="BQ22" s="9"/>
      <c r="BR22" s="10"/>
      <c r="BS22" s="9"/>
      <c r="BT22" s="10"/>
      <c r="BU22" s="9"/>
      <c r="BV22" s="10"/>
      <c r="BW22" s="9"/>
      <c r="BX22" s="10"/>
      <c r="BY22" s="9"/>
      <c r="BZ22" s="10"/>
      <c r="CA22" s="9"/>
      <c r="CB22" s="10"/>
      <c r="CC22" s="9"/>
      <c r="CD22" s="10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6"/>
      <c r="DL22" s="17"/>
      <c r="DM22" s="68">
        <f t="shared" ref="DM22" si="39">DI22/12</f>
        <v>0</v>
      </c>
      <c r="DN22" s="294">
        <f t="shared" ref="DN22" si="40">DJ22/12</f>
        <v>0</v>
      </c>
      <c r="DO22" s="19"/>
      <c r="DP22" s="19"/>
      <c r="DQ22" s="19"/>
      <c r="DR22" s="19">
        <v>486</v>
      </c>
      <c r="DS22" s="10">
        <v>486</v>
      </c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6">
        <f>DP22+DR22+DT22+DV22+DX22+DZ22+EB22+ED22+EF22+EH22+EJ22+EL22</f>
        <v>486</v>
      </c>
      <c r="EO22" s="16">
        <f t="shared" ref="EO22" si="41">DQ22+DS22+DU22+DW22+DY22+EA22+EC22+EE22+EG22+EI22+EK22+EM22</f>
        <v>486</v>
      </c>
      <c r="EP22" s="68">
        <f t="shared" ref="EP22" si="42">EN22/2</f>
        <v>243</v>
      </c>
      <c r="EQ22" s="294">
        <f t="shared" ref="EQ22" si="43">EO22/2</f>
        <v>243</v>
      </c>
      <c r="ER22" s="535">
        <f t="shared" si="0"/>
        <v>4.693648099547678E-2</v>
      </c>
      <c r="ES22" s="522">
        <f t="shared" ref="ES22" si="44">ER22-DO22</f>
        <v>4.693648099547678E-2</v>
      </c>
      <c r="ET22" s="522"/>
      <c r="EU22" s="522"/>
      <c r="EV22" s="522">
        <f t="shared" ref="EV22" si="45">EQ22-DN22</f>
        <v>243</v>
      </c>
      <c r="EW22" s="523">
        <f t="shared" ref="EW22" si="46">EQ22-DL22</f>
        <v>243</v>
      </c>
      <c r="EX22" s="522">
        <f t="shared" ref="EX22" si="47">EV22/14</f>
        <v>17.357142857142858</v>
      </c>
      <c r="EY22" s="522">
        <f t="shared" ref="EY22" si="48">EW22/14</f>
        <v>17.357142857142858</v>
      </c>
      <c r="EZ22" s="522">
        <f t="shared" si="14"/>
        <v>34.714285714285715</v>
      </c>
    </row>
    <row r="23" spans="1:156">
      <c r="A23" s="7">
        <v>14</v>
      </c>
      <c r="B23" s="8" t="s">
        <v>30</v>
      </c>
      <c r="C23" s="8" t="s">
        <v>14</v>
      </c>
      <c r="D23" s="7">
        <v>0.64</v>
      </c>
      <c r="E23" s="7" t="s">
        <v>20</v>
      </c>
      <c r="F23" s="7">
        <v>1270</v>
      </c>
      <c r="G23" s="9">
        <v>131800</v>
      </c>
      <c r="H23" s="10">
        <v>84352</v>
      </c>
      <c r="I23" s="9">
        <v>163296</v>
      </c>
      <c r="J23" s="10">
        <v>104509.44</v>
      </c>
      <c r="K23" s="9">
        <v>161518</v>
      </c>
      <c r="L23" s="10">
        <v>103371.52</v>
      </c>
      <c r="M23" s="9">
        <v>105252</v>
      </c>
      <c r="N23" s="10">
        <v>67361.279999999999</v>
      </c>
      <c r="O23" s="9">
        <v>100870</v>
      </c>
      <c r="P23" s="10">
        <v>64556.800000000003</v>
      </c>
      <c r="Q23" s="9">
        <v>159208</v>
      </c>
      <c r="R23" s="10">
        <v>101893.12</v>
      </c>
      <c r="S23" s="9">
        <v>146160</v>
      </c>
      <c r="T23" s="10">
        <v>93542.400000000009</v>
      </c>
      <c r="U23" s="9">
        <v>158214</v>
      </c>
      <c r="V23" s="10">
        <v>101256.96000000001</v>
      </c>
      <c r="W23" s="9">
        <v>140784</v>
      </c>
      <c r="X23" s="10">
        <v>90101.759999999995</v>
      </c>
      <c r="Y23" s="9">
        <v>106176</v>
      </c>
      <c r="Z23" s="10">
        <v>67952.639999999999</v>
      </c>
      <c r="AA23" s="9">
        <v>152852</v>
      </c>
      <c r="AB23" s="10">
        <v>97825.279999999999</v>
      </c>
      <c r="AC23" s="9">
        <v>156408</v>
      </c>
      <c r="AD23" s="10">
        <v>100101.12</v>
      </c>
      <c r="AE23" s="11">
        <v>140211.5</v>
      </c>
      <c r="AF23" s="12">
        <v>89735.360000000001</v>
      </c>
      <c r="AG23" s="9">
        <v>167569</v>
      </c>
      <c r="AH23" s="10">
        <v>107244.16</v>
      </c>
      <c r="AI23" s="9">
        <v>156820</v>
      </c>
      <c r="AJ23" s="10">
        <v>100364.8</v>
      </c>
      <c r="AK23" s="9">
        <v>114324</v>
      </c>
      <c r="AL23" s="10">
        <v>73167.360000000001</v>
      </c>
      <c r="AM23" s="9">
        <v>130060</v>
      </c>
      <c r="AN23" s="10">
        <v>83238.400000000009</v>
      </c>
      <c r="AO23" s="9">
        <v>115192</v>
      </c>
      <c r="AP23" s="10">
        <v>73722.880000000005</v>
      </c>
      <c r="AQ23" s="9">
        <v>135985</v>
      </c>
      <c r="AR23" s="10">
        <v>87030.400000000009</v>
      </c>
      <c r="AS23" s="9">
        <v>151284</v>
      </c>
      <c r="AT23" s="10">
        <v>96821.759999999995</v>
      </c>
      <c r="AU23" s="9">
        <v>131558</v>
      </c>
      <c r="AV23" s="10">
        <v>84197.119999999995</v>
      </c>
      <c r="AW23" s="9">
        <v>123746</v>
      </c>
      <c r="AX23" s="10">
        <v>79197.440000000002</v>
      </c>
      <c r="AY23" s="9">
        <v>134428</v>
      </c>
      <c r="AZ23" s="10">
        <v>86033.919999999998</v>
      </c>
      <c r="BA23" s="9">
        <v>144902</v>
      </c>
      <c r="BB23" s="10">
        <v>92737.279999999999</v>
      </c>
      <c r="BC23" s="9">
        <v>207298</v>
      </c>
      <c r="BD23" s="10">
        <v>132670.72</v>
      </c>
      <c r="BE23" s="11">
        <v>142763.83333333334</v>
      </c>
      <c r="BF23" s="12">
        <v>91368.853333333347</v>
      </c>
      <c r="BG23" s="9">
        <v>204793</v>
      </c>
      <c r="BH23" s="10">
        <v>131067.52</v>
      </c>
      <c r="BI23" s="9">
        <v>124476</v>
      </c>
      <c r="BJ23" s="10">
        <v>79664.639999999999</v>
      </c>
      <c r="BK23" s="9">
        <v>119466</v>
      </c>
      <c r="BL23" s="10">
        <v>76458.240000000005</v>
      </c>
      <c r="BM23" s="9">
        <v>121002</v>
      </c>
      <c r="BN23" s="10">
        <v>77441.279999999999</v>
      </c>
      <c r="BO23" s="9">
        <v>136738</v>
      </c>
      <c r="BP23" s="10">
        <v>87512.320000000007</v>
      </c>
      <c r="BQ23" s="9">
        <v>143416</v>
      </c>
      <c r="BR23" s="10">
        <v>91786.240000000005</v>
      </c>
      <c r="BS23" s="9">
        <v>140525</v>
      </c>
      <c r="BT23" s="10">
        <v>89936</v>
      </c>
      <c r="BU23" s="9">
        <v>137417</v>
      </c>
      <c r="BV23" s="10">
        <v>87946.880000000005</v>
      </c>
      <c r="BW23" s="9">
        <v>149520</v>
      </c>
      <c r="BX23" s="10">
        <v>95692.800000000003</v>
      </c>
      <c r="BY23" s="9">
        <v>136758</v>
      </c>
      <c r="BZ23" s="10">
        <v>87525.119999999995</v>
      </c>
      <c r="CA23" s="9">
        <v>148316</v>
      </c>
      <c r="CB23" s="10">
        <v>94922.240000000005</v>
      </c>
      <c r="CC23" s="9">
        <v>159250</v>
      </c>
      <c r="CD23" s="10">
        <v>101920</v>
      </c>
      <c r="CE23" s="19">
        <f t="shared" si="15"/>
        <v>142038.81818181818</v>
      </c>
      <c r="CF23" s="10">
        <f t="shared" si="16"/>
        <v>90904.843636363643</v>
      </c>
      <c r="CG23" s="11">
        <v>143473.08333333334</v>
      </c>
      <c r="CH23" s="12">
        <v>91822.773333333345</v>
      </c>
      <c r="CI23" s="15">
        <v>16.289137423681495</v>
      </c>
      <c r="CJ23" s="15">
        <v>16.29</v>
      </c>
      <c r="CK23" s="14">
        <v>154924</v>
      </c>
      <c r="CL23" s="10">
        <v>99151.360000000001</v>
      </c>
      <c r="CM23" s="14">
        <v>128100</v>
      </c>
      <c r="CN23" s="15">
        <v>81984</v>
      </c>
      <c r="CO23" s="14">
        <v>168241</v>
      </c>
      <c r="CP23" s="15">
        <v>107674.24000000001</v>
      </c>
      <c r="CQ23" s="14">
        <v>113416</v>
      </c>
      <c r="CR23" s="15">
        <v>72586.240000000005</v>
      </c>
      <c r="CS23" s="14">
        <v>125095</v>
      </c>
      <c r="CT23" s="15">
        <v>80060.800000000003</v>
      </c>
      <c r="CU23" s="14">
        <v>129262</v>
      </c>
      <c r="CV23" s="15">
        <v>82727.680000000008</v>
      </c>
      <c r="CW23" s="14">
        <v>129416</v>
      </c>
      <c r="CX23" s="15">
        <v>82826.240000000005</v>
      </c>
      <c r="CY23" s="14">
        <v>113666</v>
      </c>
      <c r="CZ23" s="15">
        <v>72746.240000000005</v>
      </c>
      <c r="DA23" s="14">
        <v>130958</v>
      </c>
      <c r="DB23" s="15">
        <v>83813.119999999995</v>
      </c>
      <c r="DC23" s="14">
        <v>123398</v>
      </c>
      <c r="DD23" s="15">
        <v>78974.720000000001</v>
      </c>
      <c r="DE23" s="14">
        <v>132608</v>
      </c>
      <c r="DF23" s="15">
        <v>84869.119999999995</v>
      </c>
      <c r="DG23" s="14">
        <v>129794</v>
      </c>
      <c r="DH23" s="15">
        <v>83068.160000000003</v>
      </c>
      <c r="DI23" s="16">
        <f t="shared" si="17"/>
        <v>1578878</v>
      </c>
      <c r="DJ23" s="16">
        <f t="shared" si="18"/>
        <v>1010481.9199999999</v>
      </c>
      <c r="DK23" s="16">
        <f t="shared" si="19"/>
        <v>141512</v>
      </c>
      <c r="DL23" s="17">
        <f t="shared" si="20"/>
        <v>90567.679999999993</v>
      </c>
      <c r="DM23" s="68">
        <f t="shared" si="2"/>
        <v>131573.16666666666</v>
      </c>
      <c r="DN23" s="294">
        <f t="shared" si="3"/>
        <v>84206.82666666666</v>
      </c>
      <c r="DO23" s="69">
        <f>DN23/$DN$57%</f>
        <v>14.232606086733249</v>
      </c>
      <c r="DP23" s="14">
        <v>129486</v>
      </c>
      <c r="DQ23" s="10">
        <v>82871.040000000008</v>
      </c>
      <c r="DR23" s="9">
        <v>110882</v>
      </c>
      <c r="DS23" s="10">
        <v>70964.479999999996</v>
      </c>
      <c r="DT23" s="14"/>
      <c r="DU23" s="15"/>
      <c r="DV23" s="14"/>
      <c r="DW23" s="15"/>
      <c r="DX23" s="14"/>
      <c r="DY23" s="15"/>
      <c r="DZ23" s="14"/>
      <c r="EA23" s="15"/>
      <c r="EB23" s="14"/>
      <c r="EC23" s="15"/>
      <c r="ED23" s="14"/>
      <c r="EE23" s="15"/>
      <c r="EF23" s="14"/>
      <c r="EG23" s="15"/>
      <c r="EH23" s="14"/>
      <c r="EI23" s="15"/>
      <c r="EJ23" s="14"/>
      <c r="EK23" s="15"/>
      <c r="EL23" s="14"/>
      <c r="EM23" s="15"/>
      <c r="EN23" s="16">
        <f t="shared" ref="EN23" si="49">DP23+DR23+DT23+DV23+DX23+DZ23+EB23+ED23+EF23+EH23+EJ23+EL23</f>
        <v>240368</v>
      </c>
      <c r="EO23" s="16">
        <f t="shared" ref="EO23" si="50">DQ23+DS23+DU23+DW23+DY23+EA23+EC23+EE23+EG23+EI23+EK23+EM23</f>
        <v>153835.52000000002</v>
      </c>
      <c r="EP23" s="68">
        <f t="shared" si="5"/>
        <v>120184</v>
      </c>
      <c r="EQ23" s="294">
        <f t="shared" si="6"/>
        <v>76917.760000000009</v>
      </c>
      <c r="ER23" s="535">
        <f t="shared" si="0"/>
        <v>14.856991689113764</v>
      </c>
      <c r="ES23" s="522">
        <f t="shared" si="7"/>
        <v>0.62438560238051544</v>
      </c>
      <c r="ET23" s="522">
        <f t="shared" si="8"/>
        <v>-15.07151336989088</v>
      </c>
      <c r="EU23" s="522">
        <f t="shared" si="9"/>
        <v>-8.6561469600564322</v>
      </c>
      <c r="EV23" s="522">
        <f t="shared" si="10"/>
        <v>-7289.0666666666511</v>
      </c>
      <c r="EW23" s="523">
        <f t="shared" si="11"/>
        <v>-13649.919999999984</v>
      </c>
      <c r="EX23" s="522">
        <f t="shared" si="12"/>
        <v>-520.64761904761792</v>
      </c>
      <c r="EY23" s="522">
        <f t="shared" si="13"/>
        <v>-974.9942857142845</v>
      </c>
      <c r="EZ23" s="522">
        <f t="shared" si="14"/>
        <v>-1949.988571428569</v>
      </c>
    </row>
    <row r="24" spans="1:156" s="251" customFormat="1">
      <c r="A24" s="246"/>
      <c r="B24" s="247" t="s">
        <v>176</v>
      </c>
      <c r="C24" s="247"/>
      <c r="D24" s="246"/>
      <c r="E24" s="246"/>
      <c r="F24" s="246"/>
      <c r="G24" s="248"/>
      <c r="H24" s="249"/>
      <c r="I24" s="248"/>
      <c r="J24" s="249"/>
      <c r="K24" s="248"/>
      <c r="L24" s="249"/>
      <c r="M24" s="248"/>
      <c r="N24" s="249"/>
      <c r="O24" s="248"/>
      <c r="P24" s="249"/>
      <c r="Q24" s="248"/>
      <c r="R24" s="249"/>
      <c r="S24" s="248"/>
      <c r="T24" s="249"/>
      <c r="U24" s="248"/>
      <c r="V24" s="249"/>
      <c r="W24" s="248"/>
      <c r="X24" s="249"/>
      <c r="Y24" s="248"/>
      <c r="Z24" s="249"/>
      <c r="AA24" s="248"/>
      <c r="AB24" s="249"/>
      <c r="AC24" s="248"/>
      <c r="AD24" s="249"/>
      <c r="AE24" s="248"/>
      <c r="AF24" s="249"/>
      <c r="AG24" s="248"/>
      <c r="AH24" s="249"/>
      <c r="AI24" s="248"/>
      <c r="AJ24" s="249"/>
      <c r="AK24" s="248"/>
      <c r="AL24" s="249"/>
      <c r="AM24" s="248"/>
      <c r="AN24" s="249"/>
      <c r="AO24" s="248"/>
      <c r="AP24" s="249"/>
      <c r="AQ24" s="248"/>
      <c r="AR24" s="249"/>
      <c r="AS24" s="248"/>
      <c r="AT24" s="249"/>
      <c r="AU24" s="248"/>
      <c r="AV24" s="249"/>
      <c r="AW24" s="248"/>
      <c r="AX24" s="249"/>
      <c r="AY24" s="248"/>
      <c r="AZ24" s="249"/>
      <c r="BA24" s="248"/>
      <c r="BB24" s="249"/>
      <c r="BC24" s="248"/>
      <c r="BD24" s="249"/>
      <c r="BE24" s="248"/>
      <c r="BF24" s="249"/>
      <c r="BG24" s="248"/>
      <c r="BH24" s="249"/>
      <c r="BI24" s="248"/>
      <c r="BJ24" s="249"/>
      <c r="BK24" s="248"/>
      <c r="BL24" s="249"/>
      <c r="BM24" s="248"/>
      <c r="BN24" s="249"/>
      <c r="BO24" s="248"/>
      <c r="BP24" s="249"/>
      <c r="BQ24" s="248"/>
      <c r="BR24" s="249"/>
      <c r="BS24" s="248"/>
      <c r="BT24" s="249"/>
      <c r="BU24" s="248"/>
      <c r="BV24" s="249"/>
      <c r="BW24" s="248"/>
      <c r="BX24" s="249"/>
      <c r="BY24" s="248"/>
      <c r="BZ24" s="249"/>
      <c r="CA24" s="248"/>
      <c r="CB24" s="249"/>
      <c r="CC24" s="248"/>
      <c r="CD24" s="249"/>
      <c r="CE24" s="250">
        <f t="shared" ref="CE24:DJ24" si="51">SUM(CE23)</f>
        <v>142038.81818181818</v>
      </c>
      <c r="CF24" s="250">
        <f t="shared" si="51"/>
        <v>90904.843636363643</v>
      </c>
      <c r="CG24" s="250">
        <f t="shared" si="51"/>
        <v>143473.08333333334</v>
      </c>
      <c r="CH24" s="250">
        <f t="shared" si="51"/>
        <v>91822.773333333345</v>
      </c>
      <c r="CI24" s="250">
        <f t="shared" si="51"/>
        <v>16.289137423681495</v>
      </c>
      <c r="CJ24" s="250">
        <f t="shared" si="51"/>
        <v>16.29</v>
      </c>
      <c r="CK24" s="250">
        <f t="shared" si="51"/>
        <v>154924</v>
      </c>
      <c r="CL24" s="250">
        <f t="shared" si="51"/>
        <v>99151.360000000001</v>
      </c>
      <c r="CM24" s="250">
        <f t="shared" si="51"/>
        <v>128100</v>
      </c>
      <c r="CN24" s="250">
        <f t="shared" si="51"/>
        <v>81984</v>
      </c>
      <c r="CO24" s="250">
        <f t="shared" si="51"/>
        <v>168241</v>
      </c>
      <c r="CP24" s="250">
        <f t="shared" si="51"/>
        <v>107674.24000000001</v>
      </c>
      <c r="CQ24" s="250">
        <f t="shared" si="51"/>
        <v>113416</v>
      </c>
      <c r="CR24" s="250">
        <f t="shared" si="51"/>
        <v>72586.240000000005</v>
      </c>
      <c r="CS24" s="250">
        <f t="shared" si="51"/>
        <v>125095</v>
      </c>
      <c r="CT24" s="250">
        <f t="shared" si="51"/>
        <v>80060.800000000003</v>
      </c>
      <c r="CU24" s="250">
        <f t="shared" si="51"/>
        <v>129262</v>
      </c>
      <c r="CV24" s="250">
        <f t="shared" si="51"/>
        <v>82727.680000000008</v>
      </c>
      <c r="CW24" s="250">
        <f t="shared" si="51"/>
        <v>129416</v>
      </c>
      <c r="CX24" s="250">
        <f t="shared" si="51"/>
        <v>82826.240000000005</v>
      </c>
      <c r="CY24" s="250">
        <f t="shared" si="51"/>
        <v>113666</v>
      </c>
      <c r="CZ24" s="250">
        <f t="shared" si="51"/>
        <v>72746.240000000005</v>
      </c>
      <c r="DA24" s="250">
        <f t="shared" si="51"/>
        <v>130958</v>
      </c>
      <c r="DB24" s="250">
        <f t="shared" si="51"/>
        <v>83813.119999999995</v>
      </c>
      <c r="DC24" s="250">
        <f t="shared" si="51"/>
        <v>123398</v>
      </c>
      <c r="DD24" s="250">
        <f t="shared" si="51"/>
        <v>78974.720000000001</v>
      </c>
      <c r="DE24" s="250">
        <f t="shared" si="51"/>
        <v>132608</v>
      </c>
      <c r="DF24" s="250">
        <f t="shared" si="51"/>
        <v>84869.119999999995</v>
      </c>
      <c r="DG24" s="250">
        <f t="shared" si="51"/>
        <v>129794</v>
      </c>
      <c r="DH24" s="250">
        <f t="shared" si="51"/>
        <v>83068.160000000003</v>
      </c>
      <c r="DI24" s="250">
        <f t="shared" si="51"/>
        <v>1578878</v>
      </c>
      <c r="DJ24" s="250">
        <f t="shared" si="51"/>
        <v>1010481.9199999999</v>
      </c>
      <c r="DK24" s="669">
        <f>SUM(DK22:DK23)</f>
        <v>141512</v>
      </c>
      <c r="DL24" s="670">
        <f>SUM(DL22:DL23)</f>
        <v>90567.679999999993</v>
      </c>
      <c r="DM24" s="669">
        <f>SUM(DM22:DM23)</f>
        <v>131573.16666666666</v>
      </c>
      <c r="DN24" s="670">
        <f>SUM(DN22:DN23)</f>
        <v>84206.82666666666</v>
      </c>
      <c r="DO24" s="250">
        <f>SUM(DO23)</f>
        <v>14.232606086733249</v>
      </c>
      <c r="DP24" s="669">
        <f>SUM(DP22:DP23)</f>
        <v>129486</v>
      </c>
      <c r="DQ24" s="670">
        <f>SUM(DQ22:DQ23)</f>
        <v>82871.040000000008</v>
      </c>
      <c r="DR24" s="669">
        <f t="shared" ref="DR24:EO24" si="52">SUM(DR22:DR23)</f>
        <v>111368</v>
      </c>
      <c r="DS24" s="670">
        <f t="shared" si="52"/>
        <v>71450.48</v>
      </c>
      <c r="DT24" s="669">
        <f t="shared" si="52"/>
        <v>0</v>
      </c>
      <c r="DU24" s="670">
        <f t="shared" si="52"/>
        <v>0</v>
      </c>
      <c r="DV24" s="669">
        <f t="shared" si="52"/>
        <v>0</v>
      </c>
      <c r="DW24" s="670">
        <f t="shared" si="52"/>
        <v>0</v>
      </c>
      <c r="DX24" s="669">
        <f t="shared" si="52"/>
        <v>0</v>
      </c>
      <c r="DY24" s="670">
        <f t="shared" si="52"/>
        <v>0</v>
      </c>
      <c r="DZ24" s="669">
        <f t="shared" si="52"/>
        <v>0</v>
      </c>
      <c r="EA24" s="670">
        <f t="shared" si="52"/>
        <v>0</v>
      </c>
      <c r="EB24" s="669">
        <f t="shared" si="52"/>
        <v>0</v>
      </c>
      <c r="EC24" s="670">
        <f t="shared" si="52"/>
        <v>0</v>
      </c>
      <c r="ED24" s="669">
        <f t="shared" si="52"/>
        <v>0</v>
      </c>
      <c r="EE24" s="670">
        <f t="shared" si="52"/>
        <v>0</v>
      </c>
      <c r="EF24" s="669">
        <f t="shared" si="52"/>
        <v>0</v>
      </c>
      <c r="EG24" s="670">
        <f t="shared" si="52"/>
        <v>0</v>
      </c>
      <c r="EH24" s="669">
        <f t="shared" si="52"/>
        <v>0</v>
      </c>
      <c r="EI24" s="670">
        <f t="shared" si="52"/>
        <v>0</v>
      </c>
      <c r="EJ24" s="669">
        <f t="shared" si="52"/>
        <v>0</v>
      </c>
      <c r="EK24" s="670">
        <f t="shared" si="52"/>
        <v>0</v>
      </c>
      <c r="EL24" s="669">
        <f t="shared" si="52"/>
        <v>0</v>
      </c>
      <c r="EM24" s="670">
        <f t="shared" si="52"/>
        <v>0</v>
      </c>
      <c r="EN24" s="669">
        <f t="shared" si="52"/>
        <v>240854</v>
      </c>
      <c r="EO24" s="670">
        <f t="shared" si="52"/>
        <v>154321.52000000002</v>
      </c>
      <c r="EP24" s="669">
        <f t="shared" ref="EP24:ER24" si="53">SUM(EP22:EP23)</f>
        <v>120427</v>
      </c>
      <c r="EQ24" s="670">
        <f t="shared" si="53"/>
        <v>77160.760000000009</v>
      </c>
      <c r="ER24" s="670">
        <f t="shared" si="53"/>
        <v>14.903928170109241</v>
      </c>
      <c r="ES24" s="537">
        <f t="shared" si="7"/>
        <v>0.67132208337599231</v>
      </c>
      <c r="ET24" s="537">
        <f t="shared" si="8"/>
        <v>-14.803205735202653</v>
      </c>
      <c r="EU24" s="537">
        <f t="shared" si="9"/>
        <v>-8.3675717819869391</v>
      </c>
      <c r="EV24" s="537">
        <f t="shared" si="10"/>
        <v>-7046.0666666666511</v>
      </c>
      <c r="EW24" s="538">
        <f t="shared" si="11"/>
        <v>-13406.919999999984</v>
      </c>
      <c r="EX24" s="537">
        <f t="shared" si="12"/>
        <v>-503.29047619047509</v>
      </c>
      <c r="EY24" s="537">
        <f t="shared" si="13"/>
        <v>-957.63714285714173</v>
      </c>
      <c r="EZ24" s="537">
        <f t="shared" si="14"/>
        <v>-1915.2742857142835</v>
      </c>
    </row>
    <row r="25" spans="1:156">
      <c r="A25" s="7">
        <v>15</v>
      </c>
      <c r="B25" s="8" t="s">
        <v>62</v>
      </c>
      <c r="C25" s="8" t="s">
        <v>14</v>
      </c>
      <c r="D25" s="7">
        <v>0.64</v>
      </c>
      <c r="E25" s="7" t="s">
        <v>20</v>
      </c>
      <c r="F25" s="7">
        <v>1230</v>
      </c>
      <c r="G25" s="9">
        <v>74970</v>
      </c>
      <c r="H25" s="10">
        <v>47980.800000000003</v>
      </c>
      <c r="I25" s="9">
        <v>68278</v>
      </c>
      <c r="J25" s="10">
        <v>43697.919999999998</v>
      </c>
      <c r="K25" s="9">
        <v>73962</v>
      </c>
      <c r="L25" s="10">
        <v>47335.68</v>
      </c>
      <c r="M25" s="9">
        <v>48118</v>
      </c>
      <c r="N25" s="10">
        <v>30795.52</v>
      </c>
      <c r="O25" s="9">
        <v>58968</v>
      </c>
      <c r="P25" s="10">
        <v>37739.520000000004</v>
      </c>
      <c r="Q25" s="9">
        <v>63574</v>
      </c>
      <c r="R25" s="10">
        <v>40687.360000000001</v>
      </c>
      <c r="S25" s="9">
        <v>57927</v>
      </c>
      <c r="T25" s="10">
        <v>37073.279999999999</v>
      </c>
      <c r="U25" s="9">
        <v>66318</v>
      </c>
      <c r="V25" s="10">
        <v>42443.520000000004</v>
      </c>
      <c r="W25" s="9">
        <v>60858</v>
      </c>
      <c r="X25" s="10">
        <v>38949.120000000003</v>
      </c>
      <c r="Y25" s="9">
        <v>64358</v>
      </c>
      <c r="Z25" s="10">
        <v>41189.120000000003</v>
      </c>
      <c r="AA25" s="9">
        <v>66906</v>
      </c>
      <c r="AB25" s="10">
        <v>42819.840000000004</v>
      </c>
      <c r="AC25" s="9">
        <v>73374</v>
      </c>
      <c r="AD25" s="10">
        <v>46959.360000000001</v>
      </c>
      <c r="AE25" s="11">
        <v>64800.916666666664</v>
      </c>
      <c r="AF25" s="12">
        <v>41472.586666666662</v>
      </c>
      <c r="AG25" s="9">
        <v>80892</v>
      </c>
      <c r="AH25" s="10">
        <v>51770.880000000005</v>
      </c>
      <c r="AI25" s="9">
        <v>53830</v>
      </c>
      <c r="AJ25" s="10">
        <v>34451.199999999997</v>
      </c>
      <c r="AK25" s="9">
        <v>55370</v>
      </c>
      <c r="AL25" s="10">
        <v>35436.800000000003</v>
      </c>
      <c r="AM25" s="9">
        <v>52542</v>
      </c>
      <c r="AN25" s="10">
        <v>33626.879999999997</v>
      </c>
      <c r="AO25" s="9">
        <v>50932</v>
      </c>
      <c r="AP25" s="10">
        <v>32596.48</v>
      </c>
      <c r="AQ25" s="9">
        <v>57764</v>
      </c>
      <c r="AR25" s="10">
        <v>36968.959999999999</v>
      </c>
      <c r="AS25" s="9">
        <v>57736</v>
      </c>
      <c r="AT25" s="10">
        <v>36951.040000000001</v>
      </c>
      <c r="AU25" s="9">
        <v>56924</v>
      </c>
      <c r="AV25" s="10">
        <v>36431.360000000001</v>
      </c>
      <c r="AW25" s="9">
        <v>57470</v>
      </c>
      <c r="AX25" s="10">
        <v>36780.800000000003</v>
      </c>
      <c r="AY25" s="9">
        <v>61329</v>
      </c>
      <c r="AZ25" s="10">
        <v>39250.559999999998</v>
      </c>
      <c r="BA25" s="9">
        <v>62412</v>
      </c>
      <c r="BB25" s="10">
        <v>39943.68</v>
      </c>
      <c r="BC25" s="9">
        <v>74214</v>
      </c>
      <c r="BD25" s="10">
        <v>47496.959999999999</v>
      </c>
      <c r="BE25" s="11">
        <v>60117.916666666664</v>
      </c>
      <c r="BF25" s="12">
        <v>38475.466666666667</v>
      </c>
      <c r="BG25" s="9">
        <v>67704</v>
      </c>
      <c r="BH25" s="10">
        <v>43330.559999999998</v>
      </c>
      <c r="BI25" s="9">
        <v>60746</v>
      </c>
      <c r="BJ25" s="10">
        <v>38877.440000000002</v>
      </c>
      <c r="BK25" s="9">
        <v>59836</v>
      </c>
      <c r="BL25" s="10">
        <v>38295.040000000001</v>
      </c>
      <c r="BM25" s="9">
        <v>50484</v>
      </c>
      <c r="BN25" s="10">
        <v>32309.760000000002</v>
      </c>
      <c r="BO25" s="9">
        <v>59738</v>
      </c>
      <c r="BP25" s="10">
        <v>38232.32</v>
      </c>
      <c r="BQ25" s="9">
        <v>58751</v>
      </c>
      <c r="BR25" s="10">
        <v>37600.639999999999</v>
      </c>
      <c r="BS25" s="9">
        <v>60256</v>
      </c>
      <c r="BT25" s="10">
        <v>38563.840000000004</v>
      </c>
      <c r="BU25" s="9">
        <v>54824</v>
      </c>
      <c r="BV25" s="10">
        <v>35087.360000000001</v>
      </c>
      <c r="BW25" s="9">
        <v>60466</v>
      </c>
      <c r="BX25" s="10">
        <v>38698.239999999998</v>
      </c>
      <c r="BY25" s="9">
        <v>67844</v>
      </c>
      <c r="BZ25" s="10">
        <v>43420.160000000003</v>
      </c>
      <c r="CA25" s="9">
        <v>63854</v>
      </c>
      <c r="CB25" s="10">
        <v>40866.559999999998</v>
      </c>
      <c r="CC25" s="9">
        <v>77781</v>
      </c>
      <c r="CD25" s="10">
        <v>49779.840000000004</v>
      </c>
      <c r="CE25" s="19">
        <f t="shared" si="15"/>
        <v>60409.36363636364</v>
      </c>
      <c r="CF25" s="10">
        <f t="shared" si="16"/>
        <v>38661.992727272729</v>
      </c>
      <c r="CG25" s="11">
        <v>61857</v>
      </c>
      <c r="CH25" s="12">
        <v>39588.480000000003</v>
      </c>
      <c r="CI25" s="15">
        <v>7.0229003950218276</v>
      </c>
      <c r="CJ25" s="15">
        <v>7.02</v>
      </c>
      <c r="CK25" s="14">
        <v>68715</v>
      </c>
      <c r="CL25" s="10">
        <v>43977.599999999999</v>
      </c>
      <c r="CM25" s="14">
        <v>60634</v>
      </c>
      <c r="CN25" s="15">
        <v>38805.760000000002</v>
      </c>
      <c r="CO25" s="14">
        <v>70656</v>
      </c>
      <c r="CP25" s="15">
        <v>45219.840000000004</v>
      </c>
      <c r="CQ25" s="14">
        <v>50554</v>
      </c>
      <c r="CR25" s="15">
        <v>32354.560000000001</v>
      </c>
      <c r="CS25" s="14">
        <v>59329</v>
      </c>
      <c r="CT25" s="15">
        <v>37970.559999999998</v>
      </c>
      <c r="CU25" s="14">
        <v>56182</v>
      </c>
      <c r="CV25" s="15">
        <v>35956.480000000003</v>
      </c>
      <c r="CW25" s="14">
        <v>51492</v>
      </c>
      <c r="CX25" s="15">
        <v>32954.879999999997</v>
      </c>
      <c r="CY25" s="14">
        <v>53284</v>
      </c>
      <c r="CZ25" s="15">
        <v>34101.760000000002</v>
      </c>
      <c r="DA25" s="14">
        <v>53508</v>
      </c>
      <c r="DB25" s="15">
        <v>34245.120000000003</v>
      </c>
      <c r="DC25" s="14">
        <v>58674</v>
      </c>
      <c r="DD25" s="15">
        <v>37551.360000000001</v>
      </c>
      <c r="DE25" s="14">
        <v>56952</v>
      </c>
      <c r="DF25" s="15">
        <v>36449.279999999999</v>
      </c>
      <c r="DG25" s="14">
        <v>58660</v>
      </c>
      <c r="DH25" s="15">
        <v>37542.400000000001</v>
      </c>
      <c r="DI25" s="16">
        <f t="shared" si="17"/>
        <v>698640</v>
      </c>
      <c r="DJ25" s="16">
        <f t="shared" si="18"/>
        <v>447129.59999999998</v>
      </c>
      <c r="DK25" s="16">
        <f t="shared" si="19"/>
        <v>64674.5</v>
      </c>
      <c r="DL25" s="17">
        <f t="shared" si="20"/>
        <v>41391.68</v>
      </c>
      <c r="DM25" s="68">
        <f t="shared" si="2"/>
        <v>58220</v>
      </c>
      <c r="DN25" s="294">
        <f t="shared" si="3"/>
        <v>37260.799999999996</v>
      </c>
      <c r="DO25" s="69">
        <f>DN25/$DN$57%</f>
        <v>6.2978063640352939</v>
      </c>
      <c r="DP25" s="14">
        <v>58674</v>
      </c>
      <c r="DQ25" s="10">
        <v>37551.360000000001</v>
      </c>
      <c r="DR25" s="9">
        <v>52385</v>
      </c>
      <c r="DS25" s="10">
        <v>33526.400000000001</v>
      </c>
      <c r="DT25" s="14"/>
      <c r="DU25" s="15"/>
      <c r="DV25" s="14"/>
      <c r="DW25" s="15"/>
      <c r="DX25" s="14"/>
      <c r="DY25" s="15"/>
      <c r="DZ25" s="14"/>
      <c r="EA25" s="15"/>
      <c r="EB25" s="14"/>
      <c r="EC25" s="15"/>
      <c r="ED25" s="14"/>
      <c r="EE25" s="15"/>
      <c r="EF25" s="14"/>
      <c r="EG25" s="15"/>
      <c r="EH25" s="14"/>
      <c r="EI25" s="15"/>
      <c r="EJ25" s="14"/>
      <c r="EK25" s="15"/>
      <c r="EL25" s="14"/>
      <c r="EM25" s="15"/>
      <c r="EN25" s="16">
        <f t="shared" ref="EN25" si="54">DP25+DR25+DT25+DV25+DX25+DZ25+EB25+ED25+EF25+EH25+EJ25+EL25</f>
        <v>111059</v>
      </c>
      <c r="EO25" s="16">
        <f t="shared" ref="EO25" si="55">DQ25+DS25+DU25+DW25+DY25+EA25+EC25+EE25+EG25+EI25+EK25+EM25</f>
        <v>71077.760000000009</v>
      </c>
      <c r="EP25" s="68">
        <f t="shared" si="5"/>
        <v>55529.5</v>
      </c>
      <c r="EQ25" s="294">
        <f t="shared" si="6"/>
        <v>35538.880000000005</v>
      </c>
      <c r="ER25" s="535">
        <f t="shared" ref="ER25:ER57" si="56">EQ25/$EQ$57%</f>
        <v>6.8644854556400414</v>
      </c>
      <c r="ES25" s="522">
        <f t="shared" si="7"/>
        <v>0.5666790916047475</v>
      </c>
      <c r="ET25" s="522">
        <f t="shared" si="8"/>
        <v>-14.140039737454472</v>
      </c>
      <c r="EU25" s="522">
        <f t="shared" si="9"/>
        <v>-4.6212641703881587</v>
      </c>
      <c r="EV25" s="522">
        <f t="shared" si="10"/>
        <v>-1721.919999999991</v>
      </c>
      <c r="EW25" s="523">
        <f t="shared" si="11"/>
        <v>-5852.7999999999956</v>
      </c>
      <c r="EX25" s="522">
        <f t="shared" si="12"/>
        <v>-122.99428571428507</v>
      </c>
      <c r="EY25" s="522">
        <f t="shared" si="13"/>
        <v>-418.05714285714254</v>
      </c>
      <c r="EZ25" s="522">
        <f t="shared" si="14"/>
        <v>-836.11428571428507</v>
      </c>
    </row>
    <row r="26" spans="1:156" s="251" customFormat="1">
      <c r="A26" s="246"/>
      <c r="B26" s="247" t="s">
        <v>169</v>
      </c>
      <c r="C26" s="247"/>
      <c r="D26" s="246"/>
      <c r="E26" s="246"/>
      <c r="F26" s="246"/>
      <c r="G26" s="248"/>
      <c r="H26" s="249"/>
      <c r="I26" s="248"/>
      <c r="J26" s="249"/>
      <c r="K26" s="248"/>
      <c r="L26" s="249"/>
      <c r="M26" s="248"/>
      <c r="N26" s="249"/>
      <c r="O26" s="248"/>
      <c r="P26" s="249"/>
      <c r="Q26" s="248"/>
      <c r="R26" s="249"/>
      <c r="S26" s="248"/>
      <c r="T26" s="249"/>
      <c r="U26" s="248"/>
      <c r="V26" s="249"/>
      <c r="W26" s="248"/>
      <c r="X26" s="249"/>
      <c r="Y26" s="248"/>
      <c r="Z26" s="249"/>
      <c r="AA26" s="248"/>
      <c r="AB26" s="249"/>
      <c r="AC26" s="248"/>
      <c r="AD26" s="249"/>
      <c r="AE26" s="248"/>
      <c r="AF26" s="249"/>
      <c r="AG26" s="248"/>
      <c r="AH26" s="249"/>
      <c r="AI26" s="248"/>
      <c r="AJ26" s="249"/>
      <c r="AK26" s="248"/>
      <c r="AL26" s="249"/>
      <c r="AM26" s="248"/>
      <c r="AN26" s="249"/>
      <c r="AO26" s="248"/>
      <c r="AP26" s="249"/>
      <c r="AQ26" s="248"/>
      <c r="AR26" s="249"/>
      <c r="AS26" s="248"/>
      <c r="AT26" s="249"/>
      <c r="AU26" s="248"/>
      <c r="AV26" s="249"/>
      <c r="AW26" s="248"/>
      <c r="AX26" s="249"/>
      <c r="AY26" s="248"/>
      <c r="AZ26" s="249"/>
      <c r="BA26" s="248"/>
      <c r="BB26" s="249"/>
      <c r="BC26" s="248"/>
      <c r="BD26" s="249"/>
      <c r="BE26" s="248"/>
      <c r="BF26" s="249"/>
      <c r="BG26" s="248"/>
      <c r="BH26" s="249"/>
      <c r="BI26" s="248"/>
      <c r="BJ26" s="249"/>
      <c r="BK26" s="248"/>
      <c r="BL26" s="249"/>
      <c r="BM26" s="248"/>
      <c r="BN26" s="249"/>
      <c r="BO26" s="248"/>
      <c r="BP26" s="249"/>
      <c r="BQ26" s="248"/>
      <c r="BR26" s="249"/>
      <c r="BS26" s="248"/>
      <c r="BT26" s="249"/>
      <c r="BU26" s="248"/>
      <c r="BV26" s="249"/>
      <c r="BW26" s="248"/>
      <c r="BX26" s="249"/>
      <c r="BY26" s="248"/>
      <c r="BZ26" s="249"/>
      <c r="CA26" s="248"/>
      <c r="CB26" s="249"/>
      <c r="CC26" s="248"/>
      <c r="CD26" s="249"/>
      <c r="CE26" s="250">
        <f t="shared" ref="CE26:DO26" si="57">SUM(CE25)</f>
        <v>60409.36363636364</v>
      </c>
      <c r="CF26" s="250">
        <f t="shared" si="57"/>
        <v>38661.992727272729</v>
      </c>
      <c r="CG26" s="250">
        <f t="shared" si="57"/>
        <v>61857</v>
      </c>
      <c r="CH26" s="250">
        <f t="shared" si="57"/>
        <v>39588.480000000003</v>
      </c>
      <c r="CI26" s="250">
        <f t="shared" si="57"/>
        <v>7.0229003950218276</v>
      </c>
      <c r="CJ26" s="250">
        <f t="shared" si="57"/>
        <v>7.02</v>
      </c>
      <c r="CK26" s="250">
        <f t="shared" si="57"/>
        <v>68715</v>
      </c>
      <c r="CL26" s="250">
        <f t="shared" si="57"/>
        <v>43977.599999999999</v>
      </c>
      <c r="CM26" s="250">
        <f t="shared" si="57"/>
        <v>60634</v>
      </c>
      <c r="CN26" s="250">
        <f t="shared" si="57"/>
        <v>38805.760000000002</v>
      </c>
      <c r="CO26" s="250">
        <f t="shared" si="57"/>
        <v>70656</v>
      </c>
      <c r="CP26" s="250">
        <f t="shared" si="57"/>
        <v>45219.840000000004</v>
      </c>
      <c r="CQ26" s="250">
        <f t="shared" si="57"/>
        <v>50554</v>
      </c>
      <c r="CR26" s="250">
        <f t="shared" si="57"/>
        <v>32354.560000000001</v>
      </c>
      <c r="CS26" s="250">
        <f t="shared" si="57"/>
        <v>59329</v>
      </c>
      <c r="CT26" s="250">
        <f t="shared" si="57"/>
        <v>37970.559999999998</v>
      </c>
      <c r="CU26" s="250">
        <f t="shared" si="57"/>
        <v>56182</v>
      </c>
      <c r="CV26" s="250">
        <f t="shared" si="57"/>
        <v>35956.480000000003</v>
      </c>
      <c r="CW26" s="250">
        <f t="shared" si="57"/>
        <v>51492</v>
      </c>
      <c r="CX26" s="250">
        <f t="shared" si="57"/>
        <v>32954.879999999997</v>
      </c>
      <c r="CY26" s="250">
        <f t="shared" si="57"/>
        <v>53284</v>
      </c>
      <c r="CZ26" s="250">
        <f t="shared" si="57"/>
        <v>34101.760000000002</v>
      </c>
      <c r="DA26" s="250">
        <f t="shared" si="57"/>
        <v>53508</v>
      </c>
      <c r="DB26" s="250">
        <f t="shared" si="57"/>
        <v>34245.120000000003</v>
      </c>
      <c r="DC26" s="250">
        <f t="shared" si="57"/>
        <v>58674</v>
      </c>
      <c r="DD26" s="250">
        <f t="shared" si="57"/>
        <v>37551.360000000001</v>
      </c>
      <c r="DE26" s="250">
        <f t="shared" si="57"/>
        <v>56952</v>
      </c>
      <c r="DF26" s="250">
        <f t="shared" si="57"/>
        <v>36449.279999999999</v>
      </c>
      <c r="DG26" s="250">
        <f t="shared" si="57"/>
        <v>58660</v>
      </c>
      <c r="DH26" s="250">
        <f t="shared" si="57"/>
        <v>37542.400000000001</v>
      </c>
      <c r="DI26" s="250">
        <f t="shared" si="57"/>
        <v>698640</v>
      </c>
      <c r="DJ26" s="250">
        <f t="shared" si="57"/>
        <v>447129.59999999998</v>
      </c>
      <c r="DK26" s="669">
        <f t="shared" si="19"/>
        <v>64674.5</v>
      </c>
      <c r="DL26" s="670">
        <f t="shared" si="20"/>
        <v>41391.68</v>
      </c>
      <c r="DM26" s="502">
        <f t="shared" si="2"/>
        <v>58220</v>
      </c>
      <c r="DN26" s="503">
        <f t="shared" si="3"/>
        <v>37260.799999999996</v>
      </c>
      <c r="DO26" s="250">
        <f t="shared" si="57"/>
        <v>6.2978063640352939</v>
      </c>
      <c r="DP26" s="250">
        <f t="shared" ref="DP26:EO26" si="58">SUM(DP25)</f>
        <v>58674</v>
      </c>
      <c r="DQ26" s="250">
        <f t="shared" si="58"/>
        <v>37551.360000000001</v>
      </c>
      <c r="DR26" s="250">
        <f t="shared" si="58"/>
        <v>52385</v>
      </c>
      <c r="DS26" s="250">
        <f t="shared" si="58"/>
        <v>33526.400000000001</v>
      </c>
      <c r="DT26" s="250">
        <f t="shared" si="58"/>
        <v>0</v>
      </c>
      <c r="DU26" s="250">
        <f t="shared" si="58"/>
        <v>0</v>
      </c>
      <c r="DV26" s="250">
        <f t="shared" si="58"/>
        <v>0</v>
      </c>
      <c r="DW26" s="250">
        <f t="shared" si="58"/>
        <v>0</v>
      </c>
      <c r="DX26" s="250">
        <f t="shared" si="58"/>
        <v>0</v>
      </c>
      <c r="DY26" s="250">
        <f t="shared" si="58"/>
        <v>0</v>
      </c>
      <c r="DZ26" s="250">
        <f t="shared" si="58"/>
        <v>0</v>
      </c>
      <c r="EA26" s="250">
        <f t="shared" si="58"/>
        <v>0</v>
      </c>
      <c r="EB26" s="250">
        <f t="shared" si="58"/>
        <v>0</v>
      </c>
      <c r="EC26" s="250">
        <f t="shared" si="58"/>
        <v>0</v>
      </c>
      <c r="ED26" s="250">
        <f t="shared" si="58"/>
        <v>0</v>
      </c>
      <c r="EE26" s="250">
        <f t="shared" si="58"/>
        <v>0</v>
      </c>
      <c r="EF26" s="250">
        <f t="shared" si="58"/>
        <v>0</v>
      </c>
      <c r="EG26" s="250">
        <f t="shared" si="58"/>
        <v>0</v>
      </c>
      <c r="EH26" s="250">
        <f t="shared" si="58"/>
        <v>0</v>
      </c>
      <c r="EI26" s="250">
        <f t="shared" si="58"/>
        <v>0</v>
      </c>
      <c r="EJ26" s="250">
        <f t="shared" si="58"/>
        <v>0</v>
      </c>
      <c r="EK26" s="250">
        <f t="shared" si="58"/>
        <v>0</v>
      </c>
      <c r="EL26" s="250">
        <f t="shared" si="58"/>
        <v>0</v>
      </c>
      <c r="EM26" s="250">
        <f t="shared" si="58"/>
        <v>0</v>
      </c>
      <c r="EN26" s="250">
        <f t="shared" si="58"/>
        <v>111059</v>
      </c>
      <c r="EO26" s="250">
        <f t="shared" si="58"/>
        <v>71077.760000000009</v>
      </c>
      <c r="EP26" s="502">
        <f t="shared" si="5"/>
        <v>55529.5</v>
      </c>
      <c r="EQ26" s="503">
        <f t="shared" si="6"/>
        <v>35538.880000000005</v>
      </c>
      <c r="ER26" s="536">
        <f t="shared" si="56"/>
        <v>6.8644854556400414</v>
      </c>
      <c r="ES26" s="537">
        <f t="shared" si="7"/>
        <v>0.5666790916047475</v>
      </c>
      <c r="ET26" s="537">
        <f t="shared" si="8"/>
        <v>-14.140039737454472</v>
      </c>
      <c r="EU26" s="537">
        <f t="shared" si="9"/>
        <v>-4.6212641703881587</v>
      </c>
      <c r="EV26" s="537">
        <f t="shared" si="10"/>
        <v>-1721.919999999991</v>
      </c>
      <c r="EW26" s="538">
        <f t="shared" si="11"/>
        <v>-5852.7999999999956</v>
      </c>
      <c r="EX26" s="537">
        <f t="shared" si="12"/>
        <v>-122.99428571428507</v>
      </c>
      <c r="EY26" s="537">
        <f t="shared" si="13"/>
        <v>-418.05714285714254</v>
      </c>
      <c r="EZ26" s="537">
        <f t="shared" si="14"/>
        <v>-836.11428571428507</v>
      </c>
    </row>
    <row r="27" spans="1:156">
      <c r="A27" s="7">
        <v>16</v>
      </c>
      <c r="B27" s="8" t="s">
        <v>31</v>
      </c>
      <c r="C27" s="8" t="s">
        <v>14</v>
      </c>
      <c r="D27" s="7">
        <v>0.64</v>
      </c>
      <c r="E27" s="7" t="s">
        <v>20</v>
      </c>
      <c r="F27" s="7">
        <v>1250</v>
      </c>
      <c r="G27" s="9">
        <v>9128</v>
      </c>
      <c r="H27" s="10">
        <v>5841.92</v>
      </c>
      <c r="I27" s="9">
        <v>6594</v>
      </c>
      <c r="J27" s="10">
        <v>4220.16</v>
      </c>
      <c r="K27" s="9">
        <v>10458</v>
      </c>
      <c r="L27" s="10">
        <v>6693.12</v>
      </c>
      <c r="M27" s="9">
        <v>7602</v>
      </c>
      <c r="N27" s="10">
        <v>4865.28</v>
      </c>
      <c r="O27" s="9">
        <v>7350</v>
      </c>
      <c r="P27" s="10">
        <v>4704</v>
      </c>
      <c r="Q27" s="9">
        <v>9688</v>
      </c>
      <c r="R27" s="10">
        <v>6200.32</v>
      </c>
      <c r="S27" s="9">
        <v>7000</v>
      </c>
      <c r="T27" s="10">
        <v>4480</v>
      </c>
      <c r="U27" s="9">
        <v>8358</v>
      </c>
      <c r="V27" s="10">
        <v>5349.12</v>
      </c>
      <c r="W27" s="9">
        <v>6860</v>
      </c>
      <c r="X27" s="10">
        <v>4390.4000000000005</v>
      </c>
      <c r="Y27" s="9">
        <v>7700</v>
      </c>
      <c r="Z27" s="10">
        <v>4928</v>
      </c>
      <c r="AA27" s="9">
        <v>8568</v>
      </c>
      <c r="AB27" s="10">
        <v>5483.52</v>
      </c>
      <c r="AC27" s="9">
        <v>10920</v>
      </c>
      <c r="AD27" s="10">
        <v>6988.8</v>
      </c>
      <c r="AE27" s="11">
        <v>8352.1666666666661</v>
      </c>
      <c r="AF27" s="12">
        <v>5345.3866666666663</v>
      </c>
      <c r="AG27" s="9">
        <v>12866</v>
      </c>
      <c r="AH27" s="10">
        <v>8234.24</v>
      </c>
      <c r="AI27" s="9">
        <v>7532</v>
      </c>
      <c r="AJ27" s="10">
        <v>4820.4800000000005</v>
      </c>
      <c r="AK27" s="9">
        <v>7742</v>
      </c>
      <c r="AL27" s="10">
        <v>4954.88</v>
      </c>
      <c r="AM27" s="9">
        <v>7000</v>
      </c>
      <c r="AN27" s="10">
        <v>4480</v>
      </c>
      <c r="AO27" s="9">
        <v>3780</v>
      </c>
      <c r="AP27" s="10">
        <v>2419.2000000000003</v>
      </c>
      <c r="AQ27" s="9">
        <v>4760</v>
      </c>
      <c r="AR27" s="10">
        <v>3046.4</v>
      </c>
      <c r="AS27" s="9">
        <v>8540</v>
      </c>
      <c r="AT27" s="10">
        <v>5465.6</v>
      </c>
      <c r="AU27" s="9">
        <v>7546</v>
      </c>
      <c r="AV27" s="10">
        <v>4829.4400000000005</v>
      </c>
      <c r="AW27" s="9">
        <v>7070</v>
      </c>
      <c r="AX27" s="10">
        <v>4524.8</v>
      </c>
      <c r="AY27" s="9">
        <v>3780</v>
      </c>
      <c r="AZ27" s="10">
        <v>2419.2000000000003</v>
      </c>
      <c r="BA27" s="9">
        <v>5586</v>
      </c>
      <c r="BB27" s="10">
        <v>3575.04</v>
      </c>
      <c r="BC27" s="9">
        <v>8070</v>
      </c>
      <c r="BD27" s="10">
        <v>5164.8</v>
      </c>
      <c r="BE27" s="11">
        <v>7022.666666666667</v>
      </c>
      <c r="BF27" s="12">
        <v>4494.5066666666671</v>
      </c>
      <c r="BG27" s="9">
        <v>6426</v>
      </c>
      <c r="BH27" s="10">
        <v>4112.6400000000003</v>
      </c>
      <c r="BI27" s="9">
        <v>5473</v>
      </c>
      <c r="BJ27" s="10">
        <v>3502.7200000000003</v>
      </c>
      <c r="BK27" s="9">
        <v>6440</v>
      </c>
      <c r="BL27" s="10">
        <v>4121.6000000000004</v>
      </c>
      <c r="BM27" s="9">
        <v>3542</v>
      </c>
      <c r="BN27" s="10">
        <v>2266.88</v>
      </c>
      <c r="BO27" s="9">
        <v>5124</v>
      </c>
      <c r="BP27" s="10">
        <v>3279.36</v>
      </c>
      <c r="BQ27" s="9">
        <v>6335</v>
      </c>
      <c r="BR27" s="10">
        <v>4054.4</v>
      </c>
      <c r="BS27" s="9">
        <v>5614</v>
      </c>
      <c r="BT27" s="10">
        <v>3592.96</v>
      </c>
      <c r="BU27" s="9">
        <v>8190</v>
      </c>
      <c r="BV27" s="10">
        <v>5241.6000000000004</v>
      </c>
      <c r="BW27" s="9">
        <v>8190</v>
      </c>
      <c r="BX27" s="10">
        <v>5241.6000000000004</v>
      </c>
      <c r="BY27" s="9">
        <v>5670</v>
      </c>
      <c r="BZ27" s="10">
        <v>3628.8</v>
      </c>
      <c r="CA27" s="9">
        <v>5670</v>
      </c>
      <c r="CB27" s="10">
        <v>3628.8</v>
      </c>
      <c r="CC27" s="9">
        <v>6510</v>
      </c>
      <c r="CD27" s="10">
        <v>4166.3999999999996</v>
      </c>
      <c r="CE27" s="19">
        <f t="shared" si="15"/>
        <v>6061.272727272727</v>
      </c>
      <c r="CF27" s="10">
        <f t="shared" si="16"/>
        <v>3879.2145454545462</v>
      </c>
      <c r="CG27" s="11">
        <v>6098.666666666667</v>
      </c>
      <c r="CH27" s="12">
        <v>3903.146666666667</v>
      </c>
      <c r="CI27" s="15">
        <v>0.69240875798114665</v>
      </c>
      <c r="CJ27" s="15"/>
      <c r="CK27" s="14">
        <v>6650</v>
      </c>
      <c r="CL27" s="10">
        <v>4256</v>
      </c>
      <c r="CM27" s="14">
        <v>3500</v>
      </c>
      <c r="CN27" s="15">
        <v>2240</v>
      </c>
      <c r="CO27" s="14">
        <v>6762</v>
      </c>
      <c r="CP27" s="15">
        <v>4327.68</v>
      </c>
      <c r="CQ27" s="14">
        <v>3514</v>
      </c>
      <c r="CR27" s="15">
        <v>2248.96</v>
      </c>
      <c r="CS27" s="14">
        <v>4410</v>
      </c>
      <c r="CT27" s="15">
        <v>2822.4</v>
      </c>
      <c r="CU27" s="14">
        <v>6356</v>
      </c>
      <c r="CV27" s="15">
        <v>4067.84</v>
      </c>
      <c r="CW27" s="14">
        <v>5292</v>
      </c>
      <c r="CX27" s="15">
        <v>3386.88</v>
      </c>
      <c r="CY27" s="14">
        <v>5614</v>
      </c>
      <c r="CZ27" s="15">
        <v>3592.96</v>
      </c>
      <c r="DA27" s="14">
        <v>5390</v>
      </c>
      <c r="DB27" s="15">
        <v>3449.6</v>
      </c>
      <c r="DC27" s="14">
        <v>4522</v>
      </c>
      <c r="DD27" s="15">
        <v>2894.08</v>
      </c>
      <c r="DE27" s="14">
        <v>3724</v>
      </c>
      <c r="DF27" s="15">
        <v>2383.36</v>
      </c>
      <c r="DG27" s="14">
        <v>4900</v>
      </c>
      <c r="DH27" s="15">
        <v>3136</v>
      </c>
      <c r="DI27" s="16">
        <f t="shared" si="17"/>
        <v>60634</v>
      </c>
      <c r="DJ27" s="16">
        <f t="shared" si="18"/>
        <v>38805.759999999995</v>
      </c>
      <c r="DK27" s="16">
        <f t="shared" si="19"/>
        <v>5075</v>
      </c>
      <c r="DL27" s="17">
        <f t="shared" si="20"/>
        <v>3248</v>
      </c>
      <c r="DM27" s="68">
        <f t="shared" si="2"/>
        <v>5052.833333333333</v>
      </c>
      <c r="DN27" s="294">
        <f t="shared" si="3"/>
        <v>3233.813333333333</v>
      </c>
      <c r="DO27" s="69">
        <f>DN27/$DN$57%</f>
        <v>0.54657791004940459</v>
      </c>
      <c r="DP27" s="14">
        <v>5698</v>
      </c>
      <c r="DQ27" s="10">
        <v>3646.7200000000003</v>
      </c>
      <c r="DR27" s="9">
        <v>3360</v>
      </c>
      <c r="DS27" s="10">
        <v>2150.4</v>
      </c>
      <c r="DT27" s="14"/>
      <c r="DU27" s="15"/>
      <c r="DV27" s="14"/>
      <c r="DW27" s="15"/>
      <c r="DX27" s="14"/>
      <c r="DY27" s="15"/>
      <c r="DZ27" s="14"/>
      <c r="EA27" s="15"/>
      <c r="EB27" s="14"/>
      <c r="EC27" s="15"/>
      <c r="ED27" s="14"/>
      <c r="EE27" s="15"/>
      <c r="EF27" s="14"/>
      <c r="EG27" s="15"/>
      <c r="EH27" s="14"/>
      <c r="EI27" s="15"/>
      <c r="EJ27" s="14"/>
      <c r="EK27" s="15"/>
      <c r="EL27" s="14"/>
      <c r="EM27" s="15"/>
      <c r="EN27" s="16">
        <f t="shared" ref="EN27" si="59">DP27+DR27+DT27+DV27+DX27+DZ27+EB27+ED27+EF27+EH27+EJ27+EL27</f>
        <v>9058</v>
      </c>
      <c r="EO27" s="16">
        <f t="shared" ref="EO27" si="60">DQ27+DS27+DU27+DW27+DY27+EA27+EC27+EE27+EG27+EI27+EK27+EM27</f>
        <v>5797.1200000000008</v>
      </c>
      <c r="EP27" s="68">
        <f t="shared" si="5"/>
        <v>4529</v>
      </c>
      <c r="EQ27" s="294">
        <f t="shared" si="6"/>
        <v>2898.5600000000004</v>
      </c>
      <c r="ER27" s="535">
        <f t="shared" si="56"/>
        <v>0.55986916195164282</v>
      </c>
      <c r="ES27" s="522">
        <f t="shared" si="7"/>
        <v>1.3291251902238232E-2</v>
      </c>
      <c r="ET27" s="522">
        <f t="shared" si="8"/>
        <v>-10.75862068965516</v>
      </c>
      <c r="EU27" s="522">
        <f t="shared" si="9"/>
        <v>-10.367120757330852</v>
      </c>
      <c r="EV27" s="522">
        <f t="shared" si="10"/>
        <v>-335.25333333333265</v>
      </c>
      <c r="EW27" s="523">
        <f t="shared" si="11"/>
        <v>-349.4399999999996</v>
      </c>
      <c r="EX27" s="522">
        <f t="shared" si="12"/>
        <v>-23.946666666666619</v>
      </c>
      <c r="EY27" s="522">
        <f t="shared" si="13"/>
        <v>-24.959999999999972</v>
      </c>
      <c r="EZ27" s="522">
        <f t="shared" si="14"/>
        <v>-49.919999999999945</v>
      </c>
    </row>
    <row r="28" spans="1:156" s="251" customFormat="1">
      <c r="A28" s="246"/>
      <c r="B28" s="247" t="s">
        <v>330</v>
      </c>
      <c r="C28" s="247"/>
      <c r="D28" s="246"/>
      <c r="E28" s="246"/>
      <c r="F28" s="246"/>
      <c r="G28" s="248"/>
      <c r="H28" s="249"/>
      <c r="I28" s="248"/>
      <c r="J28" s="249"/>
      <c r="K28" s="248"/>
      <c r="L28" s="249"/>
      <c r="M28" s="248"/>
      <c r="N28" s="249"/>
      <c r="O28" s="248"/>
      <c r="P28" s="249"/>
      <c r="Q28" s="248"/>
      <c r="R28" s="249"/>
      <c r="S28" s="248"/>
      <c r="T28" s="249"/>
      <c r="U28" s="248"/>
      <c r="V28" s="249"/>
      <c r="W28" s="248"/>
      <c r="X28" s="249"/>
      <c r="Y28" s="248"/>
      <c r="Z28" s="249"/>
      <c r="AA28" s="248"/>
      <c r="AB28" s="249"/>
      <c r="AC28" s="248"/>
      <c r="AD28" s="249"/>
      <c r="AE28" s="248"/>
      <c r="AF28" s="249"/>
      <c r="AG28" s="248"/>
      <c r="AH28" s="249"/>
      <c r="AI28" s="248"/>
      <c r="AJ28" s="249"/>
      <c r="AK28" s="248"/>
      <c r="AL28" s="249"/>
      <c r="AM28" s="248"/>
      <c r="AN28" s="249"/>
      <c r="AO28" s="248"/>
      <c r="AP28" s="249"/>
      <c r="AQ28" s="248"/>
      <c r="AR28" s="249"/>
      <c r="AS28" s="248"/>
      <c r="AT28" s="249"/>
      <c r="AU28" s="248"/>
      <c r="AV28" s="249"/>
      <c r="AW28" s="248"/>
      <c r="AX28" s="249"/>
      <c r="AY28" s="248"/>
      <c r="AZ28" s="249"/>
      <c r="BA28" s="248"/>
      <c r="BB28" s="249"/>
      <c r="BC28" s="248"/>
      <c r="BD28" s="249"/>
      <c r="BE28" s="248"/>
      <c r="BF28" s="249"/>
      <c r="BG28" s="248"/>
      <c r="BH28" s="249"/>
      <c r="BI28" s="248"/>
      <c r="BJ28" s="249"/>
      <c r="BK28" s="248"/>
      <c r="BL28" s="249"/>
      <c r="BM28" s="248"/>
      <c r="BN28" s="249"/>
      <c r="BO28" s="248"/>
      <c r="BP28" s="249"/>
      <c r="BQ28" s="248"/>
      <c r="BR28" s="249"/>
      <c r="BS28" s="248"/>
      <c r="BT28" s="249"/>
      <c r="BU28" s="248"/>
      <c r="BV28" s="249"/>
      <c r="BW28" s="248"/>
      <c r="BX28" s="249"/>
      <c r="BY28" s="248"/>
      <c r="BZ28" s="249"/>
      <c r="CA28" s="248"/>
      <c r="CB28" s="249"/>
      <c r="CC28" s="248"/>
      <c r="CD28" s="249"/>
      <c r="CE28" s="250"/>
      <c r="CF28" s="249"/>
      <c r="CG28" s="248">
        <f>SUM(CG27)</f>
        <v>6098.666666666667</v>
      </c>
      <c r="CH28" s="248">
        <f>SUM(CH27)</f>
        <v>3903.146666666667</v>
      </c>
      <c r="CI28" s="504"/>
      <c r="CJ28" s="504"/>
      <c r="CK28" s="505"/>
      <c r="CL28" s="249"/>
      <c r="CM28" s="505"/>
      <c r="CN28" s="504"/>
      <c r="CO28" s="505"/>
      <c r="CP28" s="504"/>
      <c r="CQ28" s="505"/>
      <c r="CR28" s="504"/>
      <c r="CS28" s="505"/>
      <c r="CT28" s="504"/>
      <c r="CU28" s="505"/>
      <c r="CV28" s="504"/>
      <c r="CW28" s="505"/>
      <c r="CX28" s="504"/>
      <c r="CY28" s="505"/>
      <c r="CZ28" s="504"/>
      <c r="DA28" s="505"/>
      <c r="DB28" s="504"/>
      <c r="DC28" s="505"/>
      <c r="DD28" s="504"/>
      <c r="DE28" s="505"/>
      <c r="DF28" s="504"/>
      <c r="DG28" s="505">
        <f>SUM(DG27)</f>
        <v>4900</v>
      </c>
      <c r="DH28" s="505">
        <f t="shared" ref="DH28:DN28" si="61">SUM(DH27)</f>
        <v>3136</v>
      </c>
      <c r="DI28" s="505">
        <f t="shared" si="61"/>
        <v>60634</v>
      </c>
      <c r="DJ28" s="505">
        <f t="shared" si="61"/>
        <v>38805.759999999995</v>
      </c>
      <c r="DK28" s="669">
        <f t="shared" si="19"/>
        <v>0</v>
      </c>
      <c r="DL28" s="670">
        <f t="shared" si="20"/>
        <v>0</v>
      </c>
      <c r="DM28" s="505">
        <f t="shared" si="61"/>
        <v>5052.833333333333</v>
      </c>
      <c r="DN28" s="505">
        <f t="shared" si="61"/>
        <v>3233.813333333333</v>
      </c>
      <c r="DO28" s="505">
        <f>SUM(DO27)</f>
        <v>0.54657791004940459</v>
      </c>
      <c r="DP28" s="505">
        <f t="shared" ref="DP28:EM28" si="62">SUM(DP27)</f>
        <v>5698</v>
      </c>
      <c r="DQ28" s="505">
        <f t="shared" si="62"/>
        <v>3646.7200000000003</v>
      </c>
      <c r="DR28" s="248">
        <f t="shared" si="62"/>
        <v>3360</v>
      </c>
      <c r="DS28" s="248">
        <f t="shared" si="62"/>
        <v>2150.4</v>
      </c>
      <c r="DT28" s="505">
        <f t="shared" si="62"/>
        <v>0</v>
      </c>
      <c r="DU28" s="505">
        <f t="shared" si="62"/>
        <v>0</v>
      </c>
      <c r="DV28" s="505">
        <f t="shared" si="62"/>
        <v>0</v>
      </c>
      <c r="DW28" s="505">
        <f t="shared" si="62"/>
        <v>0</v>
      </c>
      <c r="DX28" s="505">
        <f t="shared" si="62"/>
        <v>0</v>
      </c>
      <c r="DY28" s="505">
        <f t="shared" si="62"/>
        <v>0</v>
      </c>
      <c r="DZ28" s="505">
        <f t="shared" si="62"/>
        <v>0</v>
      </c>
      <c r="EA28" s="505">
        <f t="shared" si="62"/>
        <v>0</v>
      </c>
      <c r="EB28" s="505">
        <f t="shared" si="62"/>
        <v>0</v>
      </c>
      <c r="EC28" s="505">
        <f t="shared" si="62"/>
        <v>0</v>
      </c>
      <c r="ED28" s="505">
        <f t="shared" si="62"/>
        <v>0</v>
      </c>
      <c r="EE28" s="505">
        <f t="shared" si="62"/>
        <v>0</v>
      </c>
      <c r="EF28" s="505">
        <f t="shared" si="62"/>
        <v>0</v>
      </c>
      <c r="EG28" s="505">
        <f t="shared" si="62"/>
        <v>0</v>
      </c>
      <c r="EH28" s="505">
        <f t="shared" si="62"/>
        <v>0</v>
      </c>
      <c r="EI28" s="505">
        <f t="shared" si="62"/>
        <v>0</v>
      </c>
      <c r="EJ28" s="505">
        <f t="shared" si="62"/>
        <v>0</v>
      </c>
      <c r="EK28" s="505">
        <f t="shared" si="62"/>
        <v>0</v>
      </c>
      <c r="EL28" s="505">
        <f t="shared" si="62"/>
        <v>0</v>
      </c>
      <c r="EM28" s="505">
        <f t="shared" si="62"/>
        <v>0</v>
      </c>
      <c r="EN28" s="505">
        <f>SUM(EN27)</f>
        <v>9058</v>
      </c>
      <c r="EO28" s="505">
        <f t="shared" ref="EO28" si="63">SUM(EO27)</f>
        <v>5797.1200000000008</v>
      </c>
      <c r="EP28" s="502">
        <f t="shared" si="5"/>
        <v>4529</v>
      </c>
      <c r="EQ28" s="503">
        <f t="shared" si="6"/>
        <v>2898.5600000000004</v>
      </c>
      <c r="ER28" s="536">
        <f t="shared" si="56"/>
        <v>0.55986916195164282</v>
      </c>
      <c r="ES28" s="537">
        <f t="shared" si="7"/>
        <v>1.3291251902238232E-2</v>
      </c>
      <c r="ET28" s="537"/>
      <c r="EU28" s="537">
        <f t="shared" si="9"/>
        <v>-10.367120757330852</v>
      </c>
      <c r="EV28" s="537">
        <f t="shared" si="10"/>
        <v>-335.25333333333265</v>
      </c>
      <c r="EW28" s="538">
        <f t="shared" si="11"/>
        <v>2898.5600000000004</v>
      </c>
      <c r="EX28" s="537">
        <f t="shared" si="12"/>
        <v>-23.946666666666619</v>
      </c>
      <c r="EY28" s="537">
        <f t="shared" si="13"/>
        <v>207.04000000000002</v>
      </c>
      <c r="EZ28" s="537">
        <f t="shared" si="14"/>
        <v>414.08000000000004</v>
      </c>
    </row>
    <row r="29" spans="1:156">
      <c r="A29" s="7">
        <v>17</v>
      </c>
      <c r="B29" s="8" t="s">
        <v>32</v>
      </c>
      <c r="C29" s="8" t="s">
        <v>14</v>
      </c>
      <c r="D29" s="7">
        <v>0.64</v>
      </c>
      <c r="E29" s="7" t="s">
        <v>20</v>
      </c>
      <c r="F29" s="7">
        <v>1180</v>
      </c>
      <c r="G29" s="9"/>
      <c r="H29" s="10">
        <v>0</v>
      </c>
      <c r="I29" s="9"/>
      <c r="J29" s="10">
        <v>0</v>
      </c>
      <c r="K29" s="9"/>
      <c r="L29" s="10">
        <v>0</v>
      </c>
      <c r="M29" s="9"/>
      <c r="N29" s="10">
        <v>0</v>
      </c>
      <c r="O29" s="9"/>
      <c r="P29" s="10">
        <v>0</v>
      </c>
      <c r="Q29" s="9"/>
      <c r="R29" s="10">
        <v>0</v>
      </c>
      <c r="S29" s="9"/>
      <c r="T29" s="10">
        <v>0</v>
      </c>
      <c r="U29" s="9"/>
      <c r="V29" s="10">
        <v>0</v>
      </c>
      <c r="W29" s="9"/>
      <c r="X29" s="10">
        <v>0</v>
      </c>
      <c r="Y29" s="9"/>
      <c r="Z29" s="10">
        <v>0</v>
      </c>
      <c r="AA29" s="9"/>
      <c r="AB29" s="10">
        <v>0</v>
      </c>
      <c r="AC29" s="9"/>
      <c r="AD29" s="10">
        <v>0</v>
      </c>
      <c r="AE29" s="11">
        <v>0</v>
      </c>
      <c r="AF29" s="12">
        <v>0</v>
      </c>
      <c r="AG29" s="9"/>
      <c r="AH29" s="10">
        <v>0</v>
      </c>
      <c r="AI29" s="9"/>
      <c r="AJ29" s="10">
        <v>0</v>
      </c>
      <c r="AK29" s="9"/>
      <c r="AL29" s="10">
        <v>0</v>
      </c>
      <c r="AM29" s="9"/>
      <c r="AN29" s="10">
        <v>0</v>
      </c>
      <c r="AO29" s="9"/>
      <c r="AP29" s="10">
        <v>0</v>
      </c>
      <c r="AQ29" s="9"/>
      <c r="AR29" s="10">
        <v>0</v>
      </c>
      <c r="AS29" s="9"/>
      <c r="AT29" s="10">
        <v>0</v>
      </c>
      <c r="AU29" s="9"/>
      <c r="AV29" s="10">
        <v>0</v>
      </c>
      <c r="AW29" s="9"/>
      <c r="AX29" s="10">
        <v>0</v>
      </c>
      <c r="AY29" s="9"/>
      <c r="AZ29" s="10">
        <v>0</v>
      </c>
      <c r="BA29" s="9"/>
      <c r="BB29" s="10">
        <v>0</v>
      </c>
      <c r="BC29" s="9"/>
      <c r="BD29" s="10">
        <v>0</v>
      </c>
      <c r="BE29" s="11">
        <v>0</v>
      </c>
      <c r="BF29" s="12">
        <v>0</v>
      </c>
      <c r="BG29" s="9"/>
      <c r="BH29" s="10">
        <v>0</v>
      </c>
      <c r="BI29" s="9"/>
      <c r="BJ29" s="10">
        <v>0</v>
      </c>
      <c r="BK29" s="9">
        <v>2942</v>
      </c>
      <c r="BL29" s="10">
        <v>1882.88</v>
      </c>
      <c r="BM29" s="9">
        <v>651</v>
      </c>
      <c r="BN29" s="10">
        <v>416.64</v>
      </c>
      <c r="BO29" s="9">
        <v>2143</v>
      </c>
      <c r="BP29" s="10">
        <v>1371.52</v>
      </c>
      <c r="BQ29" s="9">
        <v>1267</v>
      </c>
      <c r="BR29" s="10">
        <v>810.88</v>
      </c>
      <c r="BS29" s="9">
        <v>371</v>
      </c>
      <c r="BT29" s="10">
        <v>237.44</v>
      </c>
      <c r="BU29" s="9">
        <v>336</v>
      </c>
      <c r="BV29" s="10">
        <v>215.04</v>
      </c>
      <c r="BW29" s="9">
        <v>770</v>
      </c>
      <c r="BX29" s="10">
        <v>492.8</v>
      </c>
      <c r="BY29" s="9">
        <v>3164</v>
      </c>
      <c r="BZ29" s="10">
        <v>2024.96</v>
      </c>
      <c r="CA29" s="9">
        <v>196</v>
      </c>
      <c r="CB29" s="10">
        <v>125.44</v>
      </c>
      <c r="CC29" s="9">
        <v>280</v>
      </c>
      <c r="CD29" s="10">
        <v>179.20000000000002</v>
      </c>
      <c r="CE29" s="19">
        <f t="shared" si="15"/>
        <v>1076.3636363636363</v>
      </c>
      <c r="CF29" s="10">
        <f t="shared" si="16"/>
        <v>688.87272727272727</v>
      </c>
      <c r="CG29" s="11">
        <v>1010</v>
      </c>
      <c r="CH29" s="12">
        <v>646.4</v>
      </c>
      <c r="CI29" s="15">
        <v>0.11466979321616058</v>
      </c>
      <c r="CJ29" s="15"/>
      <c r="CK29" s="14">
        <v>210</v>
      </c>
      <c r="CL29" s="10">
        <v>134.4</v>
      </c>
      <c r="CM29" s="14">
        <v>168</v>
      </c>
      <c r="CN29" s="15">
        <v>107.52</v>
      </c>
      <c r="CO29" s="14">
        <v>686</v>
      </c>
      <c r="CP29" s="15">
        <v>439.04</v>
      </c>
      <c r="CQ29" s="14">
        <v>112</v>
      </c>
      <c r="CR29" s="15">
        <v>71.680000000000007</v>
      </c>
      <c r="CS29" s="14">
        <v>294</v>
      </c>
      <c r="CT29" s="15">
        <v>188.16</v>
      </c>
      <c r="CU29" s="14">
        <v>126</v>
      </c>
      <c r="CV29" s="15">
        <v>80.64</v>
      </c>
      <c r="CW29" s="14">
        <v>182</v>
      </c>
      <c r="CX29" s="15">
        <v>116.48</v>
      </c>
      <c r="CY29" s="14">
        <v>210</v>
      </c>
      <c r="CZ29" s="15">
        <v>134.4</v>
      </c>
      <c r="DA29" s="14">
        <v>154</v>
      </c>
      <c r="DB29" s="15">
        <v>98.56</v>
      </c>
      <c r="DC29" s="14">
        <v>210</v>
      </c>
      <c r="DD29" s="15">
        <v>134.4</v>
      </c>
      <c r="DE29" s="14">
        <v>196</v>
      </c>
      <c r="DF29" s="15">
        <v>125.44</v>
      </c>
      <c r="DG29" s="14">
        <v>210</v>
      </c>
      <c r="DH29" s="15">
        <v>134.4</v>
      </c>
      <c r="DI29" s="16">
        <f t="shared" si="17"/>
        <v>2758</v>
      </c>
      <c r="DJ29" s="16">
        <f t="shared" si="18"/>
        <v>1765.1200000000003</v>
      </c>
      <c r="DK29" s="16">
        <f t="shared" si="19"/>
        <v>189</v>
      </c>
      <c r="DL29" s="17">
        <f t="shared" si="20"/>
        <v>120.96000000000001</v>
      </c>
      <c r="DM29" s="68">
        <f t="shared" si="2"/>
        <v>229.83333333333334</v>
      </c>
      <c r="DN29" s="294">
        <f t="shared" si="3"/>
        <v>147.09333333333336</v>
      </c>
      <c r="DO29" s="69">
        <f>DN29/$DN$57%</f>
        <v>2.486165972748389E-2</v>
      </c>
      <c r="DP29" s="14">
        <v>210</v>
      </c>
      <c r="DQ29" s="10">
        <v>134.4</v>
      </c>
      <c r="DR29" s="9">
        <v>224</v>
      </c>
      <c r="DS29" s="10">
        <v>143.36000000000001</v>
      </c>
      <c r="DT29" s="14"/>
      <c r="DU29" s="15"/>
      <c r="DV29" s="14"/>
      <c r="DW29" s="15"/>
      <c r="DX29" s="14"/>
      <c r="DY29" s="15"/>
      <c r="DZ29" s="14"/>
      <c r="EA29" s="15"/>
      <c r="EB29" s="14"/>
      <c r="EC29" s="15"/>
      <c r="ED29" s="14"/>
      <c r="EE29" s="15"/>
      <c r="EF29" s="14"/>
      <c r="EG29" s="15"/>
      <c r="EH29" s="14"/>
      <c r="EI29" s="15"/>
      <c r="EJ29" s="14"/>
      <c r="EK29" s="15"/>
      <c r="EL29" s="14"/>
      <c r="EM29" s="15"/>
      <c r="EN29" s="16">
        <f t="shared" ref="EN29" si="64">DP29+DR29+DT29+DV29+DX29+DZ29+EB29+ED29+EF29+EH29+EJ29+EL29</f>
        <v>434</v>
      </c>
      <c r="EO29" s="16">
        <f t="shared" ref="EO29" si="65">DQ29+DS29+DU29+DW29+DY29+EA29+EC29+EE29+EG29+EI29+EK29+EM29</f>
        <v>277.76</v>
      </c>
      <c r="EP29" s="68">
        <f t="shared" si="5"/>
        <v>217</v>
      </c>
      <c r="EQ29" s="294">
        <f t="shared" si="6"/>
        <v>138.88</v>
      </c>
      <c r="ER29" s="535">
        <f t="shared" si="56"/>
        <v>2.6825261237250268E-2</v>
      </c>
      <c r="ES29" s="522">
        <f t="shared" si="7"/>
        <v>1.9636015097663773E-3</v>
      </c>
      <c r="ET29" s="522">
        <f t="shared" si="8"/>
        <v>14.81481481481481</v>
      </c>
      <c r="EU29" s="522">
        <f t="shared" si="9"/>
        <v>-5.5837563451776759</v>
      </c>
      <c r="EV29" s="522">
        <f t="shared" si="10"/>
        <v>-8.2133333333333667</v>
      </c>
      <c r="EW29" s="523">
        <f t="shared" si="11"/>
        <v>17.919999999999987</v>
      </c>
      <c r="EX29" s="522">
        <f t="shared" si="12"/>
        <v>-0.586666666666669</v>
      </c>
      <c r="EY29" s="522">
        <f t="shared" si="13"/>
        <v>1.2799999999999991</v>
      </c>
      <c r="EZ29" s="522">
        <f t="shared" si="14"/>
        <v>2.5599999999999983</v>
      </c>
    </row>
    <row r="30" spans="1:156" s="251" customFormat="1">
      <c r="A30" s="246"/>
      <c r="B30" s="247" t="s">
        <v>32</v>
      </c>
      <c r="C30" s="247"/>
      <c r="D30" s="246"/>
      <c r="E30" s="246"/>
      <c r="F30" s="246"/>
      <c r="G30" s="248"/>
      <c r="H30" s="249"/>
      <c r="I30" s="248"/>
      <c r="J30" s="249"/>
      <c r="K30" s="248"/>
      <c r="L30" s="249"/>
      <c r="M30" s="248"/>
      <c r="N30" s="249"/>
      <c r="O30" s="248"/>
      <c r="P30" s="249"/>
      <c r="Q30" s="248"/>
      <c r="R30" s="249"/>
      <c r="S30" s="248"/>
      <c r="T30" s="249"/>
      <c r="U30" s="248"/>
      <c r="V30" s="249"/>
      <c r="W30" s="248"/>
      <c r="X30" s="249"/>
      <c r="Y30" s="248"/>
      <c r="Z30" s="249"/>
      <c r="AA30" s="248"/>
      <c r="AB30" s="249"/>
      <c r="AC30" s="248"/>
      <c r="AD30" s="249"/>
      <c r="AE30" s="248"/>
      <c r="AF30" s="249"/>
      <c r="AG30" s="248"/>
      <c r="AH30" s="249"/>
      <c r="AI30" s="248"/>
      <c r="AJ30" s="249"/>
      <c r="AK30" s="248"/>
      <c r="AL30" s="249"/>
      <c r="AM30" s="248"/>
      <c r="AN30" s="249"/>
      <c r="AO30" s="248"/>
      <c r="AP30" s="249"/>
      <c r="AQ30" s="248"/>
      <c r="AR30" s="249"/>
      <c r="AS30" s="248"/>
      <c r="AT30" s="249"/>
      <c r="AU30" s="248"/>
      <c r="AV30" s="249"/>
      <c r="AW30" s="248"/>
      <c r="AX30" s="249"/>
      <c r="AY30" s="248"/>
      <c r="AZ30" s="249"/>
      <c r="BA30" s="248"/>
      <c r="BB30" s="249"/>
      <c r="BC30" s="248"/>
      <c r="BD30" s="249"/>
      <c r="BE30" s="248"/>
      <c r="BF30" s="249"/>
      <c r="BG30" s="248"/>
      <c r="BH30" s="249"/>
      <c r="BI30" s="248"/>
      <c r="BJ30" s="249"/>
      <c r="BK30" s="248"/>
      <c r="BL30" s="249"/>
      <c r="BM30" s="248"/>
      <c r="BN30" s="249"/>
      <c r="BO30" s="248"/>
      <c r="BP30" s="249"/>
      <c r="BQ30" s="248"/>
      <c r="BR30" s="249"/>
      <c r="BS30" s="248"/>
      <c r="BT30" s="249"/>
      <c r="BU30" s="248"/>
      <c r="BV30" s="249"/>
      <c r="BW30" s="248"/>
      <c r="BX30" s="249"/>
      <c r="BY30" s="248"/>
      <c r="BZ30" s="249"/>
      <c r="CA30" s="248"/>
      <c r="CB30" s="249"/>
      <c r="CC30" s="248"/>
      <c r="CD30" s="249"/>
      <c r="CE30" s="250"/>
      <c r="CF30" s="249"/>
      <c r="CG30" s="248">
        <f>SUM(CG29)</f>
        <v>1010</v>
      </c>
      <c r="CH30" s="248">
        <f>SUM(CH29)</f>
        <v>646.4</v>
      </c>
      <c r="CI30" s="504"/>
      <c r="CJ30" s="504"/>
      <c r="CK30" s="505"/>
      <c r="CL30" s="249"/>
      <c r="CM30" s="505"/>
      <c r="CN30" s="504"/>
      <c r="CO30" s="505"/>
      <c r="CP30" s="504"/>
      <c r="CQ30" s="505"/>
      <c r="CR30" s="504"/>
      <c r="CS30" s="505"/>
      <c r="CT30" s="504"/>
      <c r="CU30" s="505"/>
      <c r="CV30" s="504"/>
      <c r="CW30" s="505"/>
      <c r="CX30" s="504"/>
      <c r="CY30" s="505"/>
      <c r="CZ30" s="504"/>
      <c r="DA30" s="505"/>
      <c r="DB30" s="504"/>
      <c r="DC30" s="505"/>
      <c r="DD30" s="504"/>
      <c r="DE30" s="505"/>
      <c r="DF30" s="504"/>
      <c r="DG30" s="505">
        <f>SUM(DG29)</f>
        <v>210</v>
      </c>
      <c r="DH30" s="505">
        <f t="shared" ref="DH30:DN30" si="66">SUM(DH29)</f>
        <v>134.4</v>
      </c>
      <c r="DI30" s="505">
        <f t="shared" si="66"/>
        <v>2758</v>
      </c>
      <c r="DJ30" s="505">
        <f t="shared" si="66"/>
        <v>1765.1200000000003</v>
      </c>
      <c r="DK30" s="669">
        <f t="shared" si="19"/>
        <v>0</v>
      </c>
      <c r="DL30" s="670">
        <f t="shared" si="20"/>
        <v>0</v>
      </c>
      <c r="DM30" s="505">
        <f t="shared" si="66"/>
        <v>229.83333333333334</v>
      </c>
      <c r="DN30" s="505">
        <f t="shared" si="66"/>
        <v>147.09333333333336</v>
      </c>
      <c r="DO30" s="505">
        <f>SUM(DO29)</f>
        <v>2.486165972748389E-2</v>
      </c>
      <c r="DP30" s="505">
        <f t="shared" ref="DP30:EM30" si="67">SUM(DP29)</f>
        <v>210</v>
      </c>
      <c r="DQ30" s="505">
        <f t="shared" si="67"/>
        <v>134.4</v>
      </c>
      <c r="DR30" s="248">
        <f t="shared" si="67"/>
        <v>224</v>
      </c>
      <c r="DS30" s="248">
        <f t="shared" si="67"/>
        <v>143.36000000000001</v>
      </c>
      <c r="DT30" s="505">
        <f t="shared" si="67"/>
        <v>0</v>
      </c>
      <c r="DU30" s="505">
        <f t="shared" si="67"/>
        <v>0</v>
      </c>
      <c r="DV30" s="505">
        <f t="shared" si="67"/>
        <v>0</v>
      </c>
      <c r="DW30" s="505">
        <f t="shared" si="67"/>
        <v>0</v>
      </c>
      <c r="DX30" s="505">
        <f t="shared" si="67"/>
        <v>0</v>
      </c>
      <c r="DY30" s="505">
        <f t="shared" si="67"/>
        <v>0</v>
      </c>
      <c r="DZ30" s="505">
        <f t="shared" si="67"/>
        <v>0</v>
      </c>
      <c r="EA30" s="505">
        <f t="shared" si="67"/>
        <v>0</v>
      </c>
      <c r="EB30" s="505">
        <f t="shared" si="67"/>
        <v>0</v>
      </c>
      <c r="EC30" s="505">
        <f t="shared" si="67"/>
        <v>0</v>
      </c>
      <c r="ED30" s="505">
        <f t="shared" si="67"/>
        <v>0</v>
      </c>
      <c r="EE30" s="505">
        <f t="shared" si="67"/>
        <v>0</v>
      </c>
      <c r="EF30" s="505">
        <f t="shared" si="67"/>
        <v>0</v>
      </c>
      <c r="EG30" s="505">
        <f t="shared" si="67"/>
        <v>0</v>
      </c>
      <c r="EH30" s="505">
        <f t="shared" si="67"/>
        <v>0</v>
      </c>
      <c r="EI30" s="505">
        <f t="shared" si="67"/>
        <v>0</v>
      </c>
      <c r="EJ30" s="505">
        <f t="shared" si="67"/>
        <v>0</v>
      </c>
      <c r="EK30" s="505">
        <f t="shared" si="67"/>
        <v>0</v>
      </c>
      <c r="EL30" s="505">
        <f t="shared" si="67"/>
        <v>0</v>
      </c>
      <c r="EM30" s="505">
        <f t="shared" si="67"/>
        <v>0</v>
      </c>
      <c r="EN30" s="505">
        <f t="shared" ref="EN30:EO30" si="68">SUM(EN29)</f>
        <v>434</v>
      </c>
      <c r="EO30" s="505">
        <f t="shared" si="68"/>
        <v>277.76</v>
      </c>
      <c r="EP30" s="502">
        <f t="shared" si="5"/>
        <v>217</v>
      </c>
      <c r="EQ30" s="503">
        <f t="shared" si="6"/>
        <v>138.88</v>
      </c>
      <c r="ER30" s="536">
        <f t="shared" si="56"/>
        <v>2.6825261237250268E-2</v>
      </c>
      <c r="ES30" s="537">
        <f t="shared" si="7"/>
        <v>1.9636015097663773E-3</v>
      </c>
      <c r="ET30" s="537"/>
      <c r="EU30" s="537">
        <f t="shared" si="9"/>
        <v>-5.5837563451776759</v>
      </c>
      <c r="EV30" s="537">
        <f t="shared" si="10"/>
        <v>-8.2133333333333667</v>
      </c>
      <c r="EW30" s="538">
        <f t="shared" si="11"/>
        <v>138.88</v>
      </c>
      <c r="EX30" s="537">
        <f t="shared" si="12"/>
        <v>-0.586666666666669</v>
      </c>
      <c r="EY30" s="537">
        <f t="shared" si="13"/>
        <v>9.92</v>
      </c>
      <c r="EZ30" s="537">
        <f t="shared" si="14"/>
        <v>19.84</v>
      </c>
    </row>
    <row r="31" spans="1:156">
      <c r="A31" s="7">
        <v>18</v>
      </c>
      <c r="B31" s="8" t="s">
        <v>33</v>
      </c>
      <c r="C31" s="8" t="s">
        <v>14</v>
      </c>
      <c r="D31" s="7">
        <v>0.64</v>
      </c>
      <c r="E31" s="7" t="s">
        <v>18</v>
      </c>
      <c r="F31" s="7">
        <v>1230</v>
      </c>
      <c r="G31" s="9">
        <v>12312</v>
      </c>
      <c r="H31" s="10">
        <v>7879.68</v>
      </c>
      <c r="I31" s="9">
        <v>9552</v>
      </c>
      <c r="J31" s="10">
        <v>6113.28</v>
      </c>
      <c r="K31" s="9">
        <v>17280</v>
      </c>
      <c r="L31" s="10">
        <v>11059.2</v>
      </c>
      <c r="M31" s="9">
        <v>8328</v>
      </c>
      <c r="N31" s="10">
        <v>5329.92</v>
      </c>
      <c r="O31" s="9">
        <v>8640</v>
      </c>
      <c r="P31" s="10">
        <v>5529.6</v>
      </c>
      <c r="Q31" s="9">
        <v>15312</v>
      </c>
      <c r="R31" s="10">
        <v>9799.68</v>
      </c>
      <c r="S31" s="9">
        <v>10944</v>
      </c>
      <c r="T31" s="10">
        <v>7004.16</v>
      </c>
      <c r="U31" s="9">
        <v>12888</v>
      </c>
      <c r="V31" s="10">
        <v>8248.32</v>
      </c>
      <c r="W31" s="9">
        <v>11496</v>
      </c>
      <c r="X31" s="10">
        <v>7357.4400000000005</v>
      </c>
      <c r="Y31" s="9">
        <v>8736</v>
      </c>
      <c r="Z31" s="10">
        <v>5591.04</v>
      </c>
      <c r="AA31" s="9">
        <v>5760</v>
      </c>
      <c r="AB31" s="10">
        <v>3686.4</v>
      </c>
      <c r="AC31" s="9">
        <v>13536</v>
      </c>
      <c r="AD31" s="10">
        <v>8663.0400000000009</v>
      </c>
      <c r="AE31" s="11">
        <v>11232</v>
      </c>
      <c r="AF31" s="12">
        <v>7188.4800000000005</v>
      </c>
      <c r="AG31" s="9">
        <v>15072</v>
      </c>
      <c r="AH31" s="10">
        <v>9646.08</v>
      </c>
      <c r="AI31" s="9">
        <v>5352</v>
      </c>
      <c r="AJ31" s="10">
        <v>3425.28</v>
      </c>
      <c r="AK31" s="9">
        <v>11496</v>
      </c>
      <c r="AL31" s="10">
        <v>7357.4400000000005</v>
      </c>
      <c r="AM31" s="9">
        <v>10296</v>
      </c>
      <c r="AN31" s="10">
        <v>6589.4400000000005</v>
      </c>
      <c r="AO31" s="9">
        <v>9336</v>
      </c>
      <c r="AP31" s="10">
        <v>5975.04</v>
      </c>
      <c r="AQ31" s="9">
        <v>11016</v>
      </c>
      <c r="AR31" s="10">
        <v>7050.24</v>
      </c>
      <c r="AS31" s="9">
        <v>13056</v>
      </c>
      <c r="AT31" s="10">
        <v>8355.84</v>
      </c>
      <c r="AU31" s="9">
        <v>14400</v>
      </c>
      <c r="AV31" s="10">
        <v>9216</v>
      </c>
      <c r="AW31" s="9">
        <v>12576</v>
      </c>
      <c r="AX31" s="10">
        <v>8048.64</v>
      </c>
      <c r="AY31" s="9">
        <v>10680</v>
      </c>
      <c r="AZ31" s="10">
        <v>6835.2</v>
      </c>
      <c r="BA31" s="9">
        <v>6942</v>
      </c>
      <c r="BB31" s="10">
        <v>4442.88</v>
      </c>
      <c r="BC31" s="9">
        <v>17568</v>
      </c>
      <c r="BD31" s="10">
        <v>11243.52</v>
      </c>
      <c r="BE31" s="11">
        <v>11482.5</v>
      </c>
      <c r="BF31" s="12">
        <v>7348.8</v>
      </c>
      <c r="BG31" s="9">
        <v>5832</v>
      </c>
      <c r="BH31" s="10">
        <v>3732.48</v>
      </c>
      <c r="BI31" s="9">
        <v>7320</v>
      </c>
      <c r="BJ31" s="10">
        <v>4684.8</v>
      </c>
      <c r="BK31" s="9">
        <v>12024</v>
      </c>
      <c r="BL31" s="10">
        <v>7695.3600000000006</v>
      </c>
      <c r="BM31" s="9">
        <v>6528</v>
      </c>
      <c r="BN31" s="10">
        <v>4177.92</v>
      </c>
      <c r="BO31" s="9">
        <v>7944</v>
      </c>
      <c r="BP31" s="10">
        <v>5084.16</v>
      </c>
      <c r="BQ31" s="9">
        <v>9492</v>
      </c>
      <c r="BR31" s="10">
        <v>6074.88</v>
      </c>
      <c r="BS31" s="9">
        <v>11832</v>
      </c>
      <c r="BT31" s="10">
        <v>7572.4800000000005</v>
      </c>
      <c r="BU31" s="9">
        <v>12852</v>
      </c>
      <c r="BV31" s="10">
        <v>8225.2800000000007</v>
      </c>
      <c r="BW31" s="9">
        <v>10104</v>
      </c>
      <c r="BX31" s="10">
        <v>6466.56</v>
      </c>
      <c r="BY31" s="9">
        <v>12240</v>
      </c>
      <c r="BZ31" s="10">
        <v>7833.6</v>
      </c>
      <c r="CA31" s="9">
        <v>8880</v>
      </c>
      <c r="CB31" s="10">
        <v>5683.2</v>
      </c>
      <c r="CC31" s="9">
        <v>12951</v>
      </c>
      <c r="CD31" s="10">
        <v>8288.64</v>
      </c>
      <c r="CE31" s="19">
        <f t="shared" si="15"/>
        <v>9549.818181818182</v>
      </c>
      <c r="CF31" s="10">
        <f t="shared" si="16"/>
        <v>6111.8836363636365</v>
      </c>
      <c r="CG31" s="11">
        <v>9833.25</v>
      </c>
      <c r="CH31" s="12">
        <v>6293.28</v>
      </c>
      <c r="CI31" s="15">
        <v>1.1164126179631793</v>
      </c>
      <c r="CJ31" s="15"/>
      <c r="CK31" s="14">
        <v>10968</v>
      </c>
      <c r="CL31" s="10">
        <v>7019.52</v>
      </c>
      <c r="CM31" s="14">
        <v>10200</v>
      </c>
      <c r="CN31" s="15">
        <v>6528</v>
      </c>
      <c r="CO31" s="14">
        <v>14808</v>
      </c>
      <c r="CP31" s="15">
        <v>9477.1200000000008</v>
      </c>
      <c r="CQ31" s="14">
        <v>8928</v>
      </c>
      <c r="CR31" s="15">
        <v>5713.92</v>
      </c>
      <c r="CS31" s="14">
        <v>13152</v>
      </c>
      <c r="CT31" s="15">
        <v>8417.2800000000007</v>
      </c>
      <c r="CU31" s="14">
        <v>13198</v>
      </c>
      <c r="CV31" s="15">
        <v>8446.7199999999993</v>
      </c>
      <c r="CW31" s="14">
        <v>11976</v>
      </c>
      <c r="CX31" s="15">
        <v>7664.64</v>
      </c>
      <c r="CY31" s="14">
        <v>11280</v>
      </c>
      <c r="CZ31" s="15">
        <v>7219.2</v>
      </c>
      <c r="DA31" s="14">
        <v>8160</v>
      </c>
      <c r="DB31" s="15">
        <v>5222.4000000000005</v>
      </c>
      <c r="DC31" s="14">
        <v>7848</v>
      </c>
      <c r="DD31" s="15">
        <v>5022.72</v>
      </c>
      <c r="DE31" s="14">
        <v>7464</v>
      </c>
      <c r="DF31" s="15">
        <v>4776.96</v>
      </c>
      <c r="DG31" s="14">
        <v>8880</v>
      </c>
      <c r="DH31" s="15">
        <v>5683.2</v>
      </c>
      <c r="DI31" s="16">
        <f t="shared" si="17"/>
        <v>126862</v>
      </c>
      <c r="DJ31" s="16">
        <f t="shared" si="18"/>
        <v>81191.679999999993</v>
      </c>
      <c r="DK31" s="16">
        <f t="shared" si="19"/>
        <v>10584</v>
      </c>
      <c r="DL31" s="17">
        <f t="shared" si="20"/>
        <v>6773.76</v>
      </c>
      <c r="DM31" s="68">
        <f t="shared" si="2"/>
        <v>10571.833333333334</v>
      </c>
      <c r="DN31" s="294">
        <f t="shared" si="3"/>
        <v>6765.9733333333324</v>
      </c>
      <c r="DO31" s="69">
        <f>DN31/$DN$57%</f>
        <v>1.1435822611849384</v>
      </c>
      <c r="DP31" s="14">
        <v>12360</v>
      </c>
      <c r="DQ31" s="10">
        <v>7910.4000000000005</v>
      </c>
      <c r="DR31" s="9">
        <v>11496</v>
      </c>
      <c r="DS31" s="10">
        <v>7357.4400000000005</v>
      </c>
      <c r="DT31" s="14"/>
      <c r="DU31" s="15"/>
      <c r="DV31" s="14"/>
      <c r="DW31" s="15"/>
      <c r="DX31" s="14"/>
      <c r="DY31" s="15"/>
      <c r="DZ31" s="14"/>
      <c r="EA31" s="15"/>
      <c r="EB31" s="14"/>
      <c r="EC31" s="15"/>
      <c r="ED31" s="14"/>
      <c r="EE31" s="15"/>
      <c r="EF31" s="14"/>
      <c r="EG31" s="15"/>
      <c r="EH31" s="14"/>
      <c r="EI31" s="15"/>
      <c r="EJ31" s="14"/>
      <c r="EK31" s="15"/>
      <c r="EL31" s="14"/>
      <c r="EM31" s="15"/>
      <c r="EN31" s="16">
        <f t="shared" ref="EN31" si="69">DP31+DR31+DT31+DV31+DX31+DZ31+EB31+ED31+EF31+EH31+EJ31+EL31</f>
        <v>23856</v>
      </c>
      <c r="EO31" s="16">
        <f t="shared" ref="EO31" si="70">DQ31+DS31+DU31+DW31+DY31+EA31+EC31+EE31+EG31+EI31+EK31+EM31</f>
        <v>15267.84</v>
      </c>
      <c r="EP31" s="68">
        <f t="shared" si="5"/>
        <v>11928</v>
      </c>
      <c r="EQ31" s="294">
        <f t="shared" si="6"/>
        <v>7633.92</v>
      </c>
      <c r="ER31" s="535">
        <f t="shared" si="56"/>
        <v>1.4745240370411117</v>
      </c>
      <c r="ES31" s="522">
        <f t="shared" si="7"/>
        <v>0.33094177585617324</v>
      </c>
      <c r="ET31" s="522">
        <f t="shared" si="8"/>
        <v>12.698412698412696</v>
      </c>
      <c r="EU31" s="522">
        <f t="shared" si="9"/>
        <v>12.82811243713644</v>
      </c>
      <c r="EV31" s="522">
        <f t="shared" si="10"/>
        <v>867.94666666666762</v>
      </c>
      <c r="EW31" s="523">
        <f t="shared" si="11"/>
        <v>860.15999999999985</v>
      </c>
      <c r="EX31" s="522">
        <f t="shared" si="12"/>
        <v>61.996190476190542</v>
      </c>
      <c r="EY31" s="522">
        <f t="shared" si="13"/>
        <v>61.439999999999991</v>
      </c>
      <c r="EZ31" s="522">
        <f t="shared" si="14"/>
        <v>122.87999999999998</v>
      </c>
    </row>
    <row r="32" spans="1:156" s="251" customFormat="1">
      <c r="A32" s="246"/>
      <c r="B32" s="247" t="s">
        <v>33</v>
      </c>
      <c r="C32" s="247"/>
      <c r="D32" s="246"/>
      <c r="E32" s="246"/>
      <c r="F32" s="246"/>
      <c r="G32" s="248"/>
      <c r="H32" s="249"/>
      <c r="I32" s="248"/>
      <c r="J32" s="249"/>
      <c r="K32" s="248"/>
      <c r="L32" s="249"/>
      <c r="M32" s="248"/>
      <c r="N32" s="249"/>
      <c r="O32" s="248"/>
      <c r="P32" s="249"/>
      <c r="Q32" s="248"/>
      <c r="R32" s="249"/>
      <c r="S32" s="248"/>
      <c r="T32" s="249"/>
      <c r="U32" s="248"/>
      <c r="V32" s="249"/>
      <c r="W32" s="248"/>
      <c r="X32" s="249"/>
      <c r="Y32" s="248"/>
      <c r="Z32" s="249"/>
      <c r="AA32" s="248"/>
      <c r="AB32" s="249"/>
      <c r="AC32" s="248"/>
      <c r="AD32" s="249"/>
      <c r="AE32" s="248"/>
      <c r="AF32" s="249"/>
      <c r="AG32" s="248"/>
      <c r="AH32" s="249"/>
      <c r="AI32" s="248"/>
      <c r="AJ32" s="249"/>
      <c r="AK32" s="248"/>
      <c r="AL32" s="249"/>
      <c r="AM32" s="248"/>
      <c r="AN32" s="249"/>
      <c r="AO32" s="248"/>
      <c r="AP32" s="249"/>
      <c r="AQ32" s="248"/>
      <c r="AR32" s="249"/>
      <c r="AS32" s="248"/>
      <c r="AT32" s="249"/>
      <c r="AU32" s="248"/>
      <c r="AV32" s="249"/>
      <c r="AW32" s="248"/>
      <c r="AX32" s="249"/>
      <c r="AY32" s="248"/>
      <c r="AZ32" s="249"/>
      <c r="BA32" s="248"/>
      <c r="BB32" s="249"/>
      <c r="BC32" s="248"/>
      <c r="BD32" s="249"/>
      <c r="BE32" s="248"/>
      <c r="BF32" s="249"/>
      <c r="BG32" s="248"/>
      <c r="BH32" s="249"/>
      <c r="BI32" s="248"/>
      <c r="BJ32" s="249"/>
      <c r="BK32" s="248"/>
      <c r="BL32" s="249"/>
      <c r="BM32" s="248"/>
      <c r="BN32" s="249"/>
      <c r="BO32" s="248"/>
      <c r="BP32" s="249"/>
      <c r="BQ32" s="248"/>
      <c r="BR32" s="249"/>
      <c r="BS32" s="248"/>
      <c r="BT32" s="249"/>
      <c r="BU32" s="248"/>
      <c r="BV32" s="249"/>
      <c r="BW32" s="248"/>
      <c r="BX32" s="249"/>
      <c r="BY32" s="248"/>
      <c r="BZ32" s="249"/>
      <c r="CA32" s="248"/>
      <c r="CB32" s="249"/>
      <c r="CC32" s="248"/>
      <c r="CD32" s="249"/>
      <c r="CE32" s="250"/>
      <c r="CF32" s="249"/>
      <c r="CG32" s="248">
        <f>SUM(CG31)</f>
        <v>9833.25</v>
      </c>
      <c r="CH32" s="248">
        <f>SUM(CH31)</f>
        <v>6293.28</v>
      </c>
      <c r="CI32" s="504"/>
      <c r="CJ32" s="504"/>
      <c r="CK32" s="505"/>
      <c r="CL32" s="249"/>
      <c r="CM32" s="505"/>
      <c r="CN32" s="504"/>
      <c r="CO32" s="505"/>
      <c r="CP32" s="504"/>
      <c r="CQ32" s="505"/>
      <c r="CR32" s="504"/>
      <c r="CS32" s="505"/>
      <c r="CT32" s="504"/>
      <c r="CU32" s="505"/>
      <c r="CV32" s="504"/>
      <c r="CW32" s="505"/>
      <c r="CX32" s="504"/>
      <c r="CY32" s="505"/>
      <c r="CZ32" s="504"/>
      <c r="DA32" s="505"/>
      <c r="DB32" s="504"/>
      <c r="DC32" s="505"/>
      <c r="DD32" s="504"/>
      <c r="DE32" s="505"/>
      <c r="DF32" s="504"/>
      <c r="DG32" s="505">
        <f>SUM(DG31)</f>
        <v>8880</v>
      </c>
      <c r="DH32" s="505">
        <f t="shared" ref="DH32:EM32" si="71">SUM(DH31)</f>
        <v>5683.2</v>
      </c>
      <c r="DI32" s="505">
        <f t="shared" si="71"/>
        <v>126862</v>
      </c>
      <c r="DJ32" s="505">
        <f t="shared" si="71"/>
        <v>81191.679999999993</v>
      </c>
      <c r="DK32" s="669">
        <f t="shared" si="19"/>
        <v>0</v>
      </c>
      <c r="DL32" s="670">
        <f t="shared" si="20"/>
        <v>0</v>
      </c>
      <c r="DM32" s="505">
        <f t="shared" si="71"/>
        <v>10571.833333333334</v>
      </c>
      <c r="DN32" s="505">
        <f t="shared" si="71"/>
        <v>6765.9733333333324</v>
      </c>
      <c r="DO32" s="505">
        <f t="shared" si="71"/>
        <v>1.1435822611849384</v>
      </c>
      <c r="DP32" s="505">
        <f t="shared" si="71"/>
        <v>12360</v>
      </c>
      <c r="DQ32" s="505">
        <f t="shared" si="71"/>
        <v>7910.4000000000005</v>
      </c>
      <c r="DR32" s="248">
        <f t="shared" si="71"/>
        <v>11496</v>
      </c>
      <c r="DS32" s="248">
        <f t="shared" si="71"/>
        <v>7357.4400000000005</v>
      </c>
      <c r="DT32" s="505">
        <f t="shared" si="71"/>
        <v>0</v>
      </c>
      <c r="DU32" s="505">
        <f t="shared" si="71"/>
        <v>0</v>
      </c>
      <c r="DV32" s="505">
        <f t="shared" si="71"/>
        <v>0</v>
      </c>
      <c r="DW32" s="505">
        <f t="shared" si="71"/>
        <v>0</v>
      </c>
      <c r="DX32" s="505">
        <f t="shared" si="71"/>
        <v>0</v>
      </c>
      <c r="DY32" s="505">
        <f t="shared" si="71"/>
        <v>0</v>
      </c>
      <c r="DZ32" s="505">
        <f t="shared" si="71"/>
        <v>0</v>
      </c>
      <c r="EA32" s="505">
        <f t="shared" si="71"/>
        <v>0</v>
      </c>
      <c r="EB32" s="505">
        <f t="shared" si="71"/>
        <v>0</v>
      </c>
      <c r="EC32" s="505">
        <f t="shared" si="71"/>
        <v>0</v>
      </c>
      <c r="ED32" s="505">
        <f t="shared" si="71"/>
        <v>0</v>
      </c>
      <c r="EE32" s="505">
        <f t="shared" si="71"/>
        <v>0</v>
      </c>
      <c r="EF32" s="505">
        <f t="shared" si="71"/>
        <v>0</v>
      </c>
      <c r="EG32" s="505">
        <f t="shared" si="71"/>
        <v>0</v>
      </c>
      <c r="EH32" s="505">
        <f t="shared" si="71"/>
        <v>0</v>
      </c>
      <c r="EI32" s="505">
        <f t="shared" si="71"/>
        <v>0</v>
      </c>
      <c r="EJ32" s="505">
        <f t="shared" si="71"/>
        <v>0</v>
      </c>
      <c r="EK32" s="505">
        <f t="shared" si="71"/>
        <v>0</v>
      </c>
      <c r="EL32" s="505">
        <f t="shared" si="71"/>
        <v>0</v>
      </c>
      <c r="EM32" s="505">
        <f t="shared" si="71"/>
        <v>0</v>
      </c>
      <c r="EN32" s="505">
        <f t="shared" ref="EN32:EO32" si="72">SUM(EN31)</f>
        <v>23856</v>
      </c>
      <c r="EO32" s="505">
        <f t="shared" si="72"/>
        <v>15267.84</v>
      </c>
      <c r="EP32" s="502">
        <f t="shared" si="5"/>
        <v>11928</v>
      </c>
      <c r="EQ32" s="503">
        <f t="shared" si="6"/>
        <v>7633.92</v>
      </c>
      <c r="ER32" s="536">
        <f t="shared" si="56"/>
        <v>1.4745240370411117</v>
      </c>
      <c r="ES32" s="537">
        <f t="shared" si="7"/>
        <v>0.33094177585617324</v>
      </c>
      <c r="ET32" s="537"/>
      <c r="EU32" s="537">
        <f t="shared" si="9"/>
        <v>12.82811243713644</v>
      </c>
      <c r="EV32" s="537">
        <f t="shared" si="10"/>
        <v>867.94666666666762</v>
      </c>
      <c r="EW32" s="538">
        <f t="shared" si="11"/>
        <v>7633.92</v>
      </c>
      <c r="EX32" s="537">
        <f t="shared" si="12"/>
        <v>61.996190476190542</v>
      </c>
      <c r="EY32" s="537">
        <f t="shared" si="13"/>
        <v>545.28</v>
      </c>
      <c r="EZ32" s="537">
        <f t="shared" si="14"/>
        <v>1090.56</v>
      </c>
    </row>
    <row r="33" spans="1:156">
      <c r="A33" s="7">
        <v>19</v>
      </c>
      <c r="B33" s="8" t="s">
        <v>42</v>
      </c>
      <c r="C33" s="8" t="s">
        <v>14</v>
      </c>
      <c r="D33" s="7">
        <v>0.64</v>
      </c>
      <c r="E33" s="7" t="s">
        <v>20</v>
      </c>
      <c r="F33" s="7">
        <v>1230</v>
      </c>
      <c r="G33" s="9">
        <v>20902</v>
      </c>
      <c r="H33" s="10">
        <v>13377.28</v>
      </c>
      <c r="I33" s="9">
        <v>17052</v>
      </c>
      <c r="J33" s="10">
        <v>10913.28</v>
      </c>
      <c r="K33" s="9">
        <v>20062</v>
      </c>
      <c r="L33" s="10">
        <v>12839.68</v>
      </c>
      <c r="M33" s="9">
        <v>15960</v>
      </c>
      <c r="N33" s="10">
        <v>10214.4</v>
      </c>
      <c r="O33" s="9">
        <v>20048</v>
      </c>
      <c r="P33" s="10">
        <v>12830.720000000001</v>
      </c>
      <c r="Q33" s="9">
        <v>16450</v>
      </c>
      <c r="R33" s="10">
        <v>10528</v>
      </c>
      <c r="S33" s="9">
        <v>17010</v>
      </c>
      <c r="T33" s="10">
        <v>10886.4</v>
      </c>
      <c r="U33" s="9">
        <v>15974</v>
      </c>
      <c r="V33" s="10">
        <v>10223.36</v>
      </c>
      <c r="W33" s="9">
        <v>13356</v>
      </c>
      <c r="X33" s="10">
        <v>8547.84</v>
      </c>
      <c r="Y33" s="9">
        <v>19488</v>
      </c>
      <c r="Z33" s="10">
        <v>12472.32</v>
      </c>
      <c r="AA33" s="9">
        <v>11046</v>
      </c>
      <c r="AB33" s="10">
        <v>7069.4400000000005</v>
      </c>
      <c r="AC33" s="9">
        <v>23226</v>
      </c>
      <c r="AD33" s="10">
        <v>14864.64</v>
      </c>
      <c r="AE33" s="11">
        <v>17547.833333333332</v>
      </c>
      <c r="AF33" s="12">
        <v>11230.613333333333</v>
      </c>
      <c r="AG33" s="9">
        <v>15862</v>
      </c>
      <c r="AH33" s="10">
        <v>10151.68</v>
      </c>
      <c r="AI33" s="9">
        <v>16128</v>
      </c>
      <c r="AJ33" s="10">
        <v>10321.92</v>
      </c>
      <c r="AK33" s="9">
        <v>15082</v>
      </c>
      <c r="AL33" s="10">
        <v>9652.48</v>
      </c>
      <c r="AM33" s="9">
        <v>17766</v>
      </c>
      <c r="AN33" s="10">
        <v>11370.24</v>
      </c>
      <c r="AO33" s="9">
        <v>11270</v>
      </c>
      <c r="AP33" s="10">
        <v>7212.8</v>
      </c>
      <c r="AQ33" s="9">
        <v>17654</v>
      </c>
      <c r="AR33" s="10">
        <v>11298.56</v>
      </c>
      <c r="AS33" s="9">
        <v>16464</v>
      </c>
      <c r="AT33" s="10">
        <v>10536.960000000001</v>
      </c>
      <c r="AU33" s="9">
        <v>14602</v>
      </c>
      <c r="AV33" s="10">
        <v>9345.2800000000007</v>
      </c>
      <c r="AW33" s="9">
        <v>16268</v>
      </c>
      <c r="AX33" s="10">
        <v>10411.52</v>
      </c>
      <c r="AY33" s="9">
        <v>14196</v>
      </c>
      <c r="AZ33" s="10">
        <v>9085.44</v>
      </c>
      <c r="BA33" s="9">
        <v>11200</v>
      </c>
      <c r="BB33" s="10">
        <v>7168</v>
      </c>
      <c r="BC33" s="9">
        <v>25116</v>
      </c>
      <c r="BD33" s="10">
        <v>16074.24</v>
      </c>
      <c r="BE33" s="11">
        <v>15967.333333333334</v>
      </c>
      <c r="BF33" s="12">
        <v>10219.093333333334</v>
      </c>
      <c r="BG33" s="9">
        <v>18844</v>
      </c>
      <c r="BH33" s="10">
        <v>12060.16</v>
      </c>
      <c r="BI33" s="9">
        <v>11788</v>
      </c>
      <c r="BJ33" s="10">
        <v>7544.32</v>
      </c>
      <c r="BK33" s="9">
        <v>16646</v>
      </c>
      <c r="BL33" s="10">
        <v>10653.44</v>
      </c>
      <c r="BM33" s="9">
        <v>15669</v>
      </c>
      <c r="BN33" s="10">
        <v>10028.16</v>
      </c>
      <c r="BO33" s="9">
        <v>14661</v>
      </c>
      <c r="BP33" s="10">
        <v>9383.0400000000009</v>
      </c>
      <c r="BQ33" s="9">
        <v>16002</v>
      </c>
      <c r="BR33" s="10">
        <v>10241.280000000001</v>
      </c>
      <c r="BS33" s="9">
        <v>18228</v>
      </c>
      <c r="BT33" s="10">
        <v>11665.92</v>
      </c>
      <c r="BU33" s="9">
        <v>16450</v>
      </c>
      <c r="BV33" s="10">
        <v>10528</v>
      </c>
      <c r="BW33" s="9">
        <v>15610</v>
      </c>
      <c r="BX33" s="10">
        <v>9990.4</v>
      </c>
      <c r="BY33" s="9">
        <v>16590</v>
      </c>
      <c r="BZ33" s="10">
        <v>10617.6</v>
      </c>
      <c r="CA33" s="9">
        <v>17080</v>
      </c>
      <c r="CB33" s="10">
        <v>10931.2</v>
      </c>
      <c r="CC33" s="9">
        <v>20748</v>
      </c>
      <c r="CD33" s="10">
        <v>13278.720000000001</v>
      </c>
      <c r="CE33" s="19">
        <f t="shared" si="15"/>
        <v>16142.545454545454</v>
      </c>
      <c r="CF33" s="10">
        <f t="shared" si="16"/>
        <v>10331.229090909092</v>
      </c>
      <c r="CG33" s="11">
        <v>16526.333333333332</v>
      </c>
      <c r="CH33" s="12">
        <v>10576.853333333333</v>
      </c>
      <c r="CI33" s="15">
        <v>1.8763081445095793</v>
      </c>
      <c r="CJ33" s="15">
        <v>3.8</v>
      </c>
      <c r="CK33" s="14">
        <v>16170</v>
      </c>
      <c r="CL33" s="10">
        <v>10348.800000000001</v>
      </c>
      <c r="CM33" s="14">
        <v>16310</v>
      </c>
      <c r="CN33" s="15">
        <v>10438.4</v>
      </c>
      <c r="CO33" s="14">
        <v>17892</v>
      </c>
      <c r="CP33" s="15">
        <v>11450.880000000001</v>
      </c>
      <c r="CQ33" s="14">
        <v>24304</v>
      </c>
      <c r="CR33" s="15">
        <v>15554.56</v>
      </c>
      <c r="CS33" s="14">
        <v>12362</v>
      </c>
      <c r="CT33" s="15">
        <v>7911.68</v>
      </c>
      <c r="CU33" s="14">
        <v>16254</v>
      </c>
      <c r="CV33" s="15">
        <v>10402.56</v>
      </c>
      <c r="CW33" s="14">
        <v>13622</v>
      </c>
      <c r="CX33" s="15">
        <v>8718.08</v>
      </c>
      <c r="CY33" s="14">
        <v>15515</v>
      </c>
      <c r="CZ33" s="15">
        <v>9929.6</v>
      </c>
      <c r="DA33" s="14">
        <v>13034</v>
      </c>
      <c r="DB33" s="15">
        <v>8341.76</v>
      </c>
      <c r="DC33" s="14">
        <v>16534</v>
      </c>
      <c r="DD33" s="15">
        <v>10581.76</v>
      </c>
      <c r="DE33" s="14">
        <v>13832</v>
      </c>
      <c r="DF33" s="15">
        <v>8852.48</v>
      </c>
      <c r="DG33" s="14">
        <v>17178</v>
      </c>
      <c r="DH33" s="15">
        <v>10993.92</v>
      </c>
      <c r="DI33" s="16">
        <f t="shared" si="17"/>
        <v>193007</v>
      </c>
      <c r="DJ33" s="16">
        <f t="shared" si="18"/>
        <v>123524.48</v>
      </c>
      <c r="DK33" s="16">
        <f t="shared" si="19"/>
        <v>16240</v>
      </c>
      <c r="DL33" s="17">
        <f t="shared" si="20"/>
        <v>10393.6</v>
      </c>
      <c r="DM33" s="68">
        <f>DI33/12</f>
        <v>16083.916666666666</v>
      </c>
      <c r="DN33" s="294">
        <f t="shared" si="3"/>
        <v>10293.706666666667</v>
      </c>
      <c r="DO33" s="69">
        <f>DN33/$DN$57%</f>
        <v>1.7398384187898777</v>
      </c>
      <c r="DP33" s="14">
        <v>20006</v>
      </c>
      <c r="DQ33" s="10">
        <v>12803.84</v>
      </c>
      <c r="DR33" s="9">
        <v>17220</v>
      </c>
      <c r="DS33" s="10">
        <v>11020.800000000001</v>
      </c>
      <c r="DT33" s="14"/>
      <c r="DU33" s="15"/>
      <c r="DV33" s="14"/>
      <c r="DW33" s="15"/>
      <c r="DX33" s="14"/>
      <c r="DY33" s="15"/>
      <c r="DZ33" s="14"/>
      <c r="EA33" s="15"/>
      <c r="EB33" s="14"/>
      <c r="EC33" s="15"/>
      <c r="ED33" s="14"/>
      <c r="EE33" s="15"/>
      <c r="EF33" s="14"/>
      <c r="EG33" s="15"/>
      <c r="EH33" s="14"/>
      <c r="EI33" s="15"/>
      <c r="EJ33" s="14"/>
      <c r="EK33" s="15"/>
      <c r="EL33" s="14"/>
      <c r="EM33" s="15"/>
      <c r="EN33" s="16">
        <f t="shared" ref="EN33" si="73">DP33+DR33+DT33+DV33+DX33+DZ33+EB33+ED33+EF33+EH33+EJ33+EL33</f>
        <v>37226</v>
      </c>
      <c r="EO33" s="16">
        <f t="shared" ref="EO33" si="74">DQ33+DS33+DU33+DW33+DY33+EA33+EC33+EE33+EG33+EI33+EK33+EM33</f>
        <v>23824.639999999999</v>
      </c>
      <c r="EP33" s="68">
        <f t="shared" si="5"/>
        <v>18613</v>
      </c>
      <c r="EQ33" s="294">
        <f t="shared" si="6"/>
        <v>11912.32</v>
      </c>
      <c r="ER33" s="535">
        <f t="shared" si="56"/>
        <v>2.3009151493499505</v>
      </c>
      <c r="ES33" s="522">
        <f t="shared" si="7"/>
        <v>0.56107673056007279</v>
      </c>
      <c r="ET33" s="522">
        <f>EQ33/DL33*100-100</f>
        <v>14.612068965517238</v>
      </c>
      <c r="EU33" s="522">
        <f t="shared" si="9"/>
        <v>15.724300154916662</v>
      </c>
      <c r="EV33" s="522">
        <f t="shared" si="10"/>
        <v>1618.6133333333328</v>
      </c>
      <c r="EW33" s="523">
        <f t="shared" si="11"/>
        <v>1518.7199999999993</v>
      </c>
      <c r="EX33" s="522">
        <f t="shared" si="12"/>
        <v>115.61523809523806</v>
      </c>
      <c r="EY33" s="522">
        <f t="shared" si="13"/>
        <v>108.47999999999995</v>
      </c>
      <c r="EZ33" s="522">
        <f t="shared" si="14"/>
        <v>216.95999999999989</v>
      </c>
    </row>
    <row r="34" spans="1:156" s="251" customFormat="1">
      <c r="A34" s="246"/>
      <c r="B34" s="247" t="s">
        <v>170</v>
      </c>
      <c r="C34" s="247"/>
      <c r="D34" s="246"/>
      <c r="E34" s="246"/>
      <c r="F34" s="246"/>
      <c r="G34" s="248"/>
      <c r="H34" s="249"/>
      <c r="I34" s="248"/>
      <c r="J34" s="249"/>
      <c r="K34" s="248"/>
      <c r="L34" s="249"/>
      <c r="M34" s="248"/>
      <c r="N34" s="249"/>
      <c r="O34" s="248"/>
      <c r="P34" s="249"/>
      <c r="Q34" s="248"/>
      <c r="R34" s="249"/>
      <c r="S34" s="248"/>
      <c r="T34" s="249"/>
      <c r="U34" s="248"/>
      <c r="V34" s="249"/>
      <c r="W34" s="248"/>
      <c r="X34" s="249"/>
      <c r="Y34" s="248"/>
      <c r="Z34" s="249"/>
      <c r="AA34" s="248"/>
      <c r="AB34" s="249"/>
      <c r="AC34" s="248"/>
      <c r="AD34" s="249"/>
      <c r="AE34" s="248"/>
      <c r="AF34" s="249"/>
      <c r="AG34" s="248"/>
      <c r="AH34" s="249"/>
      <c r="AI34" s="248"/>
      <c r="AJ34" s="249"/>
      <c r="AK34" s="248"/>
      <c r="AL34" s="249"/>
      <c r="AM34" s="248"/>
      <c r="AN34" s="249"/>
      <c r="AO34" s="248"/>
      <c r="AP34" s="249"/>
      <c r="AQ34" s="248"/>
      <c r="AR34" s="249"/>
      <c r="AS34" s="248"/>
      <c r="AT34" s="249"/>
      <c r="AU34" s="248"/>
      <c r="AV34" s="249"/>
      <c r="AW34" s="248"/>
      <c r="AX34" s="249"/>
      <c r="AY34" s="248"/>
      <c r="AZ34" s="249"/>
      <c r="BA34" s="248"/>
      <c r="BB34" s="249"/>
      <c r="BC34" s="248"/>
      <c r="BD34" s="249"/>
      <c r="BE34" s="248"/>
      <c r="BF34" s="249"/>
      <c r="BG34" s="248"/>
      <c r="BH34" s="249"/>
      <c r="BI34" s="248"/>
      <c r="BJ34" s="249"/>
      <c r="BK34" s="248"/>
      <c r="BL34" s="249"/>
      <c r="BM34" s="248"/>
      <c r="BN34" s="249"/>
      <c r="BO34" s="248"/>
      <c r="BP34" s="249"/>
      <c r="BQ34" s="248"/>
      <c r="BR34" s="249"/>
      <c r="BS34" s="248"/>
      <c r="BT34" s="249"/>
      <c r="BU34" s="248"/>
      <c r="BV34" s="249"/>
      <c r="BW34" s="248"/>
      <c r="BX34" s="249"/>
      <c r="BY34" s="248"/>
      <c r="BZ34" s="249"/>
      <c r="CA34" s="248"/>
      <c r="CB34" s="249"/>
      <c r="CC34" s="248"/>
      <c r="CD34" s="249"/>
      <c r="CE34" s="250">
        <f>SUM(CE27:CE33)</f>
        <v>32830</v>
      </c>
      <c r="CF34" s="250">
        <f>SUM(CF27:CF33)</f>
        <v>21011.200000000001</v>
      </c>
      <c r="CG34" s="250">
        <f>SUM(CG33)</f>
        <v>16526.333333333332</v>
      </c>
      <c r="CH34" s="250">
        <f>SUM(CH33)</f>
        <v>10576.853333333333</v>
      </c>
      <c r="CI34" s="250">
        <f t="shared" ref="CI34:DF34" si="75">SUM(CI27:CI33)</f>
        <v>3.7997993136700656</v>
      </c>
      <c r="CJ34" s="250">
        <f t="shared" si="75"/>
        <v>3.8</v>
      </c>
      <c r="CK34" s="250">
        <f t="shared" si="75"/>
        <v>33998</v>
      </c>
      <c r="CL34" s="250">
        <f t="shared" si="75"/>
        <v>21758.720000000001</v>
      </c>
      <c r="CM34" s="250">
        <f t="shared" si="75"/>
        <v>30178</v>
      </c>
      <c r="CN34" s="250">
        <f t="shared" si="75"/>
        <v>19313.919999999998</v>
      </c>
      <c r="CO34" s="250">
        <f t="shared" si="75"/>
        <v>40148</v>
      </c>
      <c r="CP34" s="250">
        <f t="shared" si="75"/>
        <v>25694.720000000001</v>
      </c>
      <c r="CQ34" s="250">
        <f t="shared" si="75"/>
        <v>36858</v>
      </c>
      <c r="CR34" s="250">
        <f t="shared" si="75"/>
        <v>23589.119999999999</v>
      </c>
      <c r="CS34" s="250">
        <f t="shared" si="75"/>
        <v>30218</v>
      </c>
      <c r="CT34" s="250">
        <f t="shared" si="75"/>
        <v>19339.52</v>
      </c>
      <c r="CU34" s="250">
        <f t="shared" si="75"/>
        <v>35934</v>
      </c>
      <c r="CV34" s="250">
        <f t="shared" si="75"/>
        <v>22997.760000000002</v>
      </c>
      <c r="CW34" s="250">
        <f t="shared" si="75"/>
        <v>31072</v>
      </c>
      <c r="CX34" s="250">
        <f t="shared" si="75"/>
        <v>19886.080000000002</v>
      </c>
      <c r="CY34" s="250">
        <f t="shared" si="75"/>
        <v>32619</v>
      </c>
      <c r="CZ34" s="250">
        <f t="shared" si="75"/>
        <v>20876.16</v>
      </c>
      <c r="DA34" s="250">
        <f t="shared" si="75"/>
        <v>26738</v>
      </c>
      <c r="DB34" s="250">
        <f t="shared" si="75"/>
        <v>17112.32</v>
      </c>
      <c r="DC34" s="250">
        <f t="shared" si="75"/>
        <v>29114</v>
      </c>
      <c r="DD34" s="250">
        <f t="shared" si="75"/>
        <v>18632.96</v>
      </c>
      <c r="DE34" s="250">
        <f t="shared" si="75"/>
        <v>25216</v>
      </c>
      <c r="DF34" s="250">
        <f t="shared" si="75"/>
        <v>16138.24</v>
      </c>
      <c r="DG34" s="250">
        <f>SUM(DG33)</f>
        <v>17178</v>
      </c>
      <c r="DH34" s="250">
        <f t="shared" ref="DH34:DO34" si="76">SUM(DH33)</f>
        <v>10993.92</v>
      </c>
      <c r="DI34" s="250">
        <f t="shared" si="76"/>
        <v>193007</v>
      </c>
      <c r="DJ34" s="250">
        <f t="shared" si="76"/>
        <v>123524.48</v>
      </c>
      <c r="DK34" s="669">
        <f t="shared" si="19"/>
        <v>32088</v>
      </c>
      <c r="DL34" s="670">
        <f t="shared" si="20"/>
        <v>20536.32</v>
      </c>
      <c r="DM34" s="250">
        <f>SUM(DM33)</f>
        <v>16083.916666666666</v>
      </c>
      <c r="DN34" s="250">
        <f t="shared" si="76"/>
        <v>10293.706666666667</v>
      </c>
      <c r="DO34" s="250">
        <f t="shared" si="76"/>
        <v>1.7398384187898777</v>
      </c>
      <c r="DP34" s="250">
        <f t="shared" ref="DP34:EM34" si="77">SUM(DP33)</f>
        <v>20006</v>
      </c>
      <c r="DQ34" s="250">
        <f t="shared" si="77"/>
        <v>12803.84</v>
      </c>
      <c r="DR34" s="250">
        <f t="shared" si="77"/>
        <v>17220</v>
      </c>
      <c r="DS34" s="250">
        <f t="shared" si="77"/>
        <v>11020.800000000001</v>
      </c>
      <c r="DT34" s="250">
        <f t="shared" si="77"/>
        <v>0</v>
      </c>
      <c r="DU34" s="250">
        <f t="shared" si="77"/>
        <v>0</v>
      </c>
      <c r="DV34" s="250">
        <f t="shared" si="77"/>
        <v>0</v>
      </c>
      <c r="DW34" s="250">
        <f t="shared" si="77"/>
        <v>0</v>
      </c>
      <c r="DX34" s="250">
        <f t="shared" si="77"/>
        <v>0</v>
      </c>
      <c r="DY34" s="250">
        <f t="shared" si="77"/>
        <v>0</v>
      </c>
      <c r="DZ34" s="250">
        <f t="shared" si="77"/>
        <v>0</v>
      </c>
      <c r="EA34" s="250">
        <f t="shared" si="77"/>
        <v>0</v>
      </c>
      <c r="EB34" s="250">
        <f t="shared" si="77"/>
        <v>0</v>
      </c>
      <c r="EC34" s="250">
        <f t="shared" si="77"/>
        <v>0</v>
      </c>
      <c r="ED34" s="250">
        <f t="shared" si="77"/>
        <v>0</v>
      </c>
      <c r="EE34" s="250">
        <f t="shared" si="77"/>
        <v>0</v>
      </c>
      <c r="EF34" s="250">
        <f t="shared" si="77"/>
        <v>0</v>
      </c>
      <c r="EG34" s="250">
        <f t="shared" si="77"/>
        <v>0</v>
      </c>
      <c r="EH34" s="250">
        <f t="shared" si="77"/>
        <v>0</v>
      </c>
      <c r="EI34" s="250">
        <f t="shared" si="77"/>
        <v>0</v>
      </c>
      <c r="EJ34" s="250">
        <f t="shared" si="77"/>
        <v>0</v>
      </c>
      <c r="EK34" s="250">
        <f t="shared" si="77"/>
        <v>0</v>
      </c>
      <c r="EL34" s="250">
        <f t="shared" si="77"/>
        <v>0</v>
      </c>
      <c r="EM34" s="250">
        <f t="shared" si="77"/>
        <v>0</v>
      </c>
      <c r="EN34" s="250">
        <f t="shared" ref="EN34:EO34" si="78">SUM(EN33)</f>
        <v>37226</v>
      </c>
      <c r="EO34" s="250">
        <f t="shared" si="78"/>
        <v>23824.639999999999</v>
      </c>
      <c r="EP34" s="502">
        <f t="shared" si="5"/>
        <v>18613</v>
      </c>
      <c r="EQ34" s="503">
        <f t="shared" si="6"/>
        <v>11912.32</v>
      </c>
      <c r="ER34" s="536">
        <f t="shared" si="56"/>
        <v>2.3009151493499505</v>
      </c>
      <c r="ES34" s="537">
        <f t="shared" si="7"/>
        <v>0.56107673056007279</v>
      </c>
      <c r="ET34" s="537">
        <f t="shared" si="8"/>
        <v>-41.993891797556714</v>
      </c>
      <c r="EU34" s="537">
        <f t="shared" si="9"/>
        <v>15.724300154916662</v>
      </c>
      <c r="EV34" s="537">
        <f t="shared" si="10"/>
        <v>1618.6133333333328</v>
      </c>
      <c r="EW34" s="538">
        <f t="shared" si="11"/>
        <v>-8624</v>
      </c>
      <c r="EX34" s="537">
        <f t="shared" si="12"/>
        <v>115.61523809523806</v>
      </c>
      <c r="EY34" s="537">
        <f t="shared" si="13"/>
        <v>-616</v>
      </c>
      <c r="EZ34" s="537">
        <f t="shared" si="14"/>
        <v>-1232</v>
      </c>
    </row>
    <row r="35" spans="1:156">
      <c r="A35" s="7">
        <v>20</v>
      </c>
      <c r="B35" s="8" t="s">
        <v>34</v>
      </c>
      <c r="C35" s="8" t="s">
        <v>16</v>
      </c>
      <c r="D35" s="7">
        <v>0.6</v>
      </c>
      <c r="E35" s="7" t="s">
        <v>18</v>
      </c>
      <c r="F35" s="7">
        <v>900</v>
      </c>
      <c r="G35" s="9"/>
      <c r="H35" s="10">
        <v>0</v>
      </c>
      <c r="I35" s="9"/>
      <c r="J35" s="10">
        <v>0</v>
      </c>
      <c r="K35" s="9"/>
      <c r="L35" s="10">
        <v>0</v>
      </c>
      <c r="M35" s="9"/>
      <c r="N35" s="10">
        <v>0</v>
      </c>
      <c r="O35" s="9"/>
      <c r="P35" s="10">
        <v>0</v>
      </c>
      <c r="Q35" s="9"/>
      <c r="R35" s="10">
        <v>0</v>
      </c>
      <c r="S35" s="9"/>
      <c r="T35" s="10">
        <v>0</v>
      </c>
      <c r="U35" s="9"/>
      <c r="V35" s="10">
        <v>0</v>
      </c>
      <c r="W35" s="9"/>
      <c r="X35" s="10">
        <v>0</v>
      </c>
      <c r="Y35" s="9"/>
      <c r="Z35" s="10">
        <v>0</v>
      </c>
      <c r="AA35" s="9"/>
      <c r="AB35" s="10">
        <v>0</v>
      </c>
      <c r="AC35" s="9"/>
      <c r="AD35" s="10">
        <v>0</v>
      </c>
      <c r="AE35" s="11">
        <v>0</v>
      </c>
      <c r="AF35" s="12">
        <v>0</v>
      </c>
      <c r="AG35" s="9"/>
      <c r="AH35" s="10">
        <v>0</v>
      </c>
      <c r="AI35" s="9"/>
      <c r="AJ35" s="10">
        <v>0</v>
      </c>
      <c r="AK35" s="9"/>
      <c r="AL35" s="10">
        <v>0</v>
      </c>
      <c r="AM35" s="9"/>
      <c r="AN35" s="10">
        <v>0</v>
      </c>
      <c r="AO35" s="9"/>
      <c r="AP35" s="10">
        <v>0</v>
      </c>
      <c r="AQ35" s="9"/>
      <c r="AR35" s="10">
        <v>0</v>
      </c>
      <c r="AS35" s="9"/>
      <c r="AT35" s="10">
        <v>0</v>
      </c>
      <c r="AU35" s="9"/>
      <c r="AV35" s="10">
        <v>0</v>
      </c>
      <c r="AW35" s="9"/>
      <c r="AX35" s="10">
        <v>0</v>
      </c>
      <c r="AY35" s="9"/>
      <c r="AZ35" s="10">
        <v>0</v>
      </c>
      <c r="BA35" s="9"/>
      <c r="BB35" s="10">
        <v>0</v>
      </c>
      <c r="BC35" s="9"/>
      <c r="BD35" s="10">
        <v>0</v>
      </c>
      <c r="BE35" s="11">
        <v>0</v>
      </c>
      <c r="BF35" s="12">
        <v>0</v>
      </c>
      <c r="BG35" s="9"/>
      <c r="BH35" s="10">
        <v>0</v>
      </c>
      <c r="BI35" s="9"/>
      <c r="BJ35" s="10">
        <v>0</v>
      </c>
      <c r="BK35" s="9"/>
      <c r="BL35" s="10">
        <v>0</v>
      </c>
      <c r="BM35" s="9"/>
      <c r="BN35" s="10">
        <v>0</v>
      </c>
      <c r="BO35" s="9">
        <v>12608</v>
      </c>
      <c r="BP35" s="10">
        <v>7564.7999999999993</v>
      </c>
      <c r="BQ35" s="9">
        <v>6380</v>
      </c>
      <c r="BR35" s="10">
        <v>3828</v>
      </c>
      <c r="BS35" s="9">
        <v>18960</v>
      </c>
      <c r="BT35" s="10">
        <v>11376</v>
      </c>
      <c r="BU35" s="9">
        <v>12922</v>
      </c>
      <c r="BV35" s="10">
        <v>7753.2</v>
      </c>
      <c r="BW35" s="9">
        <v>27118</v>
      </c>
      <c r="BX35" s="10">
        <v>16270.8</v>
      </c>
      <c r="BY35" s="9">
        <v>29069</v>
      </c>
      <c r="BZ35" s="10">
        <v>17441.399999999998</v>
      </c>
      <c r="CA35" s="9">
        <v>28498</v>
      </c>
      <c r="CB35" s="10">
        <v>17098.8</v>
      </c>
      <c r="CC35" s="9">
        <v>30810</v>
      </c>
      <c r="CD35" s="10">
        <v>18486</v>
      </c>
      <c r="CE35" s="19">
        <f t="shared" si="15"/>
        <v>12323.181818181818</v>
      </c>
      <c r="CF35" s="10">
        <f t="shared" si="16"/>
        <v>7393.909090909091</v>
      </c>
      <c r="CG35" s="11">
        <v>13863.75</v>
      </c>
      <c r="CH35" s="12">
        <v>8318.25</v>
      </c>
      <c r="CI35" s="15">
        <v>1.4756373877170912</v>
      </c>
      <c r="CJ35" s="15"/>
      <c r="CK35" s="18">
        <v>42798</v>
      </c>
      <c r="CL35" s="10">
        <v>25678.799999999999</v>
      </c>
      <c r="CM35" s="14">
        <v>32991</v>
      </c>
      <c r="CN35" s="15">
        <v>19794.599999999999</v>
      </c>
      <c r="CO35" s="14">
        <v>26400</v>
      </c>
      <c r="CP35" s="15">
        <v>15840</v>
      </c>
      <c r="CQ35" s="14">
        <v>39264</v>
      </c>
      <c r="CR35" s="15">
        <v>23558.399999999998</v>
      </c>
      <c r="CS35" s="14">
        <v>37848</v>
      </c>
      <c r="CT35" s="15">
        <v>22708.799999999999</v>
      </c>
      <c r="CU35" s="14">
        <v>38424</v>
      </c>
      <c r="CV35" s="15">
        <v>23054.399999999998</v>
      </c>
      <c r="CW35" s="14">
        <v>33432</v>
      </c>
      <c r="CX35" s="15">
        <v>20059.2</v>
      </c>
      <c r="CY35" s="14">
        <v>38659</v>
      </c>
      <c r="CZ35" s="15">
        <v>23195.399999999998</v>
      </c>
      <c r="DA35" s="14">
        <v>34248</v>
      </c>
      <c r="DB35" s="15">
        <v>20548.8</v>
      </c>
      <c r="DC35" s="14">
        <v>38904</v>
      </c>
      <c r="DD35" s="15">
        <v>23342.399999999998</v>
      </c>
      <c r="DE35" s="14">
        <v>46128</v>
      </c>
      <c r="DF35" s="15">
        <v>27676.799999999999</v>
      </c>
      <c r="DG35" s="14">
        <v>56712</v>
      </c>
      <c r="DH35" s="15">
        <v>34027.199999999997</v>
      </c>
      <c r="DI35" s="16">
        <f t="shared" si="17"/>
        <v>465808</v>
      </c>
      <c r="DJ35" s="16">
        <f t="shared" si="18"/>
        <v>279484.79999999993</v>
      </c>
      <c r="DK35" s="16">
        <f t="shared" si="19"/>
        <v>37894.5</v>
      </c>
      <c r="DL35" s="17">
        <f t="shared" si="20"/>
        <v>22736.699999999997</v>
      </c>
      <c r="DM35" s="68">
        <f t="shared" si="2"/>
        <v>38817.333333333336</v>
      </c>
      <c r="DN35" s="294">
        <f t="shared" si="3"/>
        <v>23290.399999999994</v>
      </c>
      <c r="DO35" s="69">
        <f>DN35/$DN$57%</f>
        <v>3.936534624616959</v>
      </c>
      <c r="DP35" s="18">
        <v>27240</v>
      </c>
      <c r="DQ35" s="10">
        <v>16344</v>
      </c>
      <c r="DR35" s="9">
        <v>32650</v>
      </c>
      <c r="DS35" s="10">
        <v>19590</v>
      </c>
      <c r="DT35" s="14"/>
      <c r="DU35" s="15"/>
      <c r="DV35" s="14"/>
      <c r="DW35" s="15"/>
      <c r="DX35" s="14"/>
      <c r="DY35" s="15"/>
      <c r="DZ35" s="14"/>
      <c r="EA35" s="15"/>
      <c r="EB35" s="14"/>
      <c r="EC35" s="15"/>
      <c r="ED35" s="14"/>
      <c r="EE35" s="15"/>
      <c r="EF35" s="14"/>
      <c r="EG35" s="15"/>
      <c r="EH35" s="14"/>
      <c r="EI35" s="15"/>
      <c r="EJ35" s="14"/>
      <c r="EK35" s="15"/>
      <c r="EL35" s="14"/>
      <c r="EM35" s="15"/>
      <c r="EN35" s="16">
        <f t="shared" ref="EN35:EN38" si="79">DP35+DR35+DT35+DV35+DX35+DZ35+EB35+ED35+EF35+EH35+EJ35+EL35</f>
        <v>59890</v>
      </c>
      <c r="EO35" s="16">
        <f t="shared" ref="EO35:EO38" si="80">DQ35+DS35+DU35+DW35+DY35+EA35+EC35+EE35+EG35+EI35+EK35+EM35</f>
        <v>35934</v>
      </c>
      <c r="EP35" s="68">
        <f t="shared" si="5"/>
        <v>29945</v>
      </c>
      <c r="EQ35" s="294">
        <f t="shared" si="6"/>
        <v>17967</v>
      </c>
      <c r="ER35" s="535">
        <f t="shared" si="56"/>
        <v>3.4704022800235856</v>
      </c>
      <c r="ES35" s="522">
        <f t="shared" si="7"/>
        <v>-0.46613234459337338</v>
      </c>
      <c r="ET35" s="522">
        <f t="shared" si="8"/>
        <v>-20.977978334586794</v>
      </c>
      <c r="EU35" s="522">
        <f t="shared" si="9"/>
        <v>-22.856627623398467</v>
      </c>
      <c r="EV35" s="522">
        <f t="shared" si="10"/>
        <v>-5323.3999999999942</v>
      </c>
      <c r="EW35" s="523">
        <f t="shared" si="11"/>
        <v>-4769.6999999999971</v>
      </c>
      <c r="EX35" s="522">
        <f t="shared" si="12"/>
        <v>-380.24285714285674</v>
      </c>
      <c r="EY35" s="522">
        <f t="shared" si="13"/>
        <v>-340.69285714285695</v>
      </c>
      <c r="EZ35" s="522">
        <f t="shared" si="14"/>
        <v>-681.3857142857139</v>
      </c>
    </row>
    <row r="36" spans="1:156">
      <c r="A36" s="7">
        <v>21</v>
      </c>
      <c r="B36" s="8" t="s">
        <v>35</v>
      </c>
      <c r="C36" s="8" t="s">
        <v>14</v>
      </c>
      <c r="D36" s="7">
        <v>0.64</v>
      </c>
      <c r="E36" s="7" t="s">
        <v>20</v>
      </c>
      <c r="F36" s="7">
        <v>1230</v>
      </c>
      <c r="G36" s="9"/>
      <c r="H36" s="10">
        <v>0</v>
      </c>
      <c r="I36" s="9"/>
      <c r="J36" s="10">
        <v>0</v>
      </c>
      <c r="K36" s="9"/>
      <c r="L36" s="10">
        <v>0</v>
      </c>
      <c r="M36" s="9"/>
      <c r="N36" s="10">
        <v>0</v>
      </c>
      <c r="O36" s="9"/>
      <c r="P36" s="10">
        <v>0</v>
      </c>
      <c r="Q36" s="9"/>
      <c r="R36" s="10">
        <v>0</v>
      </c>
      <c r="S36" s="9"/>
      <c r="T36" s="10">
        <v>0</v>
      </c>
      <c r="U36" s="9"/>
      <c r="V36" s="10">
        <v>0</v>
      </c>
      <c r="W36" s="9"/>
      <c r="X36" s="10">
        <v>0</v>
      </c>
      <c r="Y36" s="9"/>
      <c r="Z36" s="10">
        <v>0</v>
      </c>
      <c r="AA36" s="9"/>
      <c r="AB36" s="10">
        <v>0</v>
      </c>
      <c r="AC36" s="9"/>
      <c r="AD36" s="10">
        <v>0</v>
      </c>
      <c r="AE36" s="11">
        <v>0</v>
      </c>
      <c r="AF36" s="12">
        <v>0</v>
      </c>
      <c r="AG36" s="9"/>
      <c r="AH36" s="10">
        <v>0</v>
      </c>
      <c r="AI36" s="9"/>
      <c r="AJ36" s="10">
        <v>0</v>
      </c>
      <c r="AK36" s="9"/>
      <c r="AL36" s="10">
        <v>0</v>
      </c>
      <c r="AM36" s="9"/>
      <c r="AN36" s="10">
        <v>0</v>
      </c>
      <c r="AO36" s="9"/>
      <c r="AP36" s="10">
        <v>0</v>
      </c>
      <c r="AQ36" s="9"/>
      <c r="AR36" s="10">
        <v>0</v>
      </c>
      <c r="AS36" s="9"/>
      <c r="AT36" s="10">
        <v>0</v>
      </c>
      <c r="AU36" s="9"/>
      <c r="AV36" s="10">
        <v>0</v>
      </c>
      <c r="AW36" s="9"/>
      <c r="AX36" s="10">
        <v>0</v>
      </c>
      <c r="AY36" s="9"/>
      <c r="AZ36" s="10">
        <v>0</v>
      </c>
      <c r="BA36" s="9"/>
      <c r="BB36" s="10">
        <v>0</v>
      </c>
      <c r="BC36" s="9"/>
      <c r="BD36" s="10">
        <v>0</v>
      </c>
      <c r="BE36" s="11">
        <v>0</v>
      </c>
      <c r="BF36" s="12">
        <v>0</v>
      </c>
      <c r="BG36" s="9"/>
      <c r="BH36" s="10">
        <v>0</v>
      </c>
      <c r="BI36" s="9"/>
      <c r="BJ36" s="10">
        <v>0</v>
      </c>
      <c r="BK36" s="9">
        <v>5419</v>
      </c>
      <c r="BL36" s="10">
        <v>3468.16</v>
      </c>
      <c r="BM36" s="9">
        <v>840</v>
      </c>
      <c r="BN36" s="10">
        <v>537.6</v>
      </c>
      <c r="BO36" s="9">
        <v>2533</v>
      </c>
      <c r="BP36" s="10">
        <v>1621.1200000000001</v>
      </c>
      <c r="BQ36" s="9">
        <v>2394</v>
      </c>
      <c r="BR36" s="10">
        <v>1532.16</v>
      </c>
      <c r="BS36" s="9">
        <v>623</v>
      </c>
      <c r="BT36" s="10">
        <v>398.72</v>
      </c>
      <c r="BU36" s="9">
        <v>504</v>
      </c>
      <c r="BV36" s="10">
        <v>322.56</v>
      </c>
      <c r="BW36" s="9">
        <v>322</v>
      </c>
      <c r="BX36" s="10">
        <v>206.08</v>
      </c>
      <c r="BY36" s="9">
        <v>373</v>
      </c>
      <c r="BZ36" s="10">
        <v>238.72</v>
      </c>
      <c r="CA36" s="9">
        <v>1512</v>
      </c>
      <c r="CB36" s="10">
        <v>967.68000000000006</v>
      </c>
      <c r="CC36" s="9">
        <v>168</v>
      </c>
      <c r="CD36" s="10">
        <v>107.52</v>
      </c>
      <c r="CE36" s="19">
        <f t="shared" si="15"/>
        <v>1320</v>
      </c>
      <c r="CF36" s="10">
        <f t="shared" si="16"/>
        <v>844.80000000000007</v>
      </c>
      <c r="CG36" s="11">
        <v>1224</v>
      </c>
      <c r="CH36" s="12">
        <v>783.36</v>
      </c>
      <c r="CI36" s="15">
        <v>0.13896616524413916</v>
      </c>
      <c r="CJ36" s="15"/>
      <c r="CK36" s="18">
        <v>98</v>
      </c>
      <c r="CL36" s="10">
        <v>62.72</v>
      </c>
      <c r="CM36" s="14">
        <v>2380</v>
      </c>
      <c r="CN36" s="15">
        <v>1523.2</v>
      </c>
      <c r="CO36" s="14"/>
      <c r="CP36" s="15">
        <v>0</v>
      </c>
      <c r="CQ36" s="14"/>
      <c r="CR36" s="15">
        <v>0</v>
      </c>
      <c r="CS36" s="14"/>
      <c r="CT36" s="15">
        <v>0</v>
      </c>
      <c r="CU36" s="14"/>
      <c r="CV36" s="15">
        <v>0</v>
      </c>
      <c r="CW36" s="14">
        <v>700</v>
      </c>
      <c r="CX36" s="15">
        <v>448</v>
      </c>
      <c r="CY36" s="14"/>
      <c r="CZ36" s="15">
        <v>0</v>
      </c>
      <c r="DA36" s="14">
        <v>700</v>
      </c>
      <c r="DB36" s="15">
        <v>448</v>
      </c>
      <c r="DC36" s="14">
        <v>420</v>
      </c>
      <c r="DD36" s="15">
        <v>268.8</v>
      </c>
      <c r="DE36" s="14">
        <v>70</v>
      </c>
      <c r="DF36" s="15">
        <v>44.800000000000004</v>
      </c>
      <c r="DG36" s="14">
        <v>700</v>
      </c>
      <c r="DH36" s="15">
        <v>448</v>
      </c>
      <c r="DI36" s="16">
        <f t="shared" si="17"/>
        <v>5068</v>
      </c>
      <c r="DJ36" s="16">
        <f t="shared" si="18"/>
        <v>3243.5200000000004</v>
      </c>
      <c r="DK36" s="16">
        <f t="shared" si="19"/>
        <v>1239</v>
      </c>
      <c r="DL36" s="17">
        <f t="shared" si="20"/>
        <v>792.96</v>
      </c>
      <c r="DM36" s="68">
        <f t="shared" si="2"/>
        <v>422.33333333333331</v>
      </c>
      <c r="DN36" s="294">
        <f t="shared" si="3"/>
        <v>270.29333333333335</v>
      </c>
      <c r="DO36" s="69">
        <f>DN36/$DN$57%</f>
        <v>4.568487726573181E-2</v>
      </c>
      <c r="DP36" s="18"/>
      <c r="DQ36" s="10"/>
      <c r="DR36" s="9">
        <v>420</v>
      </c>
      <c r="DS36" s="10">
        <v>268.8</v>
      </c>
      <c r="DT36" s="14"/>
      <c r="DU36" s="15"/>
      <c r="DV36" s="14"/>
      <c r="DW36" s="15"/>
      <c r="DX36" s="14"/>
      <c r="DY36" s="15"/>
      <c r="DZ36" s="14"/>
      <c r="EA36" s="15"/>
      <c r="EB36" s="14"/>
      <c r="EC36" s="15"/>
      <c r="ED36" s="14"/>
      <c r="EE36" s="15"/>
      <c r="EF36" s="14"/>
      <c r="EG36" s="15"/>
      <c r="EH36" s="14"/>
      <c r="EI36" s="15"/>
      <c r="EJ36" s="14"/>
      <c r="EK36" s="15"/>
      <c r="EL36" s="14"/>
      <c r="EM36" s="15"/>
      <c r="EN36" s="16">
        <f t="shared" si="79"/>
        <v>420</v>
      </c>
      <c r="EO36" s="16">
        <f t="shared" si="80"/>
        <v>268.8</v>
      </c>
      <c r="EP36" s="68">
        <f t="shared" si="5"/>
        <v>210</v>
      </c>
      <c r="EQ36" s="294">
        <f t="shared" si="6"/>
        <v>134.4</v>
      </c>
      <c r="ER36" s="535">
        <f t="shared" si="56"/>
        <v>2.5959930229597035E-2</v>
      </c>
      <c r="ES36" s="522">
        <f t="shared" si="7"/>
        <v>-1.9724947036134775E-2</v>
      </c>
      <c r="ET36" s="522">
        <f t="shared" si="8"/>
        <v>-83.050847457627128</v>
      </c>
      <c r="EU36" s="522">
        <f t="shared" si="9"/>
        <v>-50.276243093922652</v>
      </c>
      <c r="EV36" s="522">
        <f t="shared" si="10"/>
        <v>-135.89333333333335</v>
      </c>
      <c r="EW36" s="523">
        <f t="shared" si="11"/>
        <v>-658.56000000000006</v>
      </c>
      <c r="EX36" s="522">
        <f t="shared" si="12"/>
        <v>-9.706666666666667</v>
      </c>
      <c r="EY36" s="522">
        <f t="shared" si="13"/>
        <v>-47.040000000000006</v>
      </c>
      <c r="EZ36" s="522">
        <f t="shared" si="14"/>
        <v>-94.080000000000013</v>
      </c>
    </row>
    <row r="37" spans="1:156">
      <c r="A37" s="7">
        <v>22</v>
      </c>
      <c r="B37" s="8" t="s">
        <v>36</v>
      </c>
      <c r="C37" s="8" t="s">
        <v>16</v>
      </c>
      <c r="D37" s="7">
        <v>1</v>
      </c>
      <c r="E37" s="7" t="s">
        <v>15</v>
      </c>
      <c r="F37" s="7">
        <v>1220</v>
      </c>
      <c r="G37" s="9"/>
      <c r="H37" s="10">
        <v>0</v>
      </c>
      <c r="I37" s="9"/>
      <c r="J37" s="10">
        <v>0</v>
      </c>
      <c r="K37" s="9"/>
      <c r="L37" s="10">
        <v>0</v>
      </c>
      <c r="M37" s="9"/>
      <c r="N37" s="10">
        <v>0</v>
      </c>
      <c r="O37" s="9"/>
      <c r="P37" s="10">
        <v>0</v>
      </c>
      <c r="Q37" s="9"/>
      <c r="R37" s="10">
        <v>0</v>
      </c>
      <c r="S37" s="9"/>
      <c r="T37" s="10">
        <v>0</v>
      </c>
      <c r="U37" s="9"/>
      <c r="V37" s="10">
        <v>0</v>
      </c>
      <c r="W37" s="9"/>
      <c r="X37" s="10">
        <v>0</v>
      </c>
      <c r="Y37" s="9"/>
      <c r="Z37" s="10">
        <v>0</v>
      </c>
      <c r="AA37" s="9"/>
      <c r="AB37" s="10">
        <v>0</v>
      </c>
      <c r="AC37" s="9"/>
      <c r="AD37" s="10">
        <v>0</v>
      </c>
      <c r="AE37" s="11">
        <v>0</v>
      </c>
      <c r="AF37" s="12">
        <v>0</v>
      </c>
      <c r="AG37" s="9"/>
      <c r="AH37" s="10">
        <v>0</v>
      </c>
      <c r="AI37" s="9"/>
      <c r="AJ37" s="10">
        <v>0</v>
      </c>
      <c r="AK37" s="9"/>
      <c r="AL37" s="10">
        <v>0</v>
      </c>
      <c r="AM37" s="9"/>
      <c r="AN37" s="10">
        <v>0</v>
      </c>
      <c r="AO37" s="9"/>
      <c r="AP37" s="10">
        <v>0</v>
      </c>
      <c r="AQ37" s="9"/>
      <c r="AR37" s="10">
        <v>0</v>
      </c>
      <c r="AS37" s="9"/>
      <c r="AT37" s="10">
        <v>0</v>
      </c>
      <c r="AU37" s="9"/>
      <c r="AV37" s="10">
        <v>0</v>
      </c>
      <c r="AW37" s="9"/>
      <c r="AX37" s="10">
        <v>0</v>
      </c>
      <c r="AY37" s="9"/>
      <c r="AZ37" s="10">
        <v>0</v>
      </c>
      <c r="BA37" s="9"/>
      <c r="BB37" s="10">
        <v>0</v>
      </c>
      <c r="BC37" s="9"/>
      <c r="BD37" s="10">
        <v>0</v>
      </c>
      <c r="BE37" s="11">
        <v>0</v>
      </c>
      <c r="BF37" s="12">
        <v>0</v>
      </c>
      <c r="BG37" s="9"/>
      <c r="BH37" s="10">
        <v>0</v>
      </c>
      <c r="BI37" s="9"/>
      <c r="BJ37" s="10">
        <v>0</v>
      </c>
      <c r="BK37" s="9"/>
      <c r="BL37" s="10">
        <v>0</v>
      </c>
      <c r="BM37" s="9"/>
      <c r="BN37" s="10">
        <v>0</v>
      </c>
      <c r="BO37" s="9"/>
      <c r="BP37" s="10">
        <v>0</v>
      </c>
      <c r="BQ37" s="9"/>
      <c r="BR37" s="10">
        <v>0</v>
      </c>
      <c r="BS37" s="9"/>
      <c r="BT37" s="10">
        <v>0</v>
      </c>
      <c r="BU37" s="9"/>
      <c r="BV37" s="10">
        <v>0</v>
      </c>
      <c r="BW37" s="9">
        <v>1800</v>
      </c>
      <c r="BX37" s="10">
        <v>1800</v>
      </c>
      <c r="BY37" s="9">
        <v>1225</v>
      </c>
      <c r="BZ37" s="10">
        <v>1225</v>
      </c>
      <c r="CA37" s="9">
        <v>2352</v>
      </c>
      <c r="CB37" s="10">
        <v>2352</v>
      </c>
      <c r="CC37" s="9">
        <v>3829</v>
      </c>
      <c r="CD37" s="10">
        <v>3829</v>
      </c>
      <c r="CE37" s="19">
        <f t="shared" si="15"/>
        <v>488.81818181818181</v>
      </c>
      <c r="CF37" s="10">
        <f t="shared" si="16"/>
        <v>488.81818181818181</v>
      </c>
      <c r="CG37" s="11">
        <v>767.16666666666663</v>
      </c>
      <c r="CH37" s="12">
        <v>767.16666666666663</v>
      </c>
      <c r="CI37" s="15">
        <v>0.13609350716119717</v>
      </c>
      <c r="CJ37" s="15"/>
      <c r="CK37" s="18">
        <v>8591</v>
      </c>
      <c r="CL37" s="10">
        <v>8591</v>
      </c>
      <c r="CM37" s="14">
        <v>7187</v>
      </c>
      <c r="CN37" s="15">
        <v>7187</v>
      </c>
      <c r="CO37" s="14">
        <v>4257</v>
      </c>
      <c r="CP37" s="15">
        <v>4257</v>
      </c>
      <c r="CQ37" s="14">
        <v>4920</v>
      </c>
      <c r="CR37" s="15">
        <v>4920</v>
      </c>
      <c r="CS37" s="14">
        <v>7955</v>
      </c>
      <c r="CT37" s="15">
        <v>7955</v>
      </c>
      <c r="CU37" s="14">
        <v>4860</v>
      </c>
      <c r="CV37" s="15">
        <v>4860</v>
      </c>
      <c r="CW37" s="14">
        <v>13137</v>
      </c>
      <c r="CX37" s="15">
        <v>13137</v>
      </c>
      <c r="CY37" s="14">
        <v>8892</v>
      </c>
      <c r="CZ37" s="15">
        <v>8892</v>
      </c>
      <c r="DA37" s="14">
        <v>27768</v>
      </c>
      <c r="DB37" s="15">
        <v>27768</v>
      </c>
      <c r="DC37" s="14">
        <v>12502</v>
      </c>
      <c r="DD37" s="15">
        <v>12502</v>
      </c>
      <c r="DE37" s="14">
        <v>30048</v>
      </c>
      <c r="DF37" s="15">
        <v>30048</v>
      </c>
      <c r="DG37" s="14">
        <v>20220</v>
      </c>
      <c r="DH37" s="15">
        <v>20220</v>
      </c>
      <c r="DI37" s="16">
        <f t="shared" si="17"/>
        <v>150337</v>
      </c>
      <c r="DJ37" s="16">
        <f t="shared" si="18"/>
        <v>150337</v>
      </c>
      <c r="DK37" s="16">
        <f t="shared" si="19"/>
        <v>7889</v>
      </c>
      <c r="DL37" s="17">
        <f t="shared" si="20"/>
        <v>7889</v>
      </c>
      <c r="DM37" s="68">
        <f t="shared" si="2"/>
        <v>12528.083333333334</v>
      </c>
      <c r="DN37" s="294">
        <f t="shared" si="3"/>
        <v>12528.083333333334</v>
      </c>
      <c r="DO37" s="69">
        <f>DN37/$DN$57%</f>
        <v>2.1174919203514464</v>
      </c>
      <c r="DP37" s="18">
        <v>11274</v>
      </c>
      <c r="DQ37" s="10">
        <v>11274</v>
      </c>
      <c r="DR37" s="9">
        <v>12354</v>
      </c>
      <c r="DS37" s="10">
        <v>12354</v>
      </c>
      <c r="DT37" s="14"/>
      <c r="DU37" s="15"/>
      <c r="DV37" s="14"/>
      <c r="DW37" s="15"/>
      <c r="DX37" s="14"/>
      <c r="DY37" s="15"/>
      <c r="DZ37" s="14"/>
      <c r="EA37" s="15"/>
      <c r="EB37" s="14"/>
      <c r="EC37" s="15"/>
      <c r="ED37" s="14"/>
      <c r="EE37" s="15"/>
      <c r="EF37" s="14"/>
      <c r="EG37" s="15"/>
      <c r="EH37" s="14"/>
      <c r="EI37" s="15"/>
      <c r="EJ37" s="14"/>
      <c r="EK37" s="15"/>
      <c r="EL37" s="14"/>
      <c r="EM37" s="15"/>
      <c r="EN37" s="16">
        <f t="shared" si="79"/>
        <v>23628</v>
      </c>
      <c r="EO37" s="16">
        <f t="shared" si="80"/>
        <v>23628</v>
      </c>
      <c r="EP37" s="68">
        <f t="shared" si="5"/>
        <v>11814</v>
      </c>
      <c r="EQ37" s="294">
        <f t="shared" si="6"/>
        <v>11814</v>
      </c>
      <c r="ER37" s="535">
        <f t="shared" si="56"/>
        <v>2.2819242241998463</v>
      </c>
      <c r="ES37" s="522">
        <f t="shared" si="7"/>
        <v>0.16443230384839991</v>
      </c>
      <c r="ET37" s="522">
        <f t="shared" si="8"/>
        <v>49.752820382811507</v>
      </c>
      <c r="EU37" s="522">
        <f t="shared" si="9"/>
        <v>-5.699860979000519</v>
      </c>
      <c r="EV37" s="522">
        <f t="shared" si="10"/>
        <v>-714.08333333333394</v>
      </c>
      <c r="EW37" s="523">
        <f t="shared" si="11"/>
        <v>3925</v>
      </c>
      <c r="EX37" s="522">
        <f t="shared" si="12"/>
        <v>-51.005952380952422</v>
      </c>
      <c r="EY37" s="522">
        <f t="shared" si="13"/>
        <v>280.35714285714283</v>
      </c>
      <c r="EZ37" s="522">
        <f t="shared" si="14"/>
        <v>560.71428571428567</v>
      </c>
    </row>
    <row r="38" spans="1:156">
      <c r="A38" s="7">
        <v>23</v>
      </c>
      <c r="B38" s="8" t="s">
        <v>37</v>
      </c>
      <c r="C38" s="8" t="s">
        <v>16</v>
      </c>
      <c r="D38" s="7">
        <v>0.6</v>
      </c>
      <c r="E38" s="7" t="s">
        <v>18</v>
      </c>
      <c r="F38" s="7">
        <v>915</v>
      </c>
      <c r="G38" s="9"/>
      <c r="H38" s="10">
        <v>0</v>
      </c>
      <c r="I38" s="9"/>
      <c r="J38" s="10">
        <v>0</v>
      </c>
      <c r="K38" s="9"/>
      <c r="L38" s="10">
        <v>0</v>
      </c>
      <c r="M38" s="9"/>
      <c r="N38" s="10">
        <v>0</v>
      </c>
      <c r="O38" s="9"/>
      <c r="P38" s="10">
        <v>0</v>
      </c>
      <c r="Q38" s="9"/>
      <c r="R38" s="10">
        <v>0</v>
      </c>
      <c r="S38" s="9"/>
      <c r="T38" s="10">
        <v>0</v>
      </c>
      <c r="U38" s="9"/>
      <c r="V38" s="10">
        <v>0</v>
      </c>
      <c r="W38" s="9"/>
      <c r="X38" s="10">
        <v>0</v>
      </c>
      <c r="Y38" s="9"/>
      <c r="Z38" s="10">
        <v>0</v>
      </c>
      <c r="AA38" s="9"/>
      <c r="AB38" s="10">
        <v>0</v>
      </c>
      <c r="AC38" s="9"/>
      <c r="AD38" s="10">
        <v>0</v>
      </c>
      <c r="AE38" s="11">
        <v>0</v>
      </c>
      <c r="AF38" s="12">
        <v>0</v>
      </c>
      <c r="AG38" s="9"/>
      <c r="AH38" s="10">
        <v>0</v>
      </c>
      <c r="AI38" s="9"/>
      <c r="AJ38" s="10">
        <v>0</v>
      </c>
      <c r="AK38" s="9"/>
      <c r="AL38" s="10">
        <v>0</v>
      </c>
      <c r="AM38" s="9"/>
      <c r="AN38" s="10">
        <v>0</v>
      </c>
      <c r="AO38" s="9"/>
      <c r="AP38" s="10">
        <v>0</v>
      </c>
      <c r="AQ38" s="9"/>
      <c r="AR38" s="10">
        <v>0</v>
      </c>
      <c r="AS38" s="9"/>
      <c r="AT38" s="10">
        <v>0</v>
      </c>
      <c r="AU38" s="9"/>
      <c r="AV38" s="10">
        <v>0</v>
      </c>
      <c r="AW38" s="9"/>
      <c r="AX38" s="10">
        <v>0</v>
      </c>
      <c r="AY38" s="9"/>
      <c r="AZ38" s="10">
        <v>0</v>
      </c>
      <c r="BA38" s="9"/>
      <c r="BB38" s="10">
        <v>0</v>
      </c>
      <c r="BC38" s="9"/>
      <c r="BD38" s="10">
        <v>0</v>
      </c>
      <c r="BE38" s="11">
        <v>0</v>
      </c>
      <c r="BF38" s="12">
        <v>0</v>
      </c>
      <c r="BG38" s="9"/>
      <c r="BH38" s="10">
        <v>0</v>
      </c>
      <c r="BI38" s="9"/>
      <c r="BJ38" s="10">
        <v>0</v>
      </c>
      <c r="BK38" s="9"/>
      <c r="BL38" s="10">
        <v>0</v>
      </c>
      <c r="BM38" s="9"/>
      <c r="BN38" s="10">
        <v>0</v>
      </c>
      <c r="BO38" s="9"/>
      <c r="BP38" s="10">
        <v>0</v>
      </c>
      <c r="BQ38" s="9"/>
      <c r="BR38" s="10">
        <v>0</v>
      </c>
      <c r="BS38" s="9"/>
      <c r="BT38" s="10">
        <v>0</v>
      </c>
      <c r="BU38" s="9"/>
      <c r="BV38" s="10">
        <v>0</v>
      </c>
      <c r="BW38" s="9">
        <v>3192</v>
      </c>
      <c r="BX38" s="10">
        <v>1915.1999999999998</v>
      </c>
      <c r="BY38" s="9">
        <v>3095</v>
      </c>
      <c r="BZ38" s="10">
        <v>1857</v>
      </c>
      <c r="CA38" s="9">
        <v>2112</v>
      </c>
      <c r="CB38" s="10">
        <v>1267.2</v>
      </c>
      <c r="CC38" s="9">
        <v>3870</v>
      </c>
      <c r="CD38" s="10">
        <v>2322</v>
      </c>
      <c r="CE38" s="19">
        <f t="shared" si="15"/>
        <v>763.5454545454545</v>
      </c>
      <c r="CF38" s="10">
        <f t="shared" si="16"/>
        <v>458.12727272727267</v>
      </c>
      <c r="CG38" s="11">
        <v>1022.4166666666666</v>
      </c>
      <c r="CH38" s="12">
        <v>613.44999999999993</v>
      </c>
      <c r="CI38" s="15">
        <v>0.10882454308238507</v>
      </c>
      <c r="CJ38" s="15">
        <v>1.86</v>
      </c>
      <c r="CK38" s="18">
        <v>3756</v>
      </c>
      <c r="CL38" s="10">
        <v>2253.6</v>
      </c>
      <c r="CM38" s="14">
        <v>2577</v>
      </c>
      <c r="CN38" s="15">
        <v>1546.2</v>
      </c>
      <c r="CO38" s="14">
        <v>2112</v>
      </c>
      <c r="CP38" s="15">
        <v>1267.2</v>
      </c>
      <c r="CQ38" s="14">
        <v>1992</v>
      </c>
      <c r="CR38" s="15">
        <v>1195.2</v>
      </c>
      <c r="CS38" s="14">
        <v>1296</v>
      </c>
      <c r="CT38" s="15">
        <v>777.6</v>
      </c>
      <c r="CU38" s="14">
        <v>1536</v>
      </c>
      <c r="CV38" s="15">
        <v>921.59999999999991</v>
      </c>
      <c r="CW38" s="14">
        <v>984</v>
      </c>
      <c r="CX38" s="15">
        <v>590.4</v>
      </c>
      <c r="CY38" s="14">
        <v>648</v>
      </c>
      <c r="CZ38" s="15">
        <v>388.8</v>
      </c>
      <c r="DA38" s="14">
        <v>2088</v>
      </c>
      <c r="DB38" s="15">
        <v>1252.8</v>
      </c>
      <c r="DC38" s="14">
        <v>576</v>
      </c>
      <c r="DD38" s="15">
        <v>345.59999999999997</v>
      </c>
      <c r="DE38" s="14">
        <v>984</v>
      </c>
      <c r="DF38" s="15">
        <v>590.4</v>
      </c>
      <c r="DG38" s="14">
        <v>1608</v>
      </c>
      <c r="DH38" s="15">
        <v>964.8</v>
      </c>
      <c r="DI38" s="16">
        <f t="shared" si="17"/>
        <v>20157</v>
      </c>
      <c r="DJ38" s="16">
        <f t="shared" si="18"/>
        <v>12094.199999999997</v>
      </c>
      <c r="DK38" s="16">
        <f t="shared" si="19"/>
        <v>3166.5</v>
      </c>
      <c r="DL38" s="17">
        <f t="shared" si="20"/>
        <v>1899.9</v>
      </c>
      <c r="DM38" s="68">
        <f t="shared" si="2"/>
        <v>1679.75</v>
      </c>
      <c r="DN38" s="294">
        <f t="shared" si="3"/>
        <v>1007.8499999999998</v>
      </c>
      <c r="DO38" s="69">
        <f>DN38/$DN$57%</f>
        <v>0.17034642691496077</v>
      </c>
      <c r="DP38" s="18">
        <v>792</v>
      </c>
      <c r="DQ38" s="10">
        <v>475.2</v>
      </c>
      <c r="DR38" s="9">
        <v>1020</v>
      </c>
      <c r="DS38" s="10">
        <v>612</v>
      </c>
      <c r="DT38" s="14"/>
      <c r="DU38" s="15"/>
      <c r="DV38" s="14"/>
      <c r="DW38" s="15"/>
      <c r="DX38" s="14"/>
      <c r="DY38" s="15"/>
      <c r="DZ38" s="14"/>
      <c r="EA38" s="15"/>
      <c r="EB38" s="14"/>
      <c r="EC38" s="15"/>
      <c r="ED38" s="14"/>
      <c r="EE38" s="15"/>
      <c r="EF38" s="14"/>
      <c r="EG38" s="15"/>
      <c r="EH38" s="14"/>
      <c r="EI38" s="15"/>
      <c r="EJ38" s="14"/>
      <c r="EK38" s="15"/>
      <c r="EL38" s="14"/>
      <c r="EM38" s="15"/>
      <c r="EN38" s="16">
        <f t="shared" si="79"/>
        <v>1812</v>
      </c>
      <c r="EO38" s="16">
        <f t="shared" si="80"/>
        <v>1087.2</v>
      </c>
      <c r="EP38" s="68">
        <f t="shared" si="5"/>
        <v>906</v>
      </c>
      <c r="EQ38" s="294">
        <f t="shared" si="6"/>
        <v>543.6</v>
      </c>
      <c r="ER38" s="535">
        <f t="shared" si="56"/>
        <v>0.10499864637506658</v>
      </c>
      <c r="ES38" s="522">
        <f t="shared" si="7"/>
        <v>-6.5347780539894193E-2</v>
      </c>
      <c r="ET38" s="522">
        <f t="shared" si="8"/>
        <v>-71.387967787778308</v>
      </c>
      <c r="EU38" s="522">
        <f t="shared" si="9"/>
        <v>-46.06340229200773</v>
      </c>
      <c r="EV38" s="522">
        <f t="shared" si="10"/>
        <v>-464.24999999999977</v>
      </c>
      <c r="EW38" s="523">
        <f t="shared" si="11"/>
        <v>-1356.3000000000002</v>
      </c>
      <c r="EX38" s="522">
        <f t="shared" si="12"/>
        <v>-33.16071428571427</v>
      </c>
      <c r="EY38" s="522">
        <f t="shared" si="13"/>
        <v>-96.878571428571448</v>
      </c>
      <c r="EZ38" s="522">
        <f t="shared" si="14"/>
        <v>-193.7571428571429</v>
      </c>
    </row>
    <row r="39" spans="1:156" s="251" customFormat="1">
      <c r="A39" s="246"/>
      <c r="B39" s="247" t="s">
        <v>171</v>
      </c>
      <c r="C39" s="247"/>
      <c r="D39" s="246"/>
      <c r="E39" s="246"/>
      <c r="F39" s="246"/>
      <c r="G39" s="248"/>
      <c r="H39" s="249"/>
      <c r="I39" s="248"/>
      <c r="J39" s="249"/>
      <c r="K39" s="248"/>
      <c r="L39" s="249"/>
      <c r="M39" s="248"/>
      <c r="N39" s="249"/>
      <c r="O39" s="248"/>
      <c r="P39" s="249"/>
      <c r="Q39" s="248"/>
      <c r="R39" s="249"/>
      <c r="S39" s="248"/>
      <c r="T39" s="249"/>
      <c r="U39" s="248"/>
      <c r="V39" s="249"/>
      <c r="W39" s="248"/>
      <c r="X39" s="249"/>
      <c r="Y39" s="248"/>
      <c r="Z39" s="249"/>
      <c r="AA39" s="248"/>
      <c r="AB39" s="249"/>
      <c r="AC39" s="248"/>
      <c r="AD39" s="249"/>
      <c r="AE39" s="248"/>
      <c r="AF39" s="249"/>
      <c r="AG39" s="248"/>
      <c r="AH39" s="249"/>
      <c r="AI39" s="248"/>
      <c r="AJ39" s="249"/>
      <c r="AK39" s="248"/>
      <c r="AL39" s="249"/>
      <c r="AM39" s="248"/>
      <c r="AN39" s="249"/>
      <c r="AO39" s="248"/>
      <c r="AP39" s="249"/>
      <c r="AQ39" s="248"/>
      <c r="AR39" s="249"/>
      <c r="AS39" s="248"/>
      <c r="AT39" s="249"/>
      <c r="AU39" s="248"/>
      <c r="AV39" s="249"/>
      <c r="AW39" s="248"/>
      <c r="AX39" s="249"/>
      <c r="AY39" s="248"/>
      <c r="AZ39" s="249"/>
      <c r="BA39" s="248"/>
      <c r="BB39" s="249"/>
      <c r="BC39" s="248"/>
      <c r="BD39" s="249"/>
      <c r="BE39" s="248"/>
      <c r="BF39" s="249"/>
      <c r="BG39" s="248"/>
      <c r="BH39" s="249"/>
      <c r="BI39" s="248"/>
      <c r="BJ39" s="249"/>
      <c r="BK39" s="248"/>
      <c r="BL39" s="249"/>
      <c r="BM39" s="248"/>
      <c r="BN39" s="249"/>
      <c r="BO39" s="248"/>
      <c r="BP39" s="249"/>
      <c r="BQ39" s="248"/>
      <c r="BR39" s="249"/>
      <c r="BS39" s="248"/>
      <c r="BT39" s="249"/>
      <c r="BU39" s="248"/>
      <c r="BV39" s="249"/>
      <c r="BW39" s="248"/>
      <c r="BX39" s="249"/>
      <c r="BY39" s="248"/>
      <c r="BZ39" s="249"/>
      <c r="CA39" s="248"/>
      <c r="CB39" s="249"/>
      <c r="CC39" s="248"/>
      <c r="CD39" s="249"/>
      <c r="CE39" s="250">
        <f t="shared" ref="CE39:EM39" si="81">SUM(CE35:CE38)</f>
        <v>14895.545454545454</v>
      </c>
      <c r="CF39" s="250">
        <f t="shared" si="81"/>
        <v>9185.6545454545467</v>
      </c>
      <c r="CG39" s="250">
        <f t="shared" si="81"/>
        <v>16877.333333333332</v>
      </c>
      <c r="CH39" s="250">
        <f t="shared" si="81"/>
        <v>10482.226666666667</v>
      </c>
      <c r="CI39" s="250">
        <f t="shared" si="81"/>
        <v>1.8595216032048127</v>
      </c>
      <c r="CJ39" s="250">
        <f t="shared" si="81"/>
        <v>1.86</v>
      </c>
      <c r="CK39" s="250">
        <f t="shared" si="81"/>
        <v>55243</v>
      </c>
      <c r="CL39" s="250">
        <f t="shared" si="81"/>
        <v>36586.120000000003</v>
      </c>
      <c r="CM39" s="250">
        <f t="shared" si="81"/>
        <v>45135</v>
      </c>
      <c r="CN39" s="250">
        <f t="shared" si="81"/>
        <v>30051</v>
      </c>
      <c r="CO39" s="250">
        <f t="shared" si="81"/>
        <v>32769</v>
      </c>
      <c r="CP39" s="250">
        <f t="shared" si="81"/>
        <v>21364.2</v>
      </c>
      <c r="CQ39" s="250">
        <f t="shared" si="81"/>
        <v>46176</v>
      </c>
      <c r="CR39" s="250">
        <f t="shared" si="81"/>
        <v>29673.599999999999</v>
      </c>
      <c r="CS39" s="250">
        <f t="shared" si="81"/>
        <v>47099</v>
      </c>
      <c r="CT39" s="250">
        <f t="shared" si="81"/>
        <v>31441.399999999998</v>
      </c>
      <c r="CU39" s="250">
        <f t="shared" si="81"/>
        <v>44820</v>
      </c>
      <c r="CV39" s="250">
        <f t="shared" si="81"/>
        <v>28835.999999999996</v>
      </c>
      <c r="CW39" s="250">
        <f t="shared" si="81"/>
        <v>48253</v>
      </c>
      <c r="CX39" s="250">
        <f t="shared" si="81"/>
        <v>34234.6</v>
      </c>
      <c r="CY39" s="250">
        <f t="shared" si="81"/>
        <v>48199</v>
      </c>
      <c r="CZ39" s="250">
        <f t="shared" si="81"/>
        <v>32476.199999999997</v>
      </c>
      <c r="DA39" s="250">
        <f t="shared" si="81"/>
        <v>64804</v>
      </c>
      <c r="DB39" s="250">
        <f t="shared" si="81"/>
        <v>50017.600000000006</v>
      </c>
      <c r="DC39" s="250">
        <f t="shared" si="81"/>
        <v>52402</v>
      </c>
      <c r="DD39" s="250">
        <f t="shared" si="81"/>
        <v>36458.799999999996</v>
      </c>
      <c r="DE39" s="250">
        <f t="shared" si="81"/>
        <v>77230</v>
      </c>
      <c r="DF39" s="250">
        <f t="shared" si="81"/>
        <v>58360</v>
      </c>
      <c r="DG39" s="250">
        <f t="shared" si="81"/>
        <v>79240</v>
      </c>
      <c r="DH39" s="250">
        <f t="shared" si="81"/>
        <v>55660</v>
      </c>
      <c r="DI39" s="250">
        <f t="shared" si="81"/>
        <v>641370</v>
      </c>
      <c r="DJ39" s="250">
        <f t="shared" si="81"/>
        <v>445159.51999999996</v>
      </c>
      <c r="DK39" s="669">
        <f t="shared" si="19"/>
        <v>50189</v>
      </c>
      <c r="DL39" s="670">
        <f t="shared" si="20"/>
        <v>33318.559999999998</v>
      </c>
      <c r="DM39" s="502">
        <f t="shared" si="2"/>
        <v>53447.5</v>
      </c>
      <c r="DN39" s="503">
        <f t="shared" si="3"/>
        <v>37096.626666666663</v>
      </c>
      <c r="DO39" s="250">
        <f t="shared" si="81"/>
        <v>6.2700578491490973</v>
      </c>
      <c r="DP39" s="250">
        <f t="shared" si="81"/>
        <v>39306</v>
      </c>
      <c r="DQ39" s="250">
        <f t="shared" si="81"/>
        <v>28093.200000000001</v>
      </c>
      <c r="DR39" s="250">
        <f t="shared" si="81"/>
        <v>46444</v>
      </c>
      <c r="DS39" s="250">
        <f t="shared" si="81"/>
        <v>32824.800000000003</v>
      </c>
      <c r="DT39" s="250">
        <f t="shared" si="81"/>
        <v>0</v>
      </c>
      <c r="DU39" s="250">
        <f t="shared" si="81"/>
        <v>0</v>
      </c>
      <c r="DV39" s="250">
        <f t="shared" si="81"/>
        <v>0</v>
      </c>
      <c r="DW39" s="250">
        <f t="shared" si="81"/>
        <v>0</v>
      </c>
      <c r="DX39" s="250">
        <f t="shared" si="81"/>
        <v>0</v>
      </c>
      <c r="DY39" s="250">
        <f t="shared" si="81"/>
        <v>0</v>
      </c>
      <c r="DZ39" s="250">
        <f t="shared" si="81"/>
        <v>0</v>
      </c>
      <c r="EA39" s="250">
        <f t="shared" si="81"/>
        <v>0</v>
      </c>
      <c r="EB39" s="250">
        <f t="shared" si="81"/>
        <v>0</v>
      </c>
      <c r="EC39" s="250">
        <f t="shared" si="81"/>
        <v>0</v>
      </c>
      <c r="ED39" s="250">
        <f t="shared" si="81"/>
        <v>0</v>
      </c>
      <c r="EE39" s="250">
        <f t="shared" si="81"/>
        <v>0</v>
      </c>
      <c r="EF39" s="250">
        <f t="shared" si="81"/>
        <v>0</v>
      </c>
      <c r="EG39" s="250">
        <f t="shared" si="81"/>
        <v>0</v>
      </c>
      <c r="EH39" s="250">
        <f t="shared" si="81"/>
        <v>0</v>
      </c>
      <c r="EI39" s="250">
        <f t="shared" si="81"/>
        <v>0</v>
      </c>
      <c r="EJ39" s="250">
        <f t="shared" si="81"/>
        <v>0</v>
      </c>
      <c r="EK39" s="250">
        <f t="shared" si="81"/>
        <v>0</v>
      </c>
      <c r="EL39" s="250">
        <f t="shared" si="81"/>
        <v>0</v>
      </c>
      <c r="EM39" s="250">
        <f t="shared" si="81"/>
        <v>0</v>
      </c>
      <c r="EN39" s="250">
        <f t="shared" ref="EN39:EO39" si="82">SUM(EN35:EN38)</f>
        <v>85750</v>
      </c>
      <c r="EO39" s="250">
        <f t="shared" si="82"/>
        <v>60918</v>
      </c>
      <c r="EP39" s="502">
        <f t="shared" si="5"/>
        <v>42875</v>
      </c>
      <c r="EQ39" s="503">
        <f t="shared" si="6"/>
        <v>30459</v>
      </c>
      <c r="ER39" s="536">
        <f t="shared" si="56"/>
        <v>5.8832850808280961</v>
      </c>
      <c r="ES39" s="537">
        <f t="shared" si="7"/>
        <v>-0.38677276832100116</v>
      </c>
      <c r="ET39" s="537">
        <f t="shared" si="8"/>
        <v>-8.5824837568010111</v>
      </c>
      <c r="EU39" s="537">
        <f t="shared" si="9"/>
        <v>-17.892803909933221</v>
      </c>
      <c r="EV39" s="537">
        <f t="shared" si="10"/>
        <v>-6637.6266666666634</v>
      </c>
      <c r="EW39" s="538">
        <f t="shared" si="11"/>
        <v>-2859.5599999999977</v>
      </c>
      <c r="EX39" s="537">
        <f t="shared" si="12"/>
        <v>-474.11619047619024</v>
      </c>
      <c r="EY39" s="537">
        <f t="shared" si="13"/>
        <v>-204.25428571428554</v>
      </c>
      <c r="EZ39" s="537">
        <f t="shared" si="14"/>
        <v>-408.50857142857109</v>
      </c>
    </row>
    <row r="40" spans="1:156">
      <c r="A40" s="7">
        <v>24</v>
      </c>
      <c r="B40" s="8" t="s">
        <v>40</v>
      </c>
      <c r="C40" s="8" t="s">
        <v>160</v>
      </c>
      <c r="D40" s="7">
        <v>0.6</v>
      </c>
      <c r="E40" s="7" t="s">
        <v>15</v>
      </c>
      <c r="F40" s="7">
        <v>800</v>
      </c>
      <c r="G40" s="9"/>
      <c r="H40" s="10"/>
      <c r="I40" s="9"/>
      <c r="J40" s="10"/>
      <c r="K40" s="9"/>
      <c r="L40" s="10"/>
      <c r="M40" s="9"/>
      <c r="N40" s="10"/>
      <c r="O40" s="9"/>
      <c r="P40" s="10"/>
      <c r="Q40" s="9"/>
      <c r="R40" s="10"/>
      <c r="S40" s="9"/>
      <c r="T40" s="10"/>
      <c r="U40" s="9"/>
      <c r="V40" s="10"/>
      <c r="W40" s="9"/>
      <c r="X40" s="10"/>
      <c r="Y40" s="9"/>
      <c r="Z40" s="10"/>
      <c r="AA40" s="9"/>
      <c r="AB40" s="10"/>
      <c r="AC40" s="9"/>
      <c r="AD40" s="10"/>
      <c r="AE40" s="11"/>
      <c r="AF40" s="12"/>
      <c r="AG40" s="9"/>
      <c r="AH40" s="10"/>
      <c r="AI40" s="9"/>
      <c r="AJ40" s="10"/>
      <c r="AK40" s="9"/>
      <c r="AL40" s="10"/>
      <c r="AM40" s="9"/>
      <c r="AN40" s="10"/>
      <c r="AO40" s="9"/>
      <c r="AP40" s="10"/>
      <c r="AQ40" s="9"/>
      <c r="AR40" s="10"/>
      <c r="AS40" s="9"/>
      <c r="AT40" s="10"/>
      <c r="AU40" s="9"/>
      <c r="AV40" s="10"/>
      <c r="AW40" s="9"/>
      <c r="AX40" s="10"/>
      <c r="AY40" s="9"/>
      <c r="AZ40" s="10"/>
      <c r="BA40" s="9"/>
      <c r="BB40" s="10"/>
      <c r="BC40" s="9"/>
      <c r="BD40" s="10"/>
      <c r="BE40" s="11"/>
      <c r="BF40" s="12"/>
      <c r="BG40" s="9"/>
      <c r="BH40" s="10"/>
      <c r="BI40" s="9"/>
      <c r="BJ40" s="10"/>
      <c r="BK40" s="9"/>
      <c r="BL40" s="10"/>
      <c r="BM40" s="9"/>
      <c r="BN40" s="10"/>
      <c r="BO40" s="9"/>
      <c r="BP40" s="10"/>
      <c r="BQ40" s="9"/>
      <c r="BR40" s="10"/>
      <c r="BS40" s="9"/>
      <c r="BT40" s="10"/>
      <c r="BU40" s="9"/>
      <c r="BV40" s="10"/>
      <c r="BW40" s="9"/>
      <c r="BX40" s="10"/>
      <c r="BY40" s="9"/>
      <c r="BZ40" s="10"/>
      <c r="CA40" s="9"/>
      <c r="CB40" s="10"/>
      <c r="CC40" s="9"/>
      <c r="CD40" s="10"/>
      <c r="CE40" s="19">
        <f t="shared" si="15"/>
        <v>0</v>
      </c>
      <c r="CF40" s="10">
        <f t="shared" si="16"/>
        <v>0</v>
      </c>
      <c r="CG40" s="11">
        <v>0</v>
      </c>
      <c r="CH40" s="12">
        <v>0</v>
      </c>
      <c r="CI40" s="15">
        <v>0</v>
      </c>
      <c r="CJ40" s="15"/>
      <c r="CK40" s="18"/>
      <c r="CL40" s="10"/>
      <c r="CM40" s="14"/>
      <c r="CN40" s="15"/>
      <c r="CO40" s="14"/>
      <c r="CP40" s="15"/>
      <c r="CQ40" s="14"/>
      <c r="CR40" s="15"/>
      <c r="CS40" s="14"/>
      <c r="CT40" s="15"/>
      <c r="CU40" s="14">
        <v>6432</v>
      </c>
      <c r="CV40" s="15">
        <v>3859.2</v>
      </c>
      <c r="CW40" s="14">
        <v>3024</v>
      </c>
      <c r="CX40" s="15">
        <v>1814.3999999999999</v>
      </c>
      <c r="CY40" s="14">
        <v>1764</v>
      </c>
      <c r="CZ40" s="15">
        <v>1058.3999999999999</v>
      </c>
      <c r="DA40" s="14">
        <v>1188</v>
      </c>
      <c r="DB40" s="15">
        <v>712.8</v>
      </c>
      <c r="DC40" s="14">
        <v>192</v>
      </c>
      <c r="DD40" s="15">
        <v>115.19999999999999</v>
      </c>
      <c r="DE40" s="14">
        <v>528</v>
      </c>
      <c r="DF40" s="15">
        <v>316.8</v>
      </c>
      <c r="DG40" s="14">
        <v>732</v>
      </c>
      <c r="DH40" s="15">
        <v>439.2</v>
      </c>
      <c r="DI40" s="16">
        <f t="shared" si="17"/>
        <v>13860</v>
      </c>
      <c r="DJ40" s="16">
        <f t="shared" si="18"/>
        <v>8316</v>
      </c>
      <c r="DK40" s="16">
        <f t="shared" si="19"/>
        <v>0</v>
      </c>
      <c r="DL40" s="17">
        <f t="shared" si="20"/>
        <v>0</v>
      </c>
      <c r="DM40" s="68">
        <f t="shared" si="2"/>
        <v>1155</v>
      </c>
      <c r="DN40" s="294">
        <f t="shared" si="3"/>
        <v>693</v>
      </c>
      <c r="DO40" s="69">
        <f>DN40/$DN$57%</f>
        <v>0.11713059865264458</v>
      </c>
      <c r="DP40" s="18">
        <v>648</v>
      </c>
      <c r="DQ40" s="10">
        <v>388.8</v>
      </c>
      <c r="DR40" s="9">
        <v>588</v>
      </c>
      <c r="DS40" s="10">
        <v>352.8</v>
      </c>
      <c r="DT40" s="14"/>
      <c r="DU40" s="15"/>
      <c r="DV40" s="14"/>
      <c r="DW40" s="15"/>
      <c r="DX40" s="14"/>
      <c r="DY40" s="15"/>
      <c r="DZ40" s="14"/>
      <c r="EA40" s="15"/>
      <c r="EB40" s="14"/>
      <c r="EC40" s="15"/>
      <c r="ED40" s="14"/>
      <c r="EE40" s="15"/>
      <c r="EF40" s="14"/>
      <c r="EG40" s="15"/>
      <c r="EH40" s="14"/>
      <c r="EI40" s="15"/>
      <c r="EJ40" s="14"/>
      <c r="EK40" s="15"/>
      <c r="EL40" s="14"/>
      <c r="EM40" s="15"/>
      <c r="EN40" s="16">
        <f t="shared" ref="EN40:EN43" si="83">DP40+DR40+DT40+DV40+DX40+DZ40+EB40+ED40+EF40+EH40+EJ40+EL40</f>
        <v>1236</v>
      </c>
      <c r="EO40" s="16">
        <f t="shared" ref="EO40:EO43" si="84">DQ40+DS40+DU40+DW40+DY40+EA40+EC40+EE40+EG40+EI40+EK40+EM40</f>
        <v>741.6</v>
      </c>
      <c r="EP40" s="68">
        <f t="shared" si="5"/>
        <v>618</v>
      </c>
      <c r="EQ40" s="294">
        <f t="shared" si="6"/>
        <v>370.8</v>
      </c>
      <c r="ER40" s="535">
        <f t="shared" si="56"/>
        <v>7.1621593222727542E-2</v>
      </c>
      <c r="ES40" s="522">
        <f t="shared" si="7"/>
        <v>-4.5509005429917038E-2</v>
      </c>
      <c r="ET40" s="522"/>
      <c r="EU40" s="522">
        <f t="shared" si="9"/>
        <v>-46.493506493506487</v>
      </c>
      <c r="EV40" s="522">
        <f t="shared" si="10"/>
        <v>-322.2</v>
      </c>
      <c r="EW40" s="523">
        <f t="shared" si="11"/>
        <v>370.8</v>
      </c>
      <c r="EX40" s="522">
        <f t="shared" si="12"/>
        <v>-23.014285714285712</v>
      </c>
      <c r="EY40" s="522">
        <f t="shared" si="13"/>
        <v>26.485714285714288</v>
      </c>
      <c r="EZ40" s="522">
        <f t="shared" si="14"/>
        <v>52.971428571428575</v>
      </c>
    </row>
    <row r="41" spans="1:156">
      <c r="A41" s="7">
        <v>25</v>
      </c>
      <c r="B41" s="8" t="s">
        <v>40</v>
      </c>
      <c r="C41" s="8" t="s">
        <v>14</v>
      </c>
      <c r="D41" s="7">
        <v>0.64</v>
      </c>
      <c r="E41" s="7" t="s">
        <v>18</v>
      </c>
      <c r="F41" s="7">
        <v>800</v>
      </c>
      <c r="G41" s="9"/>
      <c r="H41" s="10">
        <v>0</v>
      </c>
      <c r="I41" s="9"/>
      <c r="J41" s="10">
        <v>0</v>
      </c>
      <c r="K41" s="9"/>
      <c r="L41" s="10">
        <v>0</v>
      </c>
      <c r="M41" s="9"/>
      <c r="N41" s="10">
        <v>0</v>
      </c>
      <c r="O41" s="9"/>
      <c r="P41" s="10">
        <v>0</v>
      </c>
      <c r="Q41" s="9"/>
      <c r="R41" s="10">
        <v>0</v>
      </c>
      <c r="S41" s="9"/>
      <c r="T41" s="10">
        <v>0</v>
      </c>
      <c r="U41" s="9"/>
      <c r="V41" s="10">
        <v>0</v>
      </c>
      <c r="W41" s="9"/>
      <c r="X41" s="10">
        <v>0</v>
      </c>
      <c r="Y41" s="9"/>
      <c r="Z41" s="10">
        <v>0</v>
      </c>
      <c r="AA41" s="9"/>
      <c r="AB41" s="10">
        <v>0</v>
      </c>
      <c r="AC41" s="9"/>
      <c r="AD41" s="10">
        <v>0</v>
      </c>
      <c r="AE41" s="11">
        <v>0</v>
      </c>
      <c r="AF41" s="12">
        <v>0</v>
      </c>
      <c r="AG41" s="9"/>
      <c r="AH41" s="10">
        <v>0</v>
      </c>
      <c r="AI41" s="9"/>
      <c r="AJ41" s="10">
        <v>0</v>
      </c>
      <c r="AK41" s="9"/>
      <c r="AL41" s="10">
        <v>0</v>
      </c>
      <c r="AM41" s="9">
        <v>5029</v>
      </c>
      <c r="AN41" s="10">
        <v>3218.56</v>
      </c>
      <c r="AO41" s="9">
        <v>520</v>
      </c>
      <c r="AP41" s="10">
        <v>332.8</v>
      </c>
      <c r="AQ41" s="9">
        <v>192</v>
      </c>
      <c r="AR41" s="10">
        <v>122.88</v>
      </c>
      <c r="AS41" s="9">
        <v>192</v>
      </c>
      <c r="AT41" s="10">
        <v>122.88</v>
      </c>
      <c r="AU41" s="9">
        <v>72</v>
      </c>
      <c r="AV41" s="10">
        <v>46.08</v>
      </c>
      <c r="AW41" s="9">
        <v>576</v>
      </c>
      <c r="AX41" s="10">
        <v>368.64</v>
      </c>
      <c r="AY41" s="9">
        <v>24</v>
      </c>
      <c r="AZ41" s="10">
        <v>15.36</v>
      </c>
      <c r="BA41" s="9">
        <v>264</v>
      </c>
      <c r="BB41" s="10">
        <v>168.96</v>
      </c>
      <c r="BC41" s="9">
        <v>120</v>
      </c>
      <c r="BD41" s="10">
        <v>76.8</v>
      </c>
      <c r="BE41" s="11">
        <v>582.41666666666663</v>
      </c>
      <c r="BF41" s="12">
        <v>372.74666666666667</v>
      </c>
      <c r="BG41" s="9"/>
      <c r="BH41" s="10">
        <v>0</v>
      </c>
      <c r="BI41" s="9">
        <v>144</v>
      </c>
      <c r="BJ41" s="10">
        <v>92.16</v>
      </c>
      <c r="BK41" s="9">
        <v>4149</v>
      </c>
      <c r="BL41" s="10">
        <v>2655.36</v>
      </c>
      <c r="BM41" s="9">
        <v>18550</v>
      </c>
      <c r="BN41" s="10">
        <v>11872</v>
      </c>
      <c r="BO41" s="9">
        <v>20986</v>
      </c>
      <c r="BP41" s="10">
        <v>13431.04</v>
      </c>
      <c r="BQ41" s="9">
        <v>17002</v>
      </c>
      <c r="BR41" s="10">
        <v>10881.28</v>
      </c>
      <c r="BS41" s="9">
        <v>21224</v>
      </c>
      <c r="BT41" s="10">
        <v>13583.36</v>
      </c>
      <c r="BU41" s="9">
        <v>18204</v>
      </c>
      <c r="BV41" s="10">
        <v>11650.56</v>
      </c>
      <c r="BW41" s="9">
        <v>17136</v>
      </c>
      <c r="BX41" s="10">
        <v>10967.04</v>
      </c>
      <c r="BY41" s="9">
        <v>20256</v>
      </c>
      <c r="BZ41" s="10">
        <v>12963.84</v>
      </c>
      <c r="CA41" s="9">
        <v>18185</v>
      </c>
      <c r="CB41" s="10">
        <v>11638.4</v>
      </c>
      <c r="CC41" s="9">
        <v>11232</v>
      </c>
      <c r="CD41" s="10">
        <v>7188.4800000000005</v>
      </c>
      <c r="CE41" s="19">
        <f t="shared" si="15"/>
        <v>14166.90909090909</v>
      </c>
      <c r="CF41" s="10">
        <f t="shared" si="16"/>
        <v>9066.8218181818174</v>
      </c>
      <c r="CG41" s="11">
        <v>13922.333333333334</v>
      </c>
      <c r="CH41" s="12">
        <v>8910.2933333333331</v>
      </c>
      <c r="CI41" s="15">
        <v>1.5806644400195971</v>
      </c>
      <c r="CJ41" s="15"/>
      <c r="CK41" s="14">
        <v>14112</v>
      </c>
      <c r="CL41" s="10">
        <v>9031.68</v>
      </c>
      <c r="CM41" s="14">
        <v>17376</v>
      </c>
      <c r="CN41" s="15">
        <v>11120.64</v>
      </c>
      <c r="CO41" s="14">
        <v>20266</v>
      </c>
      <c r="CP41" s="15">
        <v>12970.24</v>
      </c>
      <c r="CQ41" s="14">
        <v>21648</v>
      </c>
      <c r="CR41" s="15">
        <v>13854.720000000001</v>
      </c>
      <c r="CS41" s="14">
        <v>31114</v>
      </c>
      <c r="CT41" s="15">
        <v>19912.96</v>
      </c>
      <c r="CU41" s="14">
        <v>13233</v>
      </c>
      <c r="CV41" s="15">
        <v>8469.1200000000008</v>
      </c>
      <c r="CW41" s="14">
        <v>11904</v>
      </c>
      <c r="CX41" s="15">
        <v>7618.56</v>
      </c>
      <c r="CY41" s="14">
        <v>10783</v>
      </c>
      <c r="CZ41" s="15">
        <v>6901.12</v>
      </c>
      <c r="DA41" s="14">
        <v>10296</v>
      </c>
      <c r="DB41" s="15">
        <v>6589.4400000000005</v>
      </c>
      <c r="DC41" s="14">
        <v>10992</v>
      </c>
      <c r="DD41" s="15">
        <v>7034.88</v>
      </c>
      <c r="DE41" s="14">
        <v>13176</v>
      </c>
      <c r="DF41" s="15">
        <v>8432.64</v>
      </c>
      <c r="DG41" s="14">
        <v>10536</v>
      </c>
      <c r="DH41" s="15">
        <v>6743.04</v>
      </c>
      <c r="DI41" s="16">
        <f t="shared" si="17"/>
        <v>185436</v>
      </c>
      <c r="DJ41" s="16">
        <f t="shared" si="18"/>
        <v>118679.03999999998</v>
      </c>
      <c r="DK41" s="16">
        <f t="shared" si="19"/>
        <v>15744</v>
      </c>
      <c r="DL41" s="17">
        <f t="shared" si="20"/>
        <v>10076.16</v>
      </c>
      <c r="DM41" s="68">
        <f t="shared" si="2"/>
        <v>15453</v>
      </c>
      <c r="DN41" s="294">
        <f t="shared" si="3"/>
        <v>9889.9199999999983</v>
      </c>
      <c r="DO41" s="69">
        <f>DN41/$DN$57%</f>
        <v>1.6715905486677669</v>
      </c>
      <c r="DP41" s="14">
        <v>8179</v>
      </c>
      <c r="DQ41" s="10">
        <v>5234.5600000000004</v>
      </c>
      <c r="DR41" s="9">
        <v>6409</v>
      </c>
      <c r="DS41" s="10">
        <v>4101.76</v>
      </c>
      <c r="DT41" s="14"/>
      <c r="DU41" s="15"/>
      <c r="DV41" s="14"/>
      <c r="DW41" s="15"/>
      <c r="DX41" s="14"/>
      <c r="DY41" s="15"/>
      <c r="DZ41" s="14"/>
      <c r="EA41" s="15"/>
      <c r="EB41" s="14"/>
      <c r="EC41" s="15"/>
      <c r="ED41" s="14"/>
      <c r="EE41" s="15"/>
      <c r="EF41" s="14"/>
      <c r="EG41" s="15"/>
      <c r="EH41" s="14"/>
      <c r="EI41" s="15"/>
      <c r="EJ41" s="14"/>
      <c r="EK41" s="15"/>
      <c r="EL41" s="14"/>
      <c r="EM41" s="15"/>
      <c r="EN41" s="16">
        <f t="shared" si="83"/>
        <v>14588</v>
      </c>
      <c r="EO41" s="16">
        <f t="shared" si="84"/>
        <v>9336.32</v>
      </c>
      <c r="EP41" s="68">
        <f t="shared" si="5"/>
        <v>7294</v>
      </c>
      <c r="EQ41" s="294">
        <f t="shared" si="6"/>
        <v>4668.16</v>
      </c>
      <c r="ER41" s="535">
        <f t="shared" si="56"/>
        <v>0.90167490997467037</v>
      </c>
      <c r="ES41" s="522">
        <f t="shared" si="7"/>
        <v>-0.76991563869309654</v>
      </c>
      <c r="ET41" s="522">
        <f t="shared" si="8"/>
        <v>-53.671239837398375</v>
      </c>
      <c r="EU41" s="522">
        <f t="shared" si="9"/>
        <v>-52.798809292693974</v>
      </c>
      <c r="EV41" s="522">
        <f t="shared" si="10"/>
        <v>-5221.7599999999984</v>
      </c>
      <c r="EW41" s="523">
        <f t="shared" si="11"/>
        <v>-5408</v>
      </c>
      <c r="EX41" s="522">
        <f t="shared" si="12"/>
        <v>-372.98285714285703</v>
      </c>
      <c r="EY41" s="522">
        <f t="shared" si="13"/>
        <v>-386.28571428571428</v>
      </c>
      <c r="EZ41" s="522">
        <f t="shared" si="14"/>
        <v>-772.57142857142856</v>
      </c>
    </row>
    <row r="42" spans="1:156">
      <c r="A42" s="7">
        <v>26</v>
      </c>
      <c r="B42" s="8" t="s">
        <v>64</v>
      </c>
      <c r="C42" s="8" t="s">
        <v>160</v>
      </c>
      <c r="D42" s="7">
        <v>0.6</v>
      </c>
      <c r="E42" s="7" t="s">
        <v>15</v>
      </c>
      <c r="F42" s="7">
        <v>800</v>
      </c>
      <c r="G42" s="9"/>
      <c r="H42" s="10"/>
      <c r="I42" s="9"/>
      <c r="J42" s="10"/>
      <c r="K42" s="9"/>
      <c r="L42" s="10"/>
      <c r="M42" s="9"/>
      <c r="N42" s="10"/>
      <c r="O42" s="9"/>
      <c r="P42" s="10"/>
      <c r="Q42" s="9"/>
      <c r="R42" s="10"/>
      <c r="S42" s="9"/>
      <c r="T42" s="10"/>
      <c r="U42" s="9"/>
      <c r="V42" s="10"/>
      <c r="W42" s="9"/>
      <c r="X42" s="10"/>
      <c r="Y42" s="9"/>
      <c r="Z42" s="10"/>
      <c r="AA42" s="9"/>
      <c r="AB42" s="10"/>
      <c r="AC42" s="9"/>
      <c r="AD42" s="10"/>
      <c r="AE42" s="11"/>
      <c r="AF42" s="12"/>
      <c r="AG42" s="9"/>
      <c r="AH42" s="10"/>
      <c r="AI42" s="9"/>
      <c r="AJ42" s="10"/>
      <c r="AK42" s="9"/>
      <c r="AL42" s="10"/>
      <c r="AM42" s="9"/>
      <c r="AN42" s="10"/>
      <c r="AO42" s="9"/>
      <c r="AP42" s="10"/>
      <c r="AQ42" s="9"/>
      <c r="AR42" s="10"/>
      <c r="AS42" s="9"/>
      <c r="AT42" s="10"/>
      <c r="AU42" s="9"/>
      <c r="AV42" s="10"/>
      <c r="AW42" s="9"/>
      <c r="AX42" s="10"/>
      <c r="AY42" s="9"/>
      <c r="AZ42" s="10"/>
      <c r="BA42" s="9"/>
      <c r="BB42" s="10"/>
      <c r="BC42" s="9"/>
      <c r="BD42" s="10"/>
      <c r="BE42" s="11"/>
      <c r="BF42" s="12"/>
      <c r="BG42" s="9"/>
      <c r="BH42" s="10"/>
      <c r="BI42" s="9"/>
      <c r="BJ42" s="10"/>
      <c r="BK42" s="9"/>
      <c r="BL42" s="10"/>
      <c r="BM42" s="9"/>
      <c r="BN42" s="10"/>
      <c r="BO42" s="9"/>
      <c r="BP42" s="10"/>
      <c r="BQ42" s="9"/>
      <c r="BR42" s="10"/>
      <c r="BS42" s="9"/>
      <c r="BT42" s="10"/>
      <c r="BU42" s="9"/>
      <c r="BV42" s="10"/>
      <c r="BW42" s="9"/>
      <c r="BX42" s="10"/>
      <c r="BY42" s="9"/>
      <c r="BZ42" s="10"/>
      <c r="CA42" s="9"/>
      <c r="CB42" s="10"/>
      <c r="CC42" s="9"/>
      <c r="CD42" s="10"/>
      <c r="CE42" s="19">
        <f t="shared" si="15"/>
        <v>0</v>
      </c>
      <c r="CF42" s="10">
        <f t="shared" si="16"/>
        <v>0</v>
      </c>
      <c r="CG42" s="11">
        <v>0</v>
      </c>
      <c r="CH42" s="12">
        <v>0</v>
      </c>
      <c r="CI42" s="15">
        <v>0</v>
      </c>
      <c r="CJ42" s="15"/>
      <c r="CK42" s="18"/>
      <c r="CL42" s="10"/>
      <c r="CM42" s="14"/>
      <c r="CN42" s="15"/>
      <c r="CO42" s="14"/>
      <c r="CP42" s="15"/>
      <c r="CQ42" s="14"/>
      <c r="CR42" s="15"/>
      <c r="CS42" s="14"/>
      <c r="CT42" s="15"/>
      <c r="CU42" s="14">
        <v>6144</v>
      </c>
      <c r="CV42" s="15">
        <v>3686.3999999999996</v>
      </c>
      <c r="CW42" s="14">
        <v>4080</v>
      </c>
      <c r="CX42" s="15">
        <v>2448</v>
      </c>
      <c r="CY42" s="14">
        <v>1485</v>
      </c>
      <c r="CZ42" s="15">
        <v>891</v>
      </c>
      <c r="DA42" s="14">
        <v>2172</v>
      </c>
      <c r="DB42" s="15">
        <v>1303.2</v>
      </c>
      <c r="DC42" s="14">
        <v>312</v>
      </c>
      <c r="DD42" s="15">
        <v>187.2</v>
      </c>
      <c r="DE42" s="14">
        <v>1488</v>
      </c>
      <c r="DF42" s="15">
        <v>892.8</v>
      </c>
      <c r="DG42" s="14">
        <v>780</v>
      </c>
      <c r="DH42" s="15">
        <v>468</v>
      </c>
      <c r="DI42" s="16">
        <f t="shared" si="17"/>
        <v>16461</v>
      </c>
      <c r="DJ42" s="16">
        <f t="shared" si="18"/>
        <v>9876.6</v>
      </c>
      <c r="DK42" s="16">
        <f t="shared" si="19"/>
        <v>0</v>
      </c>
      <c r="DL42" s="17">
        <f t="shared" si="20"/>
        <v>0</v>
      </c>
      <c r="DM42" s="68">
        <f t="shared" si="2"/>
        <v>1371.75</v>
      </c>
      <c r="DN42" s="294">
        <f t="shared" si="3"/>
        <v>823.05000000000007</v>
      </c>
      <c r="DO42" s="69">
        <f>DN42/$DN$57%</f>
        <v>0.13911160060758893</v>
      </c>
      <c r="DP42" s="18">
        <v>1044</v>
      </c>
      <c r="DQ42" s="10">
        <v>626.4</v>
      </c>
      <c r="DR42" s="9">
        <v>1008</v>
      </c>
      <c r="DS42" s="10">
        <v>604.79999999999995</v>
      </c>
      <c r="DT42" s="14"/>
      <c r="DU42" s="15"/>
      <c r="DV42" s="14"/>
      <c r="DW42" s="15"/>
      <c r="DX42" s="14"/>
      <c r="DY42" s="15"/>
      <c r="DZ42" s="14"/>
      <c r="EA42" s="15"/>
      <c r="EB42" s="14"/>
      <c r="EC42" s="15"/>
      <c r="ED42" s="14"/>
      <c r="EE42" s="15"/>
      <c r="EF42" s="14"/>
      <c r="EG42" s="15"/>
      <c r="EH42" s="14"/>
      <c r="EI42" s="15"/>
      <c r="EJ42" s="14"/>
      <c r="EK42" s="15"/>
      <c r="EL42" s="14"/>
      <c r="EM42" s="15"/>
      <c r="EN42" s="16">
        <f t="shared" si="83"/>
        <v>2052</v>
      </c>
      <c r="EO42" s="16">
        <f t="shared" si="84"/>
        <v>1231.1999999999998</v>
      </c>
      <c r="EP42" s="68">
        <f t="shared" si="5"/>
        <v>1026</v>
      </c>
      <c r="EQ42" s="294">
        <f t="shared" si="6"/>
        <v>615.59999999999991</v>
      </c>
      <c r="ER42" s="535">
        <f t="shared" si="56"/>
        <v>0.11890575185520783</v>
      </c>
      <c r="ES42" s="522">
        <f t="shared" si="7"/>
        <v>-2.02058487523811E-2</v>
      </c>
      <c r="ET42" s="522"/>
      <c r="EU42" s="522">
        <f t="shared" si="9"/>
        <v>-25.205030071077104</v>
      </c>
      <c r="EV42" s="522">
        <f t="shared" si="10"/>
        <v>-207.45000000000016</v>
      </c>
      <c r="EW42" s="523">
        <f t="shared" si="11"/>
        <v>615.59999999999991</v>
      </c>
      <c r="EX42" s="522">
        <f t="shared" si="12"/>
        <v>-14.817857142857154</v>
      </c>
      <c r="EY42" s="522">
        <f t="shared" si="13"/>
        <v>43.971428571428568</v>
      </c>
      <c r="EZ42" s="522">
        <f t="shared" si="14"/>
        <v>87.942857142857136</v>
      </c>
    </row>
    <row r="43" spans="1:156">
      <c r="A43" s="7">
        <v>27</v>
      </c>
      <c r="B43" s="8" t="s">
        <v>64</v>
      </c>
      <c r="C43" s="8" t="s">
        <v>14</v>
      </c>
      <c r="D43" s="7">
        <v>0.64</v>
      </c>
      <c r="E43" s="7" t="s">
        <v>63</v>
      </c>
      <c r="F43" s="7">
        <v>830</v>
      </c>
      <c r="G43" s="9"/>
      <c r="H43" s="10"/>
      <c r="I43" s="9"/>
      <c r="J43" s="10"/>
      <c r="K43" s="9"/>
      <c r="L43" s="10"/>
      <c r="M43" s="9"/>
      <c r="N43" s="10"/>
      <c r="O43" s="9"/>
      <c r="P43" s="10"/>
      <c r="Q43" s="9"/>
      <c r="R43" s="10"/>
      <c r="S43" s="9"/>
      <c r="T43" s="10"/>
      <c r="U43" s="9"/>
      <c r="V43" s="10"/>
      <c r="W43" s="9"/>
      <c r="X43" s="10"/>
      <c r="Y43" s="9"/>
      <c r="Z43" s="10"/>
      <c r="AA43" s="9"/>
      <c r="AB43" s="10"/>
      <c r="AC43" s="9"/>
      <c r="AD43" s="10"/>
      <c r="AE43" s="11"/>
      <c r="AF43" s="12"/>
      <c r="AG43" s="9"/>
      <c r="AH43" s="10"/>
      <c r="AI43" s="9"/>
      <c r="AJ43" s="10"/>
      <c r="AK43" s="9"/>
      <c r="AL43" s="10"/>
      <c r="AM43" s="9"/>
      <c r="AN43" s="10"/>
      <c r="AO43" s="9"/>
      <c r="AP43" s="10"/>
      <c r="AQ43" s="9"/>
      <c r="AR43" s="10"/>
      <c r="AS43" s="9"/>
      <c r="AT43" s="10"/>
      <c r="AU43" s="9"/>
      <c r="AV43" s="10"/>
      <c r="AW43" s="9"/>
      <c r="AX43" s="10"/>
      <c r="AY43" s="9"/>
      <c r="AZ43" s="10"/>
      <c r="BA43" s="9"/>
      <c r="BB43" s="10"/>
      <c r="BC43" s="9"/>
      <c r="BD43" s="10"/>
      <c r="BE43" s="11"/>
      <c r="BF43" s="12"/>
      <c r="BG43" s="9"/>
      <c r="BH43" s="10"/>
      <c r="BI43" s="9"/>
      <c r="BJ43" s="10"/>
      <c r="BK43" s="9"/>
      <c r="BL43" s="10"/>
      <c r="BM43" s="9"/>
      <c r="BN43" s="10"/>
      <c r="BO43" s="9"/>
      <c r="BP43" s="10"/>
      <c r="BQ43" s="9"/>
      <c r="BR43" s="10"/>
      <c r="BS43" s="9"/>
      <c r="BT43" s="10"/>
      <c r="BU43" s="9"/>
      <c r="BV43" s="10"/>
      <c r="BW43" s="9"/>
      <c r="BX43" s="10"/>
      <c r="BY43" s="9"/>
      <c r="BZ43" s="10"/>
      <c r="CA43" s="9"/>
      <c r="CB43" s="10"/>
      <c r="CC43" s="9"/>
      <c r="CD43" s="10"/>
      <c r="CE43" s="19">
        <f t="shared" si="15"/>
        <v>0</v>
      </c>
      <c r="CF43" s="10">
        <f t="shared" si="16"/>
        <v>0</v>
      </c>
      <c r="CG43" s="11">
        <v>0</v>
      </c>
      <c r="CH43" s="12">
        <v>0</v>
      </c>
      <c r="CI43" s="15">
        <v>0</v>
      </c>
      <c r="CJ43" s="15">
        <v>1.58</v>
      </c>
      <c r="CK43" s="14"/>
      <c r="CL43" s="10"/>
      <c r="CM43" s="14"/>
      <c r="CN43" s="15"/>
      <c r="CO43" s="14"/>
      <c r="CP43" s="15"/>
      <c r="CQ43" s="14">
        <v>4158</v>
      </c>
      <c r="CR43" s="15">
        <v>2661.12</v>
      </c>
      <c r="CS43" s="14">
        <v>10876</v>
      </c>
      <c r="CT43" s="15">
        <v>6960.64</v>
      </c>
      <c r="CU43" s="14">
        <v>10206</v>
      </c>
      <c r="CV43" s="15">
        <v>6531.84</v>
      </c>
      <c r="CW43" s="14">
        <v>13566</v>
      </c>
      <c r="CX43" s="15">
        <v>8682.24</v>
      </c>
      <c r="CY43" s="14">
        <v>8414</v>
      </c>
      <c r="CZ43" s="15">
        <v>5384.96</v>
      </c>
      <c r="DA43" s="14">
        <v>7784</v>
      </c>
      <c r="DB43" s="15">
        <v>4981.76</v>
      </c>
      <c r="DC43" s="14">
        <v>7994</v>
      </c>
      <c r="DD43" s="15">
        <v>5116.16</v>
      </c>
      <c r="DE43" s="14">
        <v>5334</v>
      </c>
      <c r="DF43" s="15">
        <v>3413.76</v>
      </c>
      <c r="DG43" s="14">
        <v>6454</v>
      </c>
      <c r="DH43" s="15">
        <v>4130.5600000000004</v>
      </c>
      <c r="DI43" s="16">
        <f t="shared" si="17"/>
        <v>74786</v>
      </c>
      <c r="DJ43" s="16">
        <f t="shared" si="18"/>
        <v>47863.040000000001</v>
      </c>
      <c r="DK43" s="16">
        <f t="shared" si="19"/>
        <v>0</v>
      </c>
      <c r="DL43" s="17">
        <f t="shared" si="20"/>
        <v>0</v>
      </c>
      <c r="DM43" s="68">
        <f t="shared" si="2"/>
        <v>6232.166666666667</v>
      </c>
      <c r="DN43" s="294">
        <f t="shared" si="3"/>
        <v>3988.5866666666666</v>
      </c>
      <c r="DO43" s="69">
        <f>DN43/$DN$57%</f>
        <v>0.67414941420580488</v>
      </c>
      <c r="DP43" s="14">
        <v>5418</v>
      </c>
      <c r="DQ43" s="10">
        <v>3467.52</v>
      </c>
      <c r="DR43" s="9">
        <v>5768</v>
      </c>
      <c r="DS43" s="10">
        <v>3691.52</v>
      </c>
      <c r="DT43" s="14"/>
      <c r="DU43" s="15"/>
      <c r="DV43" s="14"/>
      <c r="DW43" s="15"/>
      <c r="DX43" s="14"/>
      <c r="DY43" s="15"/>
      <c r="DZ43" s="14"/>
      <c r="EA43" s="15"/>
      <c r="EB43" s="14"/>
      <c r="EC43" s="15"/>
      <c r="ED43" s="14"/>
      <c r="EE43" s="15"/>
      <c r="EF43" s="14"/>
      <c r="EG43" s="15"/>
      <c r="EH43" s="14"/>
      <c r="EI43" s="15"/>
      <c r="EJ43" s="14"/>
      <c r="EK43" s="15"/>
      <c r="EL43" s="14"/>
      <c r="EM43" s="15"/>
      <c r="EN43" s="16">
        <f t="shared" si="83"/>
        <v>11186</v>
      </c>
      <c r="EO43" s="16">
        <f t="shared" si="84"/>
        <v>7159.04</v>
      </c>
      <c r="EP43" s="68">
        <f t="shared" si="5"/>
        <v>5593</v>
      </c>
      <c r="EQ43" s="294">
        <f t="shared" si="6"/>
        <v>3579.52</v>
      </c>
      <c r="ER43" s="535">
        <f t="shared" si="56"/>
        <v>0.69139947511493438</v>
      </c>
      <c r="ES43" s="522">
        <f t="shared" si="7"/>
        <v>1.7250060909129505E-2</v>
      </c>
      <c r="ET43" s="522"/>
      <c r="EU43" s="522">
        <f t="shared" si="9"/>
        <v>-10.255930254325676</v>
      </c>
      <c r="EV43" s="522">
        <f t="shared" si="10"/>
        <v>-409.06666666666661</v>
      </c>
      <c r="EW43" s="523">
        <f t="shared" si="11"/>
        <v>3579.52</v>
      </c>
      <c r="EX43" s="522">
        <f t="shared" si="12"/>
        <v>-29.219047619047615</v>
      </c>
      <c r="EY43" s="522">
        <f t="shared" si="13"/>
        <v>255.68</v>
      </c>
      <c r="EZ43" s="522">
        <f t="shared" si="14"/>
        <v>511.36</v>
      </c>
    </row>
    <row r="44" spans="1:156" s="251" customFormat="1">
      <c r="A44" s="246"/>
      <c r="B44" s="247" t="s">
        <v>177</v>
      </c>
      <c r="C44" s="247"/>
      <c r="D44" s="246"/>
      <c r="E44" s="246"/>
      <c r="F44" s="246"/>
      <c r="G44" s="248"/>
      <c r="H44" s="249"/>
      <c r="I44" s="248"/>
      <c r="J44" s="249"/>
      <c r="K44" s="248"/>
      <c r="L44" s="249"/>
      <c r="M44" s="248"/>
      <c r="N44" s="249"/>
      <c r="O44" s="248"/>
      <c r="P44" s="249"/>
      <c r="Q44" s="248"/>
      <c r="R44" s="249"/>
      <c r="S44" s="248"/>
      <c r="T44" s="249"/>
      <c r="U44" s="248"/>
      <c r="V44" s="249"/>
      <c r="W44" s="248"/>
      <c r="X44" s="249"/>
      <c r="Y44" s="248"/>
      <c r="Z44" s="249"/>
      <c r="AA44" s="248"/>
      <c r="AB44" s="249"/>
      <c r="AC44" s="248"/>
      <c r="AD44" s="249"/>
      <c r="AE44" s="248"/>
      <c r="AF44" s="249"/>
      <c r="AG44" s="248"/>
      <c r="AH44" s="249"/>
      <c r="AI44" s="248"/>
      <c r="AJ44" s="249"/>
      <c r="AK44" s="248"/>
      <c r="AL44" s="249"/>
      <c r="AM44" s="248"/>
      <c r="AN44" s="249"/>
      <c r="AO44" s="248"/>
      <c r="AP44" s="249"/>
      <c r="AQ44" s="248"/>
      <c r="AR44" s="249"/>
      <c r="AS44" s="248"/>
      <c r="AT44" s="249"/>
      <c r="AU44" s="248"/>
      <c r="AV44" s="249"/>
      <c r="AW44" s="248"/>
      <c r="AX44" s="249"/>
      <c r="AY44" s="248"/>
      <c r="AZ44" s="249"/>
      <c r="BA44" s="248"/>
      <c r="BB44" s="249"/>
      <c r="BC44" s="248"/>
      <c r="BD44" s="249"/>
      <c r="BE44" s="248"/>
      <c r="BF44" s="249"/>
      <c r="BG44" s="248"/>
      <c r="BH44" s="249"/>
      <c r="BI44" s="248"/>
      <c r="BJ44" s="249"/>
      <c r="BK44" s="248"/>
      <c r="BL44" s="249"/>
      <c r="BM44" s="248"/>
      <c r="BN44" s="249"/>
      <c r="BO44" s="248"/>
      <c r="BP44" s="249"/>
      <c r="BQ44" s="248"/>
      <c r="BR44" s="249"/>
      <c r="BS44" s="248"/>
      <c r="BT44" s="249"/>
      <c r="BU44" s="248"/>
      <c r="BV44" s="249"/>
      <c r="BW44" s="248"/>
      <c r="BX44" s="249"/>
      <c r="BY44" s="248"/>
      <c r="BZ44" s="249"/>
      <c r="CA44" s="248"/>
      <c r="CB44" s="249"/>
      <c r="CC44" s="248"/>
      <c r="CD44" s="249"/>
      <c r="CE44" s="250">
        <f t="shared" si="15"/>
        <v>0</v>
      </c>
      <c r="CF44" s="249">
        <f t="shared" si="16"/>
        <v>0</v>
      </c>
      <c r="CG44" s="250">
        <f t="shared" ref="CG44:DO44" si="85">SUM(CG40:CG43)</f>
        <v>13922.333333333334</v>
      </c>
      <c r="CH44" s="250">
        <f t="shared" si="85"/>
        <v>8910.2933333333331</v>
      </c>
      <c r="CI44" s="250">
        <f t="shared" si="85"/>
        <v>1.5806644400195971</v>
      </c>
      <c r="CJ44" s="250">
        <f t="shared" si="85"/>
        <v>1.58</v>
      </c>
      <c r="CK44" s="250">
        <f t="shared" si="85"/>
        <v>14112</v>
      </c>
      <c r="CL44" s="250">
        <f t="shared" si="85"/>
        <v>9031.68</v>
      </c>
      <c r="CM44" s="250">
        <f t="shared" si="85"/>
        <v>17376</v>
      </c>
      <c r="CN44" s="250">
        <f t="shared" si="85"/>
        <v>11120.64</v>
      </c>
      <c r="CO44" s="250">
        <f t="shared" si="85"/>
        <v>20266</v>
      </c>
      <c r="CP44" s="250">
        <f t="shared" si="85"/>
        <v>12970.24</v>
      </c>
      <c r="CQ44" s="250">
        <f t="shared" si="85"/>
        <v>25806</v>
      </c>
      <c r="CR44" s="250">
        <f t="shared" si="85"/>
        <v>16515.84</v>
      </c>
      <c r="CS44" s="250">
        <f t="shared" si="85"/>
        <v>41990</v>
      </c>
      <c r="CT44" s="250">
        <f t="shared" si="85"/>
        <v>26873.599999999999</v>
      </c>
      <c r="CU44" s="250">
        <f t="shared" si="85"/>
        <v>36015</v>
      </c>
      <c r="CV44" s="250">
        <f t="shared" si="85"/>
        <v>22546.559999999998</v>
      </c>
      <c r="CW44" s="250">
        <f t="shared" si="85"/>
        <v>32574</v>
      </c>
      <c r="CX44" s="250">
        <f t="shared" si="85"/>
        <v>20563.2</v>
      </c>
      <c r="CY44" s="250">
        <f t="shared" si="85"/>
        <v>22446</v>
      </c>
      <c r="CZ44" s="250">
        <f t="shared" si="85"/>
        <v>14235.48</v>
      </c>
      <c r="DA44" s="250">
        <f t="shared" si="85"/>
        <v>21440</v>
      </c>
      <c r="DB44" s="250">
        <f t="shared" si="85"/>
        <v>13587.2</v>
      </c>
      <c r="DC44" s="250">
        <f t="shared" si="85"/>
        <v>19490</v>
      </c>
      <c r="DD44" s="250">
        <f t="shared" si="85"/>
        <v>12453.439999999999</v>
      </c>
      <c r="DE44" s="250">
        <f t="shared" si="85"/>
        <v>20526</v>
      </c>
      <c r="DF44" s="250">
        <f t="shared" si="85"/>
        <v>13055.999999999998</v>
      </c>
      <c r="DG44" s="250">
        <f t="shared" si="85"/>
        <v>18502</v>
      </c>
      <c r="DH44" s="250">
        <f t="shared" si="85"/>
        <v>11780.8</v>
      </c>
      <c r="DI44" s="250">
        <f t="shared" si="85"/>
        <v>290543</v>
      </c>
      <c r="DJ44" s="250">
        <f t="shared" si="85"/>
        <v>184734.68</v>
      </c>
      <c r="DK44" s="669">
        <f t="shared" si="19"/>
        <v>15744</v>
      </c>
      <c r="DL44" s="670">
        <f t="shared" si="20"/>
        <v>10076.16</v>
      </c>
      <c r="DM44" s="502">
        <f t="shared" si="2"/>
        <v>24211.916666666668</v>
      </c>
      <c r="DN44" s="503">
        <f t="shared" si="3"/>
        <v>15394.556666666665</v>
      </c>
      <c r="DO44" s="250">
        <f t="shared" si="85"/>
        <v>2.6019821621338055</v>
      </c>
      <c r="DP44" s="250">
        <f t="shared" ref="DP44:EO44" si="86">SUM(DP40:DP43)</f>
        <v>15289</v>
      </c>
      <c r="DQ44" s="250">
        <f t="shared" si="86"/>
        <v>9717.2800000000007</v>
      </c>
      <c r="DR44" s="250">
        <f t="shared" si="86"/>
        <v>13773</v>
      </c>
      <c r="DS44" s="250">
        <f t="shared" si="86"/>
        <v>8750.880000000001</v>
      </c>
      <c r="DT44" s="250">
        <f t="shared" si="86"/>
        <v>0</v>
      </c>
      <c r="DU44" s="250">
        <f t="shared" si="86"/>
        <v>0</v>
      </c>
      <c r="DV44" s="250">
        <f t="shared" si="86"/>
        <v>0</v>
      </c>
      <c r="DW44" s="250">
        <f t="shared" si="86"/>
        <v>0</v>
      </c>
      <c r="DX44" s="250">
        <f t="shared" si="86"/>
        <v>0</v>
      </c>
      <c r="DY44" s="250">
        <f t="shared" si="86"/>
        <v>0</v>
      </c>
      <c r="DZ44" s="250">
        <f t="shared" si="86"/>
        <v>0</v>
      </c>
      <c r="EA44" s="250">
        <f t="shared" si="86"/>
        <v>0</v>
      </c>
      <c r="EB44" s="250">
        <f t="shared" si="86"/>
        <v>0</v>
      </c>
      <c r="EC44" s="250">
        <f t="shared" si="86"/>
        <v>0</v>
      </c>
      <c r="ED44" s="250">
        <f t="shared" si="86"/>
        <v>0</v>
      </c>
      <c r="EE44" s="250">
        <f t="shared" si="86"/>
        <v>0</v>
      </c>
      <c r="EF44" s="250">
        <f t="shared" si="86"/>
        <v>0</v>
      </c>
      <c r="EG44" s="250">
        <f t="shared" si="86"/>
        <v>0</v>
      </c>
      <c r="EH44" s="250">
        <f t="shared" si="86"/>
        <v>0</v>
      </c>
      <c r="EI44" s="250">
        <f t="shared" si="86"/>
        <v>0</v>
      </c>
      <c r="EJ44" s="250">
        <f t="shared" si="86"/>
        <v>0</v>
      </c>
      <c r="EK44" s="250">
        <f t="shared" si="86"/>
        <v>0</v>
      </c>
      <c r="EL44" s="250">
        <f t="shared" si="86"/>
        <v>0</v>
      </c>
      <c r="EM44" s="250">
        <f t="shared" si="86"/>
        <v>0</v>
      </c>
      <c r="EN44" s="250">
        <f t="shared" si="86"/>
        <v>29062</v>
      </c>
      <c r="EO44" s="250">
        <f t="shared" si="86"/>
        <v>18468.16</v>
      </c>
      <c r="EP44" s="502">
        <f t="shared" si="5"/>
        <v>14531</v>
      </c>
      <c r="EQ44" s="503">
        <f t="shared" si="6"/>
        <v>9234.08</v>
      </c>
      <c r="ER44" s="536">
        <f t="shared" si="56"/>
        <v>1.78360173016754</v>
      </c>
      <c r="ES44" s="537">
        <f t="shared" si="7"/>
        <v>-0.81838043196626553</v>
      </c>
      <c r="ET44" s="537">
        <f t="shared" si="8"/>
        <v>-8.3571519308943181</v>
      </c>
      <c r="EU44" s="537">
        <f t="shared" si="9"/>
        <v>-40.017239859889862</v>
      </c>
      <c r="EV44" s="537">
        <f t="shared" si="10"/>
        <v>-6160.4766666666656</v>
      </c>
      <c r="EW44" s="538">
        <f t="shared" si="11"/>
        <v>-842.07999999999993</v>
      </c>
      <c r="EX44" s="537">
        <f t="shared" si="12"/>
        <v>-440.03404761904756</v>
      </c>
      <c r="EY44" s="537">
        <f t="shared" si="13"/>
        <v>-60.148571428571422</v>
      </c>
      <c r="EZ44" s="537">
        <f t="shared" si="14"/>
        <v>-120.29714285714284</v>
      </c>
    </row>
    <row r="45" spans="1:156">
      <c r="A45" s="7">
        <v>28</v>
      </c>
      <c r="B45" s="8" t="s">
        <v>38</v>
      </c>
      <c r="C45" s="8" t="s">
        <v>14</v>
      </c>
      <c r="D45" s="7">
        <v>0.7</v>
      </c>
      <c r="E45" s="7" t="s">
        <v>15</v>
      </c>
      <c r="F45" s="7">
        <v>3600</v>
      </c>
      <c r="G45" s="9">
        <v>404</v>
      </c>
      <c r="H45" s="10">
        <v>282.79999999999995</v>
      </c>
      <c r="I45" s="9">
        <v>592</v>
      </c>
      <c r="J45" s="10">
        <v>414.4</v>
      </c>
      <c r="K45" s="9">
        <v>866</v>
      </c>
      <c r="L45" s="10">
        <v>606.19999999999993</v>
      </c>
      <c r="M45" s="9">
        <v>636</v>
      </c>
      <c r="N45" s="10">
        <v>445.2</v>
      </c>
      <c r="O45" s="9">
        <v>977</v>
      </c>
      <c r="P45" s="10">
        <v>683.9</v>
      </c>
      <c r="Q45" s="9">
        <v>468</v>
      </c>
      <c r="R45" s="10">
        <v>327.59999999999997</v>
      </c>
      <c r="S45" s="9">
        <v>96</v>
      </c>
      <c r="T45" s="10">
        <v>67.199999999999989</v>
      </c>
      <c r="U45" s="9">
        <v>396</v>
      </c>
      <c r="V45" s="10">
        <v>277.2</v>
      </c>
      <c r="W45" s="9">
        <v>24</v>
      </c>
      <c r="X45" s="10">
        <v>16.799999999999997</v>
      </c>
      <c r="Y45" s="9">
        <v>845</v>
      </c>
      <c r="Z45" s="10">
        <v>591.5</v>
      </c>
      <c r="AA45" s="9">
        <v>1146</v>
      </c>
      <c r="AB45" s="10">
        <v>802.19999999999993</v>
      </c>
      <c r="AC45" s="9">
        <v>759</v>
      </c>
      <c r="AD45" s="10">
        <v>531.29999999999995</v>
      </c>
      <c r="AE45" s="11">
        <v>600.75</v>
      </c>
      <c r="AF45" s="12">
        <v>420.52499999999998</v>
      </c>
      <c r="AG45" s="9">
        <v>910</v>
      </c>
      <c r="AH45" s="10">
        <v>637</v>
      </c>
      <c r="AI45" s="9">
        <v>517</v>
      </c>
      <c r="AJ45" s="10">
        <v>361.9</v>
      </c>
      <c r="AK45" s="9">
        <v>250</v>
      </c>
      <c r="AL45" s="10">
        <v>175</v>
      </c>
      <c r="AM45" s="9">
        <v>515</v>
      </c>
      <c r="AN45" s="10">
        <v>360.5</v>
      </c>
      <c r="AO45" s="9">
        <v>738</v>
      </c>
      <c r="AP45" s="10">
        <v>516.6</v>
      </c>
      <c r="AQ45" s="9">
        <v>352</v>
      </c>
      <c r="AR45" s="10">
        <v>246.39999999999998</v>
      </c>
      <c r="AS45" s="9">
        <v>415</v>
      </c>
      <c r="AT45" s="10">
        <v>290.5</v>
      </c>
      <c r="AU45" s="9">
        <v>305</v>
      </c>
      <c r="AV45" s="10">
        <v>213.5</v>
      </c>
      <c r="AW45" s="9">
        <v>840</v>
      </c>
      <c r="AX45" s="10">
        <v>588</v>
      </c>
      <c r="AY45" s="9">
        <v>446</v>
      </c>
      <c r="AZ45" s="10">
        <v>312.2</v>
      </c>
      <c r="BA45" s="9">
        <v>180</v>
      </c>
      <c r="BB45" s="10">
        <v>125.99999999999999</v>
      </c>
      <c r="BC45" s="9">
        <v>1272</v>
      </c>
      <c r="BD45" s="10">
        <v>890.4</v>
      </c>
      <c r="BE45" s="11">
        <v>561.66666666666663</v>
      </c>
      <c r="BF45" s="12">
        <v>393.16666666666663</v>
      </c>
      <c r="BG45" s="9">
        <v>372</v>
      </c>
      <c r="BH45" s="10">
        <v>260.39999999999998</v>
      </c>
      <c r="BI45" s="9">
        <v>1045</v>
      </c>
      <c r="BJ45" s="10">
        <v>731.5</v>
      </c>
      <c r="BK45" s="9">
        <v>2335</v>
      </c>
      <c r="BL45" s="10">
        <v>1634.5</v>
      </c>
      <c r="BM45" s="9">
        <v>252</v>
      </c>
      <c r="BN45" s="10">
        <v>176.39999999999998</v>
      </c>
      <c r="BO45" s="9">
        <v>870</v>
      </c>
      <c r="BP45" s="10">
        <v>609</v>
      </c>
      <c r="BQ45" s="9">
        <v>448</v>
      </c>
      <c r="BR45" s="10">
        <v>313.59999999999997</v>
      </c>
      <c r="BS45" s="9">
        <v>2144</v>
      </c>
      <c r="BT45" s="10">
        <v>1500.8</v>
      </c>
      <c r="BU45" s="9">
        <v>1209</v>
      </c>
      <c r="BV45" s="10">
        <v>846.3</v>
      </c>
      <c r="BW45" s="9">
        <v>324</v>
      </c>
      <c r="BX45" s="10">
        <v>226.79999999999998</v>
      </c>
      <c r="BY45" s="9">
        <v>772</v>
      </c>
      <c r="BZ45" s="10">
        <v>540.4</v>
      </c>
      <c r="CA45" s="9">
        <v>948</v>
      </c>
      <c r="CB45" s="10">
        <v>663.59999999999991</v>
      </c>
      <c r="CC45" s="9">
        <v>12</v>
      </c>
      <c r="CD45" s="10">
        <v>8.3999999999999986</v>
      </c>
      <c r="CE45" s="19">
        <f t="shared" si="15"/>
        <v>974.4545454545455</v>
      </c>
      <c r="CF45" s="10">
        <f t="shared" si="16"/>
        <v>682.11818181818171</v>
      </c>
      <c r="CG45" s="11">
        <v>894.25</v>
      </c>
      <c r="CH45" s="12">
        <v>625.97499999999991</v>
      </c>
      <c r="CI45" s="15">
        <v>0.1110464477235243</v>
      </c>
      <c r="CJ45" s="15"/>
      <c r="CK45" s="18">
        <v>121</v>
      </c>
      <c r="CL45" s="10">
        <v>84.699999999999989</v>
      </c>
      <c r="CM45" s="14">
        <v>141</v>
      </c>
      <c r="CN45" s="15">
        <v>98.699999999999989</v>
      </c>
      <c r="CO45" s="14">
        <v>234</v>
      </c>
      <c r="CP45" s="15">
        <v>163.79999999999998</v>
      </c>
      <c r="CQ45" s="14">
        <v>51</v>
      </c>
      <c r="CR45" s="15">
        <v>35.699999999999996</v>
      </c>
      <c r="CS45" s="14">
        <v>540</v>
      </c>
      <c r="CT45" s="15">
        <v>378</v>
      </c>
      <c r="CU45" s="14">
        <v>314</v>
      </c>
      <c r="CV45" s="15">
        <v>219.79999999999998</v>
      </c>
      <c r="CW45" s="14">
        <v>546</v>
      </c>
      <c r="CX45" s="15">
        <v>382.2</v>
      </c>
      <c r="CY45" s="14">
        <v>435</v>
      </c>
      <c r="CZ45" s="15">
        <v>304.5</v>
      </c>
      <c r="DA45" s="14">
        <v>78</v>
      </c>
      <c r="DB45" s="15">
        <v>54.599999999999994</v>
      </c>
      <c r="DC45" s="14">
        <v>240</v>
      </c>
      <c r="DD45" s="15">
        <v>168</v>
      </c>
      <c r="DE45" s="14">
        <v>300</v>
      </c>
      <c r="DF45" s="15">
        <v>210</v>
      </c>
      <c r="DG45" s="14">
        <v>300</v>
      </c>
      <c r="DH45" s="15">
        <v>210</v>
      </c>
      <c r="DI45" s="16">
        <f t="shared" si="17"/>
        <v>3300</v>
      </c>
      <c r="DJ45" s="16">
        <f t="shared" si="18"/>
        <v>2310</v>
      </c>
      <c r="DK45" s="16">
        <f t="shared" si="19"/>
        <v>131</v>
      </c>
      <c r="DL45" s="17">
        <f t="shared" si="20"/>
        <v>91.699999999999989</v>
      </c>
      <c r="DM45" s="68">
        <f t="shared" si="2"/>
        <v>275</v>
      </c>
      <c r="DN45" s="294">
        <f t="shared" si="3"/>
        <v>192.5</v>
      </c>
      <c r="DO45" s="69">
        <f>DN45/$DN$57%</f>
        <v>3.2536277403512379E-2</v>
      </c>
      <c r="DP45" s="18">
        <v>120</v>
      </c>
      <c r="DQ45" s="10">
        <v>84</v>
      </c>
      <c r="DR45" s="9"/>
      <c r="DS45" s="10"/>
      <c r="DT45" s="14"/>
      <c r="DU45" s="15"/>
      <c r="DV45" s="14"/>
      <c r="DW45" s="15"/>
      <c r="DX45" s="14"/>
      <c r="DY45" s="15"/>
      <c r="DZ45" s="14"/>
      <c r="EA45" s="15"/>
      <c r="EB45" s="14"/>
      <c r="EC45" s="15"/>
      <c r="ED45" s="14"/>
      <c r="EE45" s="15"/>
      <c r="EF45" s="14"/>
      <c r="EG45" s="15"/>
      <c r="EH45" s="14"/>
      <c r="EI45" s="15"/>
      <c r="EJ45" s="14"/>
      <c r="EK45" s="15"/>
      <c r="EL45" s="14"/>
      <c r="EM45" s="15"/>
      <c r="EN45" s="16">
        <f t="shared" ref="EN45:EN46" si="87">DP45+DR45+DT45+DV45+DX45+DZ45+EB45+ED45+EF45+EH45+EJ45+EL45</f>
        <v>120</v>
      </c>
      <c r="EO45" s="16">
        <f t="shared" ref="EO45:EO46" si="88">DQ45+DS45+DU45+DW45+DY45+EA45+EC45+EE45+EG45+EI45+EK45+EM45</f>
        <v>84</v>
      </c>
      <c r="EP45" s="68">
        <f t="shared" si="5"/>
        <v>60</v>
      </c>
      <c r="EQ45" s="294">
        <f t="shared" si="6"/>
        <v>42</v>
      </c>
      <c r="ER45" s="535">
        <f t="shared" si="56"/>
        <v>8.112478196749073E-3</v>
      </c>
      <c r="ES45" s="522">
        <f t="shared" si="7"/>
        <v>-2.4423799206763304E-2</v>
      </c>
      <c r="ET45" s="522">
        <f t="shared" si="8"/>
        <v>-54.198473282442741</v>
      </c>
      <c r="EU45" s="522">
        <f t="shared" si="9"/>
        <v>-78.181818181818187</v>
      </c>
      <c r="EV45" s="522">
        <f t="shared" si="10"/>
        <v>-150.5</v>
      </c>
      <c r="EW45" s="523">
        <f t="shared" si="11"/>
        <v>-49.699999999999989</v>
      </c>
      <c r="EX45" s="522">
        <f t="shared" si="12"/>
        <v>-10.75</v>
      </c>
      <c r="EY45" s="522">
        <f t="shared" si="13"/>
        <v>-3.5499999999999994</v>
      </c>
      <c r="EZ45" s="522">
        <f t="shared" si="14"/>
        <v>-7.0999999999999988</v>
      </c>
    </row>
    <row r="46" spans="1:156">
      <c r="A46" s="7">
        <v>29</v>
      </c>
      <c r="B46" s="8" t="s">
        <v>39</v>
      </c>
      <c r="C46" s="8" t="s">
        <v>14</v>
      </c>
      <c r="D46" s="7">
        <v>0.35</v>
      </c>
      <c r="E46" s="7" t="s">
        <v>18</v>
      </c>
      <c r="F46" s="7">
        <v>2100</v>
      </c>
      <c r="G46" s="9"/>
      <c r="H46" s="10">
        <v>0</v>
      </c>
      <c r="I46" s="9"/>
      <c r="J46" s="10">
        <v>0</v>
      </c>
      <c r="K46" s="9"/>
      <c r="L46" s="10">
        <v>0</v>
      </c>
      <c r="M46" s="9"/>
      <c r="N46" s="10">
        <v>0</v>
      </c>
      <c r="O46" s="9"/>
      <c r="P46" s="10">
        <v>0</v>
      </c>
      <c r="Q46" s="9"/>
      <c r="R46" s="10">
        <v>0</v>
      </c>
      <c r="S46" s="9"/>
      <c r="T46" s="10">
        <v>0</v>
      </c>
      <c r="U46" s="9">
        <v>372</v>
      </c>
      <c r="V46" s="10">
        <v>130.19999999999999</v>
      </c>
      <c r="W46" s="9"/>
      <c r="X46" s="10">
        <v>0</v>
      </c>
      <c r="Y46" s="9">
        <v>1379</v>
      </c>
      <c r="Z46" s="10">
        <v>482.65</v>
      </c>
      <c r="AA46" s="9">
        <v>476</v>
      </c>
      <c r="AB46" s="10">
        <v>166.6</v>
      </c>
      <c r="AC46" s="9">
        <v>427</v>
      </c>
      <c r="AD46" s="10">
        <v>149.44999999999999</v>
      </c>
      <c r="AE46" s="11">
        <v>221.16666666666666</v>
      </c>
      <c r="AF46" s="12">
        <v>77.408333333333331</v>
      </c>
      <c r="AG46" s="9">
        <v>339</v>
      </c>
      <c r="AH46" s="10">
        <v>118.64999999999999</v>
      </c>
      <c r="AI46" s="9">
        <v>98</v>
      </c>
      <c r="AJ46" s="10">
        <v>34.299999999999997</v>
      </c>
      <c r="AK46" s="9">
        <v>185</v>
      </c>
      <c r="AL46" s="10">
        <v>64.75</v>
      </c>
      <c r="AM46" s="9">
        <v>65</v>
      </c>
      <c r="AN46" s="10">
        <v>22.75</v>
      </c>
      <c r="AO46" s="9">
        <v>67</v>
      </c>
      <c r="AP46" s="10">
        <v>23.45</v>
      </c>
      <c r="AQ46" s="9">
        <v>34</v>
      </c>
      <c r="AR46" s="10">
        <v>11.899999999999999</v>
      </c>
      <c r="AS46" s="9">
        <v>39</v>
      </c>
      <c r="AT46" s="10">
        <v>13.649999999999999</v>
      </c>
      <c r="AU46" s="9">
        <v>30</v>
      </c>
      <c r="AV46" s="10">
        <v>10.5</v>
      </c>
      <c r="AW46" s="9">
        <v>195</v>
      </c>
      <c r="AX46" s="10">
        <v>68.25</v>
      </c>
      <c r="AY46" s="9">
        <v>30</v>
      </c>
      <c r="AZ46" s="10">
        <v>10.5</v>
      </c>
      <c r="BA46" s="9">
        <v>60</v>
      </c>
      <c r="BB46" s="10">
        <v>21</v>
      </c>
      <c r="BC46" s="9">
        <v>342</v>
      </c>
      <c r="BD46" s="10">
        <v>119.69999999999999</v>
      </c>
      <c r="BE46" s="11">
        <v>123.66666666666667</v>
      </c>
      <c r="BF46" s="12">
        <v>43.283333333333331</v>
      </c>
      <c r="BG46" s="9">
        <v>24</v>
      </c>
      <c r="BH46" s="10">
        <v>8.3999999999999986</v>
      </c>
      <c r="BI46" s="9">
        <v>234</v>
      </c>
      <c r="BJ46" s="10">
        <v>81.899999999999991</v>
      </c>
      <c r="BK46" s="9">
        <v>474</v>
      </c>
      <c r="BL46" s="10">
        <v>165.89999999999998</v>
      </c>
      <c r="BM46" s="9">
        <v>412</v>
      </c>
      <c r="BN46" s="10">
        <v>144.19999999999999</v>
      </c>
      <c r="BO46" s="9">
        <v>510</v>
      </c>
      <c r="BP46" s="10">
        <v>178.5</v>
      </c>
      <c r="BQ46" s="9">
        <v>399</v>
      </c>
      <c r="BR46" s="10">
        <v>139.64999999999998</v>
      </c>
      <c r="BS46" s="9">
        <v>1270</v>
      </c>
      <c r="BT46" s="10">
        <v>444.5</v>
      </c>
      <c r="BU46" s="9">
        <v>966</v>
      </c>
      <c r="BV46" s="10">
        <v>338.09999999999997</v>
      </c>
      <c r="BW46" s="9">
        <v>330</v>
      </c>
      <c r="BX46" s="10">
        <v>115.49999999999999</v>
      </c>
      <c r="BY46" s="9">
        <v>899</v>
      </c>
      <c r="BZ46" s="10">
        <v>314.64999999999998</v>
      </c>
      <c r="CA46" s="9">
        <v>810</v>
      </c>
      <c r="CB46" s="10">
        <v>283.5</v>
      </c>
      <c r="CC46" s="9">
        <v>12</v>
      </c>
      <c r="CD46" s="10">
        <v>4.1999999999999993</v>
      </c>
      <c r="CE46" s="19">
        <f t="shared" si="15"/>
        <v>575.27272727272725</v>
      </c>
      <c r="CF46" s="10">
        <f t="shared" si="16"/>
        <v>201.34545454545452</v>
      </c>
      <c r="CG46" s="11">
        <v>528.33333333333337</v>
      </c>
      <c r="CH46" s="12">
        <v>184.91666666666666</v>
      </c>
      <c r="CI46" s="15">
        <v>3.2803768454344615E-2</v>
      </c>
      <c r="CJ46" s="15">
        <v>0.14000000000000001</v>
      </c>
      <c r="CK46" s="18">
        <v>26</v>
      </c>
      <c r="CL46" s="10">
        <v>9.1</v>
      </c>
      <c r="CM46" s="14">
        <v>90</v>
      </c>
      <c r="CN46" s="15">
        <v>31.499999999999996</v>
      </c>
      <c r="CO46" s="14">
        <v>264</v>
      </c>
      <c r="CP46" s="15">
        <v>92.399999999999991</v>
      </c>
      <c r="CQ46" s="14">
        <v>481</v>
      </c>
      <c r="CR46" s="15">
        <v>168.35</v>
      </c>
      <c r="CS46" s="14">
        <v>331</v>
      </c>
      <c r="CT46" s="15">
        <v>115.85</v>
      </c>
      <c r="CU46" s="14">
        <v>1260</v>
      </c>
      <c r="CV46" s="15">
        <v>441</v>
      </c>
      <c r="CW46" s="14">
        <v>521</v>
      </c>
      <c r="CX46" s="15">
        <v>182.35</v>
      </c>
      <c r="CY46" s="14">
        <v>42</v>
      </c>
      <c r="CZ46" s="15">
        <v>14.7</v>
      </c>
      <c r="DA46" s="14">
        <v>60</v>
      </c>
      <c r="DB46" s="15">
        <v>21</v>
      </c>
      <c r="DC46" s="14"/>
      <c r="DD46" s="15">
        <v>0</v>
      </c>
      <c r="DE46" s="14"/>
      <c r="DF46" s="15">
        <v>0</v>
      </c>
      <c r="DG46" s="14"/>
      <c r="DH46" s="15">
        <v>0</v>
      </c>
      <c r="DI46" s="16">
        <f t="shared" si="17"/>
        <v>3075</v>
      </c>
      <c r="DJ46" s="16">
        <f t="shared" si="18"/>
        <v>1076.25</v>
      </c>
      <c r="DK46" s="16">
        <f t="shared" si="19"/>
        <v>58</v>
      </c>
      <c r="DL46" s="17">
        <f t="shared" si="20"/>
        <v>20.299999999999997</v>
      </c>
      <c r="DM46" s="68">
        <f t="shared" si="2"/>
        <v>256.25</v>
      </c>
      <c r="DN46" s="294">
        <f t="shared" si="3"/>
        <v>89.6875</v>
      </c>
      <c r="DO46" s="69">
        <f>DN46/$DN$57%</f>
        <v>1.5158947426636451E-2</v>
      </c>
      <c r="DP46" s="18"/>
      <c r="DQ46" s="10"/>
      <c r="DR46" s="9"/>
      <c r="DS46" s="10"/>
      <c r="DT46" s="14"/>
      <c r="DU46" s="15"/>
      <c r="DV46" s="14"/>
      <c r="DW46" s="15"/>
      <c r="DX46" s="14"/>
      <c r="DY46" s="15"/>
      <c r="DZ46" s="14"/>
      <c r="EA46" s="15"/>
      <c r="EB46" s="14"/>
      <c r="EC46" s="15"/>
      <c r="ED46" s="14"/>
      <c r="EE46" s="15"/>
      <c r="EF46" s="14"/>
      <c r="EG46" s="15"/>
      <c r="EH46" s="14"/>
      <c r="EI46" s="15"/>
      <c r="EJ46" s="14"/>
      <c r="EK46" s="15"/>
      <c r="EL46" s="14"/>
      <c r="EM46" s="15"/>
      <c r="EN46" s="16">
        <f t="shared" si="87"/>
        <v>0</v>
      </c>
      <c r="EO46" s="16">
        <f t="shared" si="88"/>
        <v>0</v>
      </c>
      <c r="EP46" s="68">
        <f t="shared" si="5"/>
        <v>0</v>
      </c>
      <c r="EQ46" s="294">
        <f t="shared" si="6"/>
        <v>0</v>
      </c>
      <c r="ER46" s="535">
        <f t="shared" si="56"/>
        <v>0</v>
      </c>
      <c r="ES46" s="522">
        <f t="shared" si="7"/>
        <v>-1.5158947426636451E-2</v>
      </c>
      <c r="ET46" s="522">
        <f t="shared" si="8"/>
        <v>-100</v>
      </c>
      <c r="EU46" s="522">
        <f t="shared" si="9"/>
        <v>-100</v>
      </c>
      <c r="EV46" s="522">
        <f t="shared" si="10"/>
        <v>-89.6875</v>
      </c>
      <c r="EW46" s="523">
        <f t="shared" si="11"/>
        <v>-20.299999999999997</v>
      </c>
      <c r="EX46" s="522">
        <f t="shared" si="12"/>
        <v>-6.40625</v>
      </c>
      <c r="EY46" s="522">
        <f t="shared" si="13"/>
        <v>-1.4499999999999997</v>
      </c>
      <c r="EZ46" s="522">
        <f t="shared" si="14"/>
        <v>-2.8999999999999995</v>
      </c>
    </row>
    <row r="47" spans="1:156" s="251" customFormat="1">
      <c r="A47" s="246"/>
      <c r="B47" s="247" t="s">
        <v>172</v>
      </c>
      <c r="C47" s="247"/>
      <c r="D47" s="246"/>
      <c r="E47" s="246"/>
      <c r="F47" s="246"/>
      <c r="G47" s="248"/>
      <c r="H47" s="249"/>
      <c r="I47" s="248"/>
      <c r="J47" s="249"/>
      <c r="K47" s="248"/>
      <c r="L47" s="249"/>
      <c r="M47" s="248"/>
      <c r="N47" s="249"/>
      <c r="O47" s="248"/>
      <c r="P47" s="249"/>
      <c r="Q47" s="248"/>
      <c r="R47" s="249"/>
      <c r="S47" s="248"/>
      <c r="T47" s="249"/>
      <c r="U47" s="248"/>
      <c r="V47" s="249"/>
      <c r="W47" s="248"/>
      <c r="X47" s="249"/>
      <c r="Y47" s="248"/>
      <c r="Z47" s="249"/>
      <c r="AA47" s="248"/>
      <c r="AB47" s="249"/>
      <c r="AC47" s="248"/>
      <c r="AD47" s="249"/>
      <c r="AE47" s="248"/>
      <c r="AF47" s="249"/>
      <c r="AG47" s="248"/>
      <c r="AH47" s="249"/>
      <c r="AI47" s="248"/>
      <c r="AJ47" s="249"/>
      <c r="AK47" s="248"/>
      <c r="AL47" s="249"/>
      <c r="AM47" s="248"/>
      <c r="AN47" s="249"/>
      <c r="AO47" s="248"/>
      <c r="AP47" s="249"/>
      <c r="AQ47" s="248"/>
      <c r="AR47" s="249"/>
      <c r="AS47" s="248"/>
      <c r="AT47" s="249"/>
      <c r="AU47" s="248"/>
      <c r="AV47" s="249"/>
      <c r="AW47" s="248"/>
      <c r="AX47" s="249"/>
      <c r="AY47" s="248"/>
      <c r="AZ47" s="249"/>
      <c r="BA47" s="248"/>
      <c r="BB47" s="249"/>
      <c r="BC47" s="248"/>
      <c r="BD47" s="249"/>
      <c r="BE47" s="248"/>
      <c r="BF47" s="249"/>
      <c r="BG47" s="248"/>
      <c r="BH47" s="249"/>
      <c r="BI47" s="248"/>
      <c r="BJ47" s="249"/>
      <c r="BK47" s="248"/>
      <c r="BL47" s="249"/>
      <c r="BM47" s="248"/>
      <c r="BN47" s="249"/>
      <c r="BO47" s="248"/>
      <c r="BP47" s="249"/>
      <c r="BQ47" s="248"/>
      <c r="BR47" s="249"/>
      <c r="BS47" s="248"/>
      <c r="BT47" s="249"/>
      <c r="BU47" s="248"/>
      <c r="BV47" s="249"/>
      <c r="BW47" s="248"/>
      <c r="BX47" s="249"/>
      <c r="BY47" s="248"/>
      <c r="BZ47" s="249"/>
      <c r="CA47" s="248"/>
      <c r="CB47" s="249"/>
      <c r="CC47" s="248"/>
      <c r="CD47" s="249"/>
      <c r="CE47" s="250">
        <f t="shared" si="15"/>
        <v>0</v>
      </c>
      <c r="CF47" s="249">
        <f t="shared" si="16"/>
        <v>0</v>
      </c>
      <c r="CG47" s="250">
        <f t="shared" ref="CG47:EM47" si="89">SUM(CG45:CG46)</f>
        <v>1422.5833333333335</v>
      </c>
      <c r="CH47" s="250">
        <f t="shared" si="89"/>
        <v>810.89166666666654</v>
      </c>
      <c r="CI47" s="250">
        <f t="shared" si="89"/>
        <v>0.14385021617786892</v>
      </c>
      <c r="CJ47" s="250">
        <f t="shared" si="89"/>
        <v>0.14000000000000001</v>
      </c>
      <c r="CK47" s="250">
        <f t="shared" si="89"/>
        <v>147</v>
      </c>
      <c r="CL47" s="250">
        <f t="shared" si="89"/>
        <v>93.799999999999983</v>
      </c>
      <c r="CM47" s="250">
        <f t="shared" si="89"/>
        <v>231</v>
      </c>
      <c r="CN47" s="250">
        <f t="shared" si="89"/>
        <v>130.19999999999999</v>
      </c>
      <c r="CO47" s="250">
        <f t="shared" si="89"/>
        <v>498</v>
      </c>
      <c r="CP47" s="250">
        <f t="shared" si="89"/>
        <v>256.2</v>
      </c>
      <c r="CQ47" s="250">
        <f t="shared" si="89"/>
        <v>532</v>
      </c>
      <c r="CR47" s="250">
        <f t="shared" si="89"/>
        <v>204.04999999999998</v>
      </c>
      <c r="CS47" s="250">
        <f t="shared" si="89"/>
        <v>871</v>
      </c>
      <c r="CT47" s="250">
        <f t="shared" si="89"/>
        <v>493.85</v>
      </c>
      <c r="CU47" s="250">
        <f t="shared" si="89"/>
        <v>1574</v>
      </c>
      <c r="CV47" s="250">
        <f t="shared" si="89"/>
        <v>660.8</v>
      </c>
      <c r="CW47" s="250">
        <f t="shared" si="89"/>
        <v>1067</v>
      </c>
      <c r="CX47" s="250">
        <f t="shared" si="89"/>
        <v>564.54999999999995</v>
      </c>
      <c r="CY47" s="250">
        <f t="shared" si="89"/>
        <v>477</v>
      </c>
      <c r="CZ47" s="250">
        <f t="shared" si="89"/>
        <v>319.2</v>
      </c>
      <c r="DA47" s="250">
        <f t="shared" si="89"/>
        <v>138</v>
      </c>
      <c r="DB47" s="250">
        <f t="shared" si="89"/>
        <v>75.599999999999994</v>
      </c>
      <c r="DC47" s="250">
        <f t="shared" si="89"/>
        <v>240</v>
      </c>
      <c r="DD47" s="250">
        <f t="shared" si="89"/>
        <v>168</v>
      </c>
      <c r="DE47" s="250">
        <f t="shared" si="89"/>
        <v>300</v>
      </c>
      <c r="DF47" s="250">
        <f t="shared" si="89"/>
        <v>210</v>
      </c>
      <c r="DG47" s="250">
        <f t="shared" si="89"/>
        <v>300</v>
      </c>
      <c r="DH47" s="250">
        <f t="shared" si="89"/>
        <v>210</v>
      </c>
      <c r="DI47" s="250">
        <f t="shared" si="89"/>
        <v>6375</v>
      </c>
      <c r="DJ47" s="250">
        <f t="shared" si="89"/>
        <v>3386.25</v>
      </c>
      <c r="DK47" s="669">
        <f t="shared" si="19"/>
        <v>189</v>
      </c>
      <c r="DL47" s="670">
        <f t="shared" si="20"/>
        <v>111.99999999999999</v>
      </c>
      <c r="DM47" s="502">
        <f t="shared" si="2"/>
        <v>531.25</v>
      </c>
      <c r="DN47" s="503">
        <f t="shared" si="3"/>
        <v>282.1875</v>
      </c>
      <c r="DO47" s="250">
        <f t="shared" si="89"/>
        <v>4.7695224830148833E-2</v>
      </c>
      <c r="DP47" s="250">
        <f t="shared" si="89"/>
        <v>120</v>
      </c>
      <c r="DQ47" s="250">
        <f t="shared" si="89"/>
        <v>84</v>
      </c>
      <c r="DR47" s="250">
        <f t="shared" si="89"/>
        <v>0</v>
      </c>
      <c r="DS47" s="249">
        <f t="shared" si="89"/>
        <v>0</v>
      </c>
      <c r="DT47" s="250">
        <f t="shared" si="89"/>
        <v>0</v>
      </c>
      <c r="DU47" s="250">
        <f t="shared" si="89"/>
        <v>0</v>
      </c>
      <c r="DV47" s="250">
        <f t="shared" si="89"/>
        <v>0</v>
      </c>
      <c r="DW47" s="250">
        <f t="shared" si="89"/>
        <v>0</v>
      </c>
      <c r="DX47" s="250">
        <f t="shared" si="89"/>
        <v>0</v>
      </c>
      <c r="DY47" s="250">
        <f t="shared" si="89"/>
        <v>0</v>
      </c>
      <c r="DZ47" s="250">
        <f t="shared" si="89"/>
        <v>0</v>
      </c>
      <c r="EA47" s="250">
        <f t="shared" si="89"/>
        <v>0</v>
      </c>
      <c r="EB47" s="250">
        <f t="shared" si="89"/>
        <v>0</v>
      </c>
      <c r="EC47" s="250">
        <f t="shared" si="89"/>
        <v>0</v>
      </c>
      <c r="ED47" s="250">
        <f t="shared" si="89"/>
        <v>0</v>
      </c>
      <c r="EE47" s="250">
        <f t="shared" si="89"/>
        <v>0</v>
      </c>
      <c r="EF47" s="250">
        <f t="shared" si="89"/>
        <v>0</v>
      </c>
      <c r="EG47" s="250">
        <f t="shared" si="89"/>
        <v>0</v>
      </c>
      <c r="EH47" s="250">
        <f t="shared" si="89"/>
        <v>0</v>
      </c>
      <c r="EI47" s="250">
        <f t="shared" si="89"/>
        <v>0</v>
      </c>
      <c r="EJ47" s="250">
        <f t="shared" si="89"/>
        <v>0</v>
      </c>
      <c r="EK47" s="250">
        <f t="shared" si="89"/>
        <v>0</v>
      </c>
      <c r="EL47" s="250">
        <f t="shared" si="89"/>
        <v>0</v>
      </c>
      <c r="EM47" s="250">
        <f t="shared" si="89"/>
        <v>0</v>
      </c>
      <c r="EN47" s="250">
        <f t="shared" ref="EN47:EO47" si="90">SUM(EN45:EN46)</f>
        <v>120</v>
      </c>
      <c r="EO47" s="250">
        <f t="shared" si="90"/>
        <v>84</v>
      </c>
      <c r="EP47" s="502">
        <f t="shared" si="5"/>
        <v>60</v>
      </c>
      <c r="EQ47" s="503">
        <f t="shared" si="6"/>
        <v>42</v>
      </c>
      <c r="ER47" s="536">
        <f t="shared" si="56"/>
        <v>8.112478196749073E-3</v>
      </c>
      <c r="ES47" s="537">
        <f t="shared" si="7"/>
        <v>-3.9582746633399758E-2</v>
      </c>
      <c r="ET47" s="537">
        <f t="shared" si="8"/>
        <v>-62.499999999999993</v>
      </c>
      <c r="EU47" s="537">
        <f t="shared" si="9"/>
        <v>-85.116279069767444</v>
      </c>
      <c r="EV47" s="537">
        <f t="shared" si="10"/>
        <v>-240.1875</v>
      </c>
      <c r="EW47" s="538">
        <f t="shared" si="11"/>
        <v>-69.999999999999986</v>
      </c>
      <c r="EX47" s="537">
        <f t="shared" si="12"/>
        <v>-17.15625</v>
      </c>
      <c r="EY47" s="537">
        <f t="shared" si="13"/>
        <v>-4.9999999999999991</v>
      </c>
      <c r="EZ47" s="537">
        <f t="shared" si="14"/>
        <v>-9.9999999999999982</v>
      </c>
    </row>
    <row r="48" spans="1:156">
      <c r="A48" s="7">
        <v>30</v>
      </c>
      <c r="B48" s="8" t="s">
        <v>189</v>
      </c>
      <c r="C48" s="8" t="s">
        <v>160</v>
      </c>
      <c r="D48" s="7">
        <v>1</v>
      </c>
      <c r="E48" s="7" t="s">
        <v>190</v>
      </c>
      <c r="F48" s="7"/>
      <c r="G48" s="9"/>
      <c r="H48" s="10"/>
      <c r="I48" s="9"/>
      <c r="J48" s="10"/>
      <c r="K48" s="9"/>
      <c r="L48" s="10"/>
      <c r="M48" s="9"/>
      <c r="N48" s="10"/>
      <c r="O48" s="9"/>
      <c r="P48" s="10"/>
      <c r="Q48" s="9"/>
      <c r="R48" s="10"/>
      <c r="S48" s="9"/>
      <c r="T48" s="10"/>
      <c r="U48" s="9"/>
      <c r="V48" s="10"/>
      <c r="W48" s="9"/>
      <c r="X48" s="10"/>
      <c r="Y48" s="9"/>
      <c r="Z48" s="10"/>
      <c r="AA48" s="9"/>
      <c r="AB48" s="10"/>
      <c r="AC48" s="9"/>
      <c r="AD48" s="10"/>
      <c r="AE48" s="9"/>
      <c r="AF48" s="10"/>
      <c r="AG48" s="9"/>
      <c r="AH48" s="10"/>
      <c r="AI48" s="9"/>
      <c r="AJ48" s="10"/>
      <c r="AK48" s="9"/>
      <c r="AL48" s="10"/>
      <c r="AM48" s="9"/>
      <c r="AN48" s="10"/>
      <c r="AO48" s="9"/>
      <c r="AP48" s="10"/>
      <c r="AQ48" s="9"/>
      <c r="AR48" s="10"/>
      <c r="AS48" s="9"/>
      <c r="AT48" s="10"/>
      <c r="AU48" s="9"/>
      <c r="AV48" s="10"/>
      <c r="AW48" s="9"/>
      <c r="AX48" s="10"/>
      <c r="AY48" s="9"/>
      <c r="AZ48" s="10"/>
      <c r="BA48" s="9"/>
      <c r="BB48" s="10"/>
      <c r="BC48" s="9"/>
      <c r="BD48" s="10"/>
      <c r="BE48" s="9"/>
      <c r="BF48" s="10"/>
      <c r="BG48" s="9"/>
      <c r="BH48" s="10"/>
      <c r="BI48" s="9"/>
      <c r="BJ48" s="10"/>
      <c r="BK48" s="9"/>
      <c r="BL48" s="10"/>
      <c r="BM48" s="9"/>
      <c r="BN48" s="10"/>
      <c r="BO48" s="9"/>
      <c r="BP48" s="10"/>
      <c r="BQ48" s="9"/>
      <c r="BR48" s="10"/>
      <c r="BS48" s="9"/>
      <c r="BT48" s="10"/>
      <c r="BU48" s="9"/>
      <c r="BV48" s="10"/>
      <c r="BW48" s="9"/>
      <c r="BX48" s="10"/>
      <c r="BY48" s="9"/>
      <c r="BZ48" s="10"/>
      <c r="CA48" s="9"/>
      <c r="CB48" s="10"/>
      <c r="CC48" s="9"/>
      <c r="CD48" s="10"/>
      <c r="CE48" s="19">
        <f t="shared" si="15"/>
        <v>0</v>
      </c>
      <c r="CF48" s="10">
        <f t="shared" si="16"/>
        <v>0</v>
      </c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>
        <v>447</v>
      </c>
      <c r="DD48" s="19">
        <v>447</v>
      </c>
      <c r="DE48" s="19">
        <v>1195</v>
      </c>
      <c r="DF48" s="19">
        <v>1195</v>
      </c>
      <c r="DG48" s="19">
        <v>396</v>
      </c>
      <c r="DH48" s="19">
        <v>396</v>
      </c>
      <c r="DI48" s="16">
        <f t="shared" si="17"/>
        <v>2038</v>
      </c>
      <c r="DJ48" s="16">
        <f t="shared" si="18"/>
        <v>2038</v>
      </c>
      <c r="DK48" s="16">
        <f t="shared" si="19"/>
        <v>0</v>
      </c>
      <c r="DL48" s="17">
        <f t="shared" si="20"/>
        <v>0</v>
      </c>
      <c r="DM48" s="68">
        <f t="shared" si="2"/>
        <v>169.83333333333334</v>
      </c>
      <c r="DN48" s="294">
        <f t="shared" si="3"/>
        <v>169.83333333333334</v>
      </c>
      <c r="DO48" s="69">
        <f>DN48/$DN$57%</f>
        <v>2.8705165951670233E-2</v>
      </c>
      <c r="DP48" s="19">
        <v>1044</v>
      </c>
      <c r="DQ48" s="19">
        <v>1044</v>
      </c>
      <c r="DR48" s="19">
        <v>48</v>
      </c>
      <c r="DS48" s="10">
        <v>48</v>
      </c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6">
        <f t="shared" ref="EN48:EN49" si="91">DP48+DR48+DT48+DV48+DX48+DZ48+EB48+ED48+EF48+EH48+EJ48+EL48</f>
        <v>1092</v>
      </c>
      <c r="EO48" s="16">
        <f t="shared" ref="EO48:EO49" si="92">DQ48+DS48+DU48+DW48+DY48+EA48+EC48+EE48+EG48+EI48+EK48+EM48</f>
        <v>1092</v>
      </c>
      <c r="EP48" s="68">
        <f t="shared" si="5"/>
        <v>546</v>
      </c>
      <c r="EQ48" s="294">
        <f t="shared" si="6"/>
        <v>546</v>
      </c>
      <c r="ER48" s="535">
        <f t="shared" si="56"/>
        <v>0.10546221655773795</v>
      </c>
      <c r="ES48" s="522">
        <f t="shared" si="7"/>
        <v>7.6757050606067717E-2</v>
      </c>
      <c r="ET48" s="522"/>
      <c r="EU48" s="522">
        <f t="shared" si="9"/>
        <v>221.49165848871439</v>
      </c>
      <c r="EV48" s="522">
        <f t="shared" si="10"/>
        <v>376.16666666666663</v>
      </c>
      <c r="EW48" s="523">
        <f t="shared" si="11"/>
        <v>546</v>
      </c>
      <c r="EX48" s="522">
        <f t="shared" si="12"/>
        <v>26.869047619047617</v>
      </c>
      <c r="EY48" s="522">
        <f t="shared" si="13"/>
        <v>39</v>
      </c>
      <c r="EZ48" s="522">
        <f t="shared" si="14"/>
        <v>78</v>
      </c>
    </row>
    <row r="49" spans="1:156">
      <c r="A49" s="7">
        <v>31</v>
      </c>
      <c r="B49" s="8" t="s">
        <v>189</v>
      </c>
      <c r="C49" s="8" t="s">
        <v>14</v>
      </c>
      <c r="D49" s="7">
        <v>0.64</v>
      </c>
      <c r="E49" s="7" t="s">
        <v>191</v>
      </c>
      <c r="F49" s="7"/>
      <c r="G49" s="9"/>
      <c r="H49" s="10"/>
      <c r="I49" s="9"/>
      <c r="J49" s="10"/>
      <c r="K49" s="9"/>
      <c r="L49" s="10"/>
      <c r="M49" s="9"/>
      <c r="N49" s="10"/>
      <c r="O49" s="9"/>
      <c r="P49" s="10"/>
      <c r="Q49" s="9"/>
      <c r="R49" s="10"/>
      <c r="S49" s="9"/>
      <c r="T49" s="10"/>
      <c r="U49" s="9"/>
      <c r="V49" s="10"/>
      <c r="W49" s="9"/>
      <c r="X49" s="10"/>
      <c r="Y49" s="9"/>
      <c r="Z49" s="10"/>
      <c r="AA49" s="9"/>
      <c r="AB49" s="10"/>
      <c r="AC49" s="9"/>
      <c r="AD49" s="10"/>
      <c r="AE49" s="9"/>
      <c r="AF49" s="10"/>
      <c r="AG49" s="9"/>
      <c r="AH49" s="10"/>
      <c r="AI49" s="9"/>
      <c r="AJ49" s="10"/>
      <c r="AK49" s="9"/>
      <c r="AL49" s="10"/>
      <c r="AM49" s="9"/>
      <c r="AN49" s="10"/>
      <c r="AO49" s="9"/>
      <c r="AP49" s="10"/>
      <c r="AQ49" s="9"/>
      <c r="AR49" s="10"/>
      <c r="AS49" s="9"/>
      <c r="AT49" s="10"/>
      <c r="AU49" s="9"/>
      <c r="AV49" s="10"/>
      <c r="AW49" s="9"/>
      <c r="AX49" s="10"/>
      <c r="AY49" s="9"/>
      <c r="AZ49" s="10"/>
      <c r="BA49" s="9"/>
      <c r="BB49" s="10"/>
      <c r="BC49" s="9"/>
      <c r="BD49" s="10"/>
      <c r="BE49" s="9"/>
      <c r="BF49" s="10"/>
      <c r="BG49" s="9"/>
      <c r="BH49" s="10"/>
      <c r="BI49" s="9"/>
      <c r="BJ49" s="10"/>
      <c r="BK49" s="9"/>
      <c r="BL49" s="10"/>
      <c r="BM49" s="9"/>
      <c r="BN49" s="10"/>
      <c r="BO49" s="9"/>
      <c r="BP49" s="10"/>
      <c r="BQ49" s="9"/>
      <c r="BR49" s="10"/>
      <c r="BS49" s="9"/>
      <c r="BT49" s="10"/>
      <c r="BU49" s="9"/>
      <c r="BV49" s="10"/>
      <c r="BW49" s="9"/>
      <c r="BX49" s="10"/>
      <c r="BY49" s="9"/>
      <c r="BZ49" s="10"/>
      <c r="CA49" s="9"/>
      <c r="CB49" s="10"/>
      <c r="CC49" s="9"/>
      <c r="CD49" s="10"/>
      <c r="CE49" s="19">
        <f t="shared" si="15"/>
        <v>0</v>
      </c>
      <c r="CF49" s="10">
        <f t="shared" si="16"/>
        <v>0</v>
      </c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>
        <v>97</v>
      </c>
      <c r="DD49" s="19">
        <v>62.08</v>
      </c>
      <c r="DE49" s="19">
        <v>28</v>
      </c>
      <c r="DF49" s="19">
        <v>17.920000000000002</v>
      </c>
      <c r="DG49" s="19"/>
      <c r="DH49" s="19"/>
      <c r="DI49" s="16">
        <f t="shared" si="17"/>
        <v>125</v>
      </c>
      <c r="DJ49" s="16">
        <f t="shared" si="18"/>
        <v>80</v>
      </c>
      <c r="DK49" s="16">
        <f t="shared" si="19"/>
        <v>0</v>
      </c>
      <c r="DL49" s="17">
        <f t="shared" si="20"/>
        <v>0</v>
      </c>
      <c r="DM49" s="68">
        <f t="shared" si="2"/>
        <v>10.416666666666666</v>
      </c>
      <c r="DN49" s="294">
        <f t="shared" si="3"/>
        <v>6.666666666666667</v>
      </c>
      <c r="DO49" s="69">
        <f>DN49/$DN$57%</f>
        <v>1.1267974858359267E-3</v>
      </c>
      <c r="DP49" s="19"/>
      <c r="DQ49" s="19"/>
      <c r="DR49" s="19"/>
      <c r="DS49" s="10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6">
        <f t="shared" si="91"/>
        <v>0</v>
      </c>
      <c r="EO49" s="16">
        <f t="shared" si="92"/>
        <v>0</v>
      </c>
      <c r="EP49" s="68">
        <f t="shared" si="5"/>
        <v>0</v>
      </c>
      <c r="EQ49" s="294">
        <f t="shared" si="6"/>
        <v>0</v>
      </c>
      <c r="ER49" s="535">
        <f t="shared" si="56"/>
        <v>0</v>
      </c>
      <c r="ES49" s="522">
        <f t="shared" si="7"/>
        <v>-1.1267974858359267E-3</v>
      </c>
      <c r="ET49" s="522"/>
      <c r="EU49" s="522">
        <f t="shared" si="9"/>
        <v>-100</v>
      </c>
      <c r="EV49" s="522">
        <f t="shared" si="10"/>
        <v>-6.666666666666667</v>
      </c>
      <c r="EW49" s="523">
        <f t="shared" si="11"/>
        <v>0</v>
      </c>
      <c r="EX49" s="522">
        <f t="shared" si="12"/>
        <v>-0.47619047619047622</v>
      </c>
      <c r="EY49" s="522">
        <f t="shared" si="13"/>
        <v>0</v>
      </c>
      <c r="EZ49" s="522">
        <f t="shared" si="14"/>
        <v>0</v>
      </c>
    </row>
    <row r="50" spans="1:156" s="251" customFormat="1">
      <c r="A50" s="246"/>
      <c r="B50" s="247" t="s">
        <v>336</v>
      </c>
      <c r="C50" s="247"/>
      <c r="D50" s="246"/>
      <c r="E50" s="246"/>
      <c r="F50" s="246"/>
      <c r="G50" s="248"/>
      <c r="H50" s="249"/>
      <c r="I50" s="248"/>
      <c r="J50" s="249"/>
      <c r="K50" s="248"/>
      <c r="L50" s="249"/>
      <c r="M50" s="248"/>
      <c r="N50" s="249"/>
      <c r="O50" s="248"/>
      <c r="P50" s="249"/>
      <c r="Q50" s="248"/>
      <c r="R50" s="249"/>
      <c r="S50" s="248"/>
      <c r="T50" s="249"/>
      <c r="U50" s="248"/>
      <c r="V50" s="249"/>
      <c r="W50" s="248"/>
      <c r="X50" s="249"/>
      <c r="Y50" s="248"/>
      <c r="Z50" s="249"/>
      <c r="AA50" s="248"/>
      <c r="AB50" s="249"/>
      <c r="AC50" s="248"/>
      <c r="AD50" s="249"/>
      <c r="AE50" s="248"/>
      <c r="AF50" s="249"/>
      <c r="AG50" s="248"/>
      <c r="AH50" s="249"/>
      <c r="AI50" s="248"/>
      <c r="AJ50" s="249"/>
      <c r="AK50" s="248"/>
      <c r="AL50" s="249"/>
      <c r="AM50" s="248"/>
      <c r="AN50" s="249"/>
      <c r="AO50" s="248"/>
      <c r="AP50" s="249"/>
      <c r="AQ50" s="248"/>
      <c r="AR50" s="249"/>
      <c r="AS50" s="248"/>
      <c r="AT50" s="249"/>
      <c r="AU50" s="248"/>
      <c r="AV50" s="249"/>
      <c r="AW50" s="248"/>
      <c r="AX50" s="249"/>
      <c r="AY50" s="248"/>
      <c r="AZ50" s="249"/>
      <c r="BA50" s="248"/>
      <c r="BB50" s="249"/>
      <c r="BC50" s="248"/>
      <c r="BD50" s="249"/>
      <c r="BE50" s="248"/>
      <c r="BF50" s="249"/>
      <c r="BG50" s="248"/>
      <c r="BH50" s="249"/>
      <c r="BI50" s="248"/>
      <c r="BJ50" s="249"/>
      <c r="BK50" s="248"/>
      <c r="BL50" s="249"/>
      <c r="BM50" s="248"/>
      <c r="BN50" s="249"/>
      <c r="BO50" s="248"/>
      <c r="BP50" s="249"/>
      <c r="BQ50" s="248"/>
      <c r="BR50" s="249"/>
      <c r="BS50" s="248"/>
      <c r="BT50" s="249"/>
      <c r="BU50" s="248"/>
      <c r="BV50" s="249"/>
      <c r="BW50" s="248"/>
      <c r="BX50" s="249"/>
      <c r="BY50" s="248"/>
      <c r="BZ50" s="249"/>
      <c r="CA50" s="248"/>
      <c r="CB50" s="249"/>
      <c r="CC50" s="248"/>
      <c r="CD50" s="249"/>
      <c r="CE50" s="250">
        <f t="shared" si="15"/>
        <v>0</v>
      </c>
      <c r="CF50" s="249">
        <f t="shared" si="16"/>
        <v>0</v>
      </c>
      <c r="CG50" s="250"/>
      <c r="CH50" s="250"/>
      <c r="CI50" s="250"/>
      <c r="CJ50" s="250"/>
      <c r="CK50" s="250"/>
      <c r="CL50" s="250"/>
      <c r="CM50" s="250"/>
      <c r="CN50" s="250"/>
      <c r="CO50" s="250"/>
      <c r="CP50" s="250"/>
      <c r="CQ50" s="250"/>
      <c r="CR50" s="250"/>
      <c r="CS50" s="250"/>
      <c r="CT50" s="250"/>
      <c r="CU50" s="250"/>
      <c r="CV50" s="250"/>
      <c r="CW50" s="250"/>
      <c r="CX50" s="250"/>
      <c r="CY50" s="250"/>
      <c r="CZ50" s="250"/>
      <c r="DA50" s="250"/>
      <c r="DB50" s="250"/>
      <c r="DC50" s="250">
        <f>SUM(DC48:DC49)</f>
        <v>544</v>
      </c>
      <c r="DD50" s="250">
        <f t="shared" ref="DD50:DH50" si="93">SUM(DD48:DD49)</f>
        <v>509.08</v>
      </c>
      <c r="DE50" s="250">
        <f t="shared" si="93"/>
        <v>1223</v>
      </c>
      <c r="DF50" s="250">
        <f t="shared" si="93"/>
        <v>1212.92</v>
      </c>
      <c r="DG50" s="250">
        <f t="shared" si="93"/>
        <v>396</v>
      </c>
      <c r="DH50" s="250">
        <f t="shared" si="93"/>
        <v>396</v>
      </c>
      <c r="DI50" s="250">
        <f t="shared" ref="DI50:DJ50" si="94">SUM(DI48:DI49)</f>
        <v>2163</v>
      </c>
      <c r="DJ50" s="250">
        <f t="shared" si="94"/>
        <v>2118</v>
      </c>
      <c r="DK50" s="669">
        <f t="shared" si="19"/>
        <v>0</v>
      </c>
      <c r="DL50" s="670">
        <f t="shared" si="20"/>
        <v>0</v>
      </c>
      <c r="DM50" s="502">
        <f t="shared" si="2"/>
        <v>180.25</v>
      </c>
      <c r="DN50" s="503">
        <f t="shared" si="3"/>
        <v>176.5</v>
      </c>
      <c r="DO50" s="250">
        <f t="shared" ref="DO50:EM50" si="95">SUM(DO48:DO49)</f>
        <v>2.9831963437506159E-2</v>
      </c>
      <c r="DP50" s="250">
        <f t="shared" si="95"/>
        <v>1044</v>
      </c>
      <c r="DQ50" s="250">
        <f t="shared" si="95"/>
        <v>1044</v>
      </c>
      <c r="DR50" s="250">
        <f t="shared" si="95"/>
        <v>48</v>
      </c>
      <c r="DS50" s="249">
        <f t="shared" si="95"/>
        <v>48</v>
      </c>
      <c r="DT50" s="250">
        <f t="shared" si="95"/>
        <v>0</v>
      </c>
      <c r="DU50" s="250">
        <f t="shared" si="95"/>
        <v>0</v>
      </c>
      <c r="DV50" s="250">
        <f t="shared" si="95"/>
        <v>0</v>
      </c>
      <c r="DW50" s="250">
        <f t="shared" si="95"/>
        <v>0</v>
      </c>
      <c r="DX50" s="250">
        <f t="shared" si="95"/>
        <v>0</v>
      </c>
      <c r="DY50" s="250">
        <f t="shared" si="95"/>
        <v>0</v>
      </c>
      <c r="DZ50" s="250">
        <f t="shared" si="95"/>
        <v>0</v>
      </c>
      <c r="EA50" s="250">
        <f t="shared" si="95"/>
        <v>0</v>
      </c>
      <c r="EB50" s="250">
        <f t="shared" si="95"/>
        <v>0</v>
      </c>
      <c r="EC50" s="250">
        <f t="shared" si="95"/>
        <v>0</v>
      </c>
      <c r="ED50" s="250">
        <f t="shared" si="95"/>
        <v>0</v>
      </c>
      <c r="EE50" s="250">
        <f t="shared" si="95"/>
        <v>0</v>
      </c>
      <c r="EF50" s="250">
        <f t="shared" si="95"/>
        <v>0</v>
      </c>
      <c r="EG50" s="250">
        <f t="shared" si="95"/>
        <v>0</v>
      </c>
      <c r="EH50" s="250">
        <f t="shared" si="95"/>
        <v>0</v>
      </c>
      <c r="EI50" s="250">
        <f t="shared" si="95"/>
        <v>0</v>
      </c>
      <c r="EJ50" s="250">
        <f t="shared" si="95"/>
        <v>0</v>
      </c>
      <c r="EK50" s="250">
        <f t="shared" si="95"/>
        <v>0</v>
      </c>
      <c r="EL50" s="250">
        <f t="shared" si="95"/>
        <v>0</v>
      </c>
      <c r="EM50" s="250">
        <f t="shared" si="95"/>
        <v>0</v>
      </c>
      <c r="EN50" s="250">
        <f t="shared" ref="EN50:EO50" si="96">SUM(EN48:EN49)</f>
        <v>1092</v>
      </c>
      <c r="EO50" s="250">
        <f t="shared" si="96"/>
        <v>1092</v>
      </c>
      <c r="EP50" s="502">
        <f t="shared" si="5"/>
        <v>546</v>
      </c>
      <c r="EQ50" s="503">
        <f t="shared" si="6"/>
        <v>546</v>
      </c>
      <c r="ER50" s="536">
        <f t="shared" si="56"/>
        <v>0.10546221655773795</v>
      </c>
      <c r="ES50" s="537">
        <f t="shared" si="7"/>
        <v>7.5630253120231791E-2</v>
      </c>
      <c r="ET50" s="537"/>
      <c r="EU50" s="537">
        <f t="shared" si="9"/>
        <v>209.34844192634563</v>
      </c>
      <c r="EV50" s="537">
        <f t="shared" si="10"/>
        <v>369.5</v>
      </c>
      <c r="EW50" s="538">
        <f t="shared" si="11"/>
        <v>546</v>
      </c>
      <c r="EX50" s="537">
        <f t="shared" si="12"/>
        <v>26.392857142857142</v>
      </c>
      <c r="EY50" s="537">
        <f t="shared" si="13"/>
        <v>39</v>
      </c>
      <c r="EZ50" s="537">
        <f t="shared" si="14"/>
        <v>78</v>
      </c>
    </row>
    <row r="51" spans="1:156">
      <c r="A51" s="7">
        <v>32</v>
      </c>
      <c r="B51" s="8" t="s">
        <v>41</v>
      </c>
      <c r="C51" s="8" t="s">
        <v>14</v>
      </c>
      <c r="D51" s="7">
        <v>0.64</v>
      </c>
      <c r="E51" s="7" t="s">
        <v>18</v>
      </c>
      <c r="F51" s="7">
        <v>1230</v>
      </c>
      <c r="G51" s="9">
        <v>201961</v>
      </c>
      <c r="H51" s="10">
        <v>129255.04000000001</v>
      </c>
      <c r="I51" s="9">
        <v>171588</v>
      </c>
      <c r="J51" s="10">
        <v>109816.32000000001</v>
      </c>
      <c r="K51" s="9">
        <v>193632</v>
      </c>
      <c r="L51" s="10">
        <v>123924.48</v>
      </c>
      <c r="M51" s="9">
        <v>167880</v>
      </c>
      <c r="N51" s="10">
        <v>107443.2</v>
      </c>
      <c r="O51" s="9">
        <v>178684</v>
      </c>
      <c r="P51" s="10">
        <v>114357.76000000001</v>
      </c>
      <c r="Q51" s="9">
        <v>175704</v>
      </c>
      <c r="R51" s="10">
        <v>112450.56</v>
      </c>
      <c r="S51" s="9">
        <v>171550</v>
      </c>
      <c r="T51" s="10">
        <v>109792</v>
      </c>
      <c r="U51" s="9">
        <v>188352</v>
      </c>
      <c r="V51" s="10">
        <v>120545.28</v>
      </c>
      <c r="W51" s="9">
        <v>185043</v>
      </c>
      <c r="X51" s="10">
        <v>118427.52</v>
      </c>
      <c r="Y51" s="9">
        <v>197568</v>
      </c>
      <c r="Z51" s="10">
        <v>126443.52</v>
      </c>
      <c r="AA51" s="9">
        <v>212496</v>
      </c>
      <c r="AB51" s="10">
        <v>135997.44</v>
      </c>
      <c r="AC51" s="9">
        <v>210283</v>
      </c>
      <c r="AD51" s="10">
        <v>134581.12</v>
      </c>
      <c r="AE51" s="11">
        <v>187895.08333333334</v>
      </c>
      <c r="AF51" s="12">
        <v>120252.85333333335</v>
      </c>
      <c r="AG51" s="9">
        <v>186336</v>
      </c>
      <c r="AH51" s="10">
        <v>119255.04000000001</v>
      </c>
      <c r="AI51" s="9">
        <v>172130</v>
      </c>
      <c r="AJ51" s="10">
        <v>110163.2</v>
      </c>
      <c r="AK51" s="9">
        <v>170904</v>
      </c>
      <c r="AL51" s="10">
        <v>109378.56</v>
      </c>
      <c r="AM51" s="9">
        <v>168240</v>
      </c>
      <c r="AN51" s="10">
        <v>107673.60000000001</v>
      </c>
      <c r="AO51" s="9">
        <v>135120</v>
      </c>
      <c r="AP51" s="10">
        <v>86476.800000000003</v>
      </c>
      <c r="AQ51" s="9">
        <v>178344</v>
      </c>
      <c r="AR51" s="10">
        <v>114140.16</v>
      </c>
      <c r="AS51" s="9">
        <v>180288</v>
      </c>
      <c r="AT51" s="10">
        <v>115384.32000000001</v>
      </c>
      <c r="AU51" s="9">
        <v>190538</v>
      </c>
      <c r="AV51" s="10">
        <v>121944.32000000001</v>
      </c>
      <c r="AW51" s="9">
        <v>179088</v>
      </c>
      <c r="AX51" s="10">
        <v>114616.32000000001</v>
      </c>
      <c r="AY51" s="9">
        <v>213576</v>
      </c>
      <c r="AZ51" s="10">
        <v>136688.64000000001</v>
      </c>
      <c r="BA51" s="9">
        <v>201456</v>
      </c>
      <c r="BB51" s="10">
        <v>128931.84</v>
      </c>
      <c r="BC51" s="9">
        <v>221976</v>
      </c>
      <c r="BD51" s="10">
        <v>142064.64000000001</v>
      </c>
      <c r="BE51" s="11">
        <v>183166.33333333334</v>
      </c>
      <c r="BF51" s="12">
        <v>117226.45333333334</v>
      </c>
      <c r="BG51" s="9">
        <v>205104</v>
      </c>
      <c r="BH51" s="10">
        <v>131266.56</v>
      </c>
      <c r="BI51" s="9">
        <v>188737</v>
      </c>
      <c r="BJ51" s="10">
        <v>120791.68000000001</v>
      </c>
      <c r="BK51" s="9">
        <v>178271</v>
      </c>
      <c r="BL51" s="10">
        <v>114093.44</v>
      </c>
      <c r="BM51" s="9">
        <v>172056</v>
      </c>
      <c r="BN51" s="10">
        <v>110115.84</v>
      </c>
      <c r="BO51" s="9">
        <v>191772</v>
      </c>
      <c r="BP51" s="10">
        <v>122734.08</v>
      </c>
      <c r="BQ51" s="9">
        <v>175896</v>
      </c>
      <c r="BR51" s="10">
        <v>112573.44</v>
      </c>
      <c r="BS51" s="9">
        <v>189492</v>
      </c>
      <c r="BT51" s="10">
        <v>121274.88</v>
      </c>
      <c r="BU51" s="9">
        <v>192528</v>
      </c>
      <c r="BV51" s="10">
        <v>123217.92</v>
      </c>
      <c r="BW51" s="9">
        <v>203688</v>
      </c>
      <c r="BX51" s="10">
        <v>130360.32000000001</v>
      </c>
      <c r="BY51" s="9">
        <v>209141</v>
      </c>
      <c r="BZ51" s="10">
        <v>133850.23999999999</v>
      </c>
      <c r="CA51" s="9">
        <v>227352</v>
      </c>
      <c r="CB51" s="10">
        <v>145505.28</v>
      </c>
      <c r="CC51" s="9">
        <v>225907</v>
      </c>
      <c r="CD51" s="10">
        <v>144580.48000000001</v>
      </c>
      <c r="CE51" s="19">
        <f t="shared" si="15"/>
        <v>194003.36363636365</v>
      </c>
      <c r="CF51" s="10">
        <f t="shared" si="16"/>
        <v>124162.15272727274</v>
      </c>
      <c r="CG51" s="11">
        <v>196662</v>
      </c>
      <c r="CH51" s="12">
        <v>125863.68000000001</v>
      </c>
      <c r="CI51" s="15">
        <v>22.327911755917402</v>
      </c>
      <c r="CJ51" s="15">
        <v>22.33</v>
      </c>
      <c r="CK51" s="14">
        <v>209448</v>
      </c>
      <c r="CL51" s="10">
        <v>134046.72</v>
      </c>
      <c r="CM51" s="14">
        <v>178916</v>
      </c>
      <c r="CN51" s="15">
        <v>114506.24000000001</v>
      </c>
      <c r="CO51" s="14">
        <v>223786</v>
      </c>
      <c r="CP51" s="15">
        <v>143223.04000000001</v>
      </c>
      <c r="CQ51" s="14">
        <v>178440</v>
      </c>
      <c r="CR51" s="15">
        <v>114201.60000000001</v>
      </c>
      <c r="CS51" s="14">
        <v>177984</v>
      </c>
      <c r="CT51" s="15">
        <v>113909.76000000001</v>
      </c>
      <c r="CU51" s="14">
        <v>190848</v>
      </c>
      <c r="CV51" s="15">
        <v>122142.72</v>
      </c>
      <c r="CW51" s="14">
        <v>194876</v>
      </c>
      <c r="CX51" s="15">
        <v>124720.64</v>
      </c>
      <c r="CY51" s="14">
        <v>182424</v>
      </c>
      <c r="CZ51" s="15">
        <v>116751.36</v>
      </c>
      <c r="DA51" s="14">
        <v>185736</v>
      </c>
      <c r="DB51" s="15">
        <v>118871.04000000001</v>
      </c>
      <c r="DC51" s="14">
        <v>201648</v>
      </c>
      <c r="DD51" s="15">
        <v>129054.72</v>
      </c>
      <c r="DE51" s="14">
        <v>191328</v>
      </c>
      <c r="DF51" s="15">
        <v>122449.92</v>
      </c>
      <c r="DG51" s="14">
        <v>201648</v>
      </c>
      <c r="DH51" s="15">
        <v>129054.72</v>
      </c>
      <c r="DI51" s="16">
        <f t="shared" si="17"/>
        <v>2317082</v>
      </c>
      <c r="DJ51" s="16">
        <f t="shared" si="18"/>
        <v>1482932.4799999997</v>
      </c>
      <c r="DK51" s="16">
        <f t="shared" si="19"/>
        <v>194182</v>
      </c>
      <c r="DL51" s="17">
        <f t="shared" si="20"/>
        <v>124276.48000000001</v>
      </c>
      <c r="DM51" s="68">
        <f t="shared" si="2"/>
        <v>193090.16666666666</v>
      </c>
      <c r="DN51" s="294">
        <f t="shared" si="3"/>
        <v>123577.70666666665</v>
      </c>
      <c r="DO51" s="69">
        <f>DN51/$DN$57%</f>
        <v>20.887057376605441</v>
      </c>
      <c r="DP51" s="14">
        <v>185568</v>
      </c>
      <c r="DQ51" s="10">
        <v>118763.52</v>
      </c>
      <c r="DR51" s="9">
        <v>169680</v>
      </c>
      <c r="DS51" s="10">
        <v>108595.2</v>
      </c>
      <c r="DT51" s="14"/>
      <c r="DU51" s="15"/>
      <c r="DV51" s="14"/>
      <c r="DW51" s="15"/>
      <c r="DX51" s="14"/>
      <c r="DY51" s="15"/>
      <c r="DZ51" s="14"/>
      <c r="EA51" s="15"/>
      <c r="EB51" s="14"/>
      <c r="EC51" s="15"/>
      <c r="ED51" s="14"/>
      <c r="EE51" s="15"/>
      <c r="EF51" s="14"/>
      <c r="EG51" s="15"/>
      <c r="EH51" s="14"/>
      <c r="EI51" s="15"/>
      <c r="EJ51" s="14"/>
      <c r="EK51" s="15"/>
      <c r="EL51" s="14"/>
      <c r="EM51" s="15"/>
      <c r="EN51" s="16">
        <f t="shared" ref="EN51" si="97">DP51+DR51+DT51+DV51+DX51+DZ51+EB51+ED51+EF51+EH51+EJ51+EL51</f>
        <v>355248</v>
      </c>
      <c r="EO51" s="16">
        <f t="shared" ref="EO51" si="98">DQ51+DS51+DU51+DW51+DY51+EA51+EC51+EE51+EG51+EI51+EK51+EM51</f>
        <v>227358.72</v>
      </c>
      <c r="EP51" s="68">
        <f t="shared" si="5"/>
        <v>177624</v>
      </c>
      <c r="EQ51" s="294">
        <f t="shared" si="6"/>
        <v>113679.36</v>
      </c>
      <c r="ER51" s="535">
        <f t="shared" si="56"/>
        <v>21.957650700485445</v>
      </c>
      <c r="ES51" s="522">
        <f t="shared" si="7"/>
        <v>1.0705933238800043</v>
      </c>
      <c r="ET51" s="522">
        <f t="shared" si="8"/>
        <v>-8.5270519409626075</v>
      </c>
      <c r="EU51" s="522">
        <f t="shared" si="9"/>
        <v>-8.0098157941755943</v>
      </c>
      <c r="EV51" s="522">
        <f t="shared" si="10"/>
        <v>-9898.34666666665</v>
      </c>
      <c r="EW51" s="523">
        <f t="shared" si="11"/>
        <v>-10597.12000000001</v>
      </c>
      <c r="EX51" s="522">
        <f t="shared" si="12"/>
        <v>-707.02476190476068</v>
      </c>
      <c r="EY51" s="522">
        <f t="shared" si="13"/>
        <v>-756.93714285714361</v>
      </c>
      <c r="EZ51" s="522">
        <f t="shared" si="14"/>
        <v>-1513.8742857142872</v>
      </c>
    </row>
    <row r="52" spans="1:156" s="251" customFormat="1">
      <c r="A52" s="246"/>
      <c r="B52" s="247" t="s">
        <v>41</v>
      </c>
      <c r="C52" s="247"/>
      <c r="D52" s="246"/>
      <c r="E52" s="246"/>
      <c r="F52" s="246"/>
      <c r="G52" s="248"/>
      <c r="H52" s="249"/>
      <c r="I52" s="248"/>
      <c r="J52" s="249"/>
      <c r="K52" s="248"/>
      <c r="L52" s="249"/>
      <c r="M52" s="248"/>
      <c r="N52" s="249"/>
      <c r="O52" s="248"/>
      <c r="P52" s="249"/>
      <c r="Q52" s="248"/>
      <c r="R52" s="249"/>
      <c r="S52" s="248"/>
      <c r="T52" s="249"/>
      <c r="U52" s="248"/>
      <c r="V52" s="249"/>
      <c r="W52" s="248"/>
      <c r="X52" s="249"/>
      <c r="Y52" s="248"/>
      <c r="Z52" s="249"/>
      <c r="AA52" s="248"/>
      <c r="AB52" s="249"/>
      <c r="AC52" s="248"/>
      <c r="AD52" s="249"/>
      <c r="AE52" s="248"/>
      <c r="AF52" s="249"/>
      <c r="AG52" s="248"/>
      <c r="AH52" s="249"/>
      <c r="AI52" s="248"/>
      <c r="AJ52" s="249"/>
      <c r="AK52" s="248"/>
      <c r="AL52" s="249"/>
      <c r="AM52" s="248"/>
      <c r="AN52" s="249"/>
      <c r="AO52" s="248"/>
      <c r="AP52" s="249"/>
      <c r="AQ52" s="248"/>
      <c r="AR52" s="249"/>
      <c r="AS52" s="248"/>
      <c r="AT52" s="249"/>
      <c r="AU52" s="248"/>
      <c r="AV52" s="249"/>
      <c r="AW52" s="248"/>
      <c r="AX52" s="249"/>
      <c r="AY52" s="248"/>
      <c r="AZ52" s="249"/>
      <c r="BA52" s="248"/>
      <c r="BB52" s="249"/>
      <c r="BC52" s="248"/>
      <c r="BD52" s="249"/>
      <c r="BE52" s="248"/>
      <c r="BF52" s="249"/>
      <c r="BG52" s="248"/>
      <c r="BH52" s="249"/>
      <c r="BI52" s="248"/>
      <c r="BJ52" s="249"/>
      <c r="BK52" s="248"/>
      <c r="BL52" s="249"/>
      <c r="BM52" s="248"/>
      <c r="BN52" s="249"/>
      <c r="BO52" s="248"/>
      <c r="BP52" s="249"/>
      <c r="BQ52" s="248"/>
      <c r="BR52" s="249"/>
      <c r="BS52" s="248"/>
      <c r="BT52" s="249"/>
      <c r="BU52" s="248"/>
      <c r="BV52" s="249"/>
      <c r="BW52" s="248"/>
      <c r="BX52" s="249"/>
      <c r="BY52" s="248"/>
      <c r="BZ52" s="249"/>
      <c r="CA52" s="248"/>
      <c r="CB52" s="249"/>
      <c r="CC52" s="248"/>
      <c r="CD52" s="249"/>
      <c r="CE52" s="250">
        <f t="shared" si="15"/>
        <v>0</v>
      </c>
      <c r="CF52" s="249">
        <f t="shared" si="16"/>
        <v>0</v>
      </c>
      <c r="CG52" s="250">
        <f t="shared" ref="CG52:EM52" si="99">SUM(CG51)</f>
        <v>196662</v>
      </c>
      <c r="CH52" s="250">
        <f t="shared" si="99"/>
        <v>125863.68000000001</v>
      </c>
      <c r="CI52" s="250">
        <f t="shared" si="99"/>
        <v>22.327911755917402</v>
      </c>
      <c r="CJ52" s="250">
        <f t="shared" si="99"/>
        <v>22.33</v>
      </c>
      <c r="CK52" s="250">
        <f t="shared" si="99"/>
        <v>209448</v>
      </c>
      <c r="CL52" s="250">
        <f t="shared" si="99"/>
        <v>134046.72</v>
      </c>
      <c r="CM52" s="250">
        <f t="shared" si="99"/>
        <v>178916</v>
      </c>
      <c r="CN52" s="250">
        <f t="shared" si="99"/>
        <v>114506.24000000001</v>
      </c>
      <c r="CO52" s="250">
        <f t="shared" si="99"/>
        <v>223786</v>
      </c>
      <c r="CP52" s="250">
        <f t="shared" si="99"/>
        <v>143223.04000000001</v>
      </c>
      <c r="CQ52" s="250">
        <f t="shared" si="99"/>
        <v>178440</v>
      </c>
      <c r="CR52" s="250">
        <f t="shared" si="99"/>
        <v>114201.60000000001</v>
      </c>
      <c r="CS52" s="250">
        <f t="shared" si="99"/>
        <v>177984</v>
      </c>
      <c r="CT52" s="250">
        <f t="shared" si="99"/>
        <v>113909.76000000001</v>
      </c>
      <c r="CU52" s="250">
        <f t="shared" si="99"/>
        <v>190848</v>
      </c>
      <c r="CV52" s="250">
        <f t="shared" si="99"/>
        <v>122142.72</v>
      </c>
      <c r="CW52" s="250">
        <f t="shared" si="99"/>
        <v>194876</v>
      </c>
      <c r="CX52" s="250">
        <f t="shared" si="99"/>
        <v>124720.64</v>
      </c>
      <c r="CY52" s="250">
        <f t="shared" si="99"/>
        <v>182424</v>
      </c>
      <c r="CZ52" s="250">
        <f t="shared" si="99"/>
        <v>116751.36</v>
      </c>
      <c r="DA52" s="250">
        <f t="shared" si="99"/>
        <v>185736</v>
      </c>
      <c r="DB52" s="250">
        <f t="shared" si="99"/>
        <v>118871.04000000001</v>
      </c>
      <c r="DC52" s="250">
        <f t="shared" si="99"/>
        <v>201648</v>
      </c>
      <c r="DD52" s="250">
        <f t="shared" si="99"/>
        <v>129054.72</v>
      </c>
      <c r="DE52" s="250">
        <f t="shared" si="99"/>
        <v>191328</v>
      </c>
      <c r="DF52" s="250">
        <f t="shared" si="99"/>
        <v>122449.92</v>
      </c>
      <c r="DG52" s="250">
        <f t="shared" si="99"/>
        <v>201648</v>
      </c>
      <c r="DH52" s="250">
        <f t="shared" si="99"/>
        <v>129054.72</v>
      </c>
      <c r="DI52" s="250">
        <f t="shared" si="99"/>
        <v>2317082</v>
      </c>
      <c r="DJ52" s="250">
        <f t="shared" si="99"/>
        <v>1482932.4799999997</v>
      </c>
      <c r="DK52" s="669">
        <f t="shared" si="19"/>
        <v>194182</v>
      </c>
      <c r="DL52" s="670">
        <f t="shared" si="20"/>
        <v>124276.48000000001</v>
      </c>
      <c r="DM52" s="502">
        <f t="shared" si="2"/>
        <v>193090.16666666666</v>
      </c>
      <c r="DN52" s="503">
        <f t="shared" si="3"/>
        <v>123577.70666666665</v>
      </c>
      <c r="DO52" s="250">
        <f t="shared" si="99"/>
        <v>20.887057376605441</v>
      </c>
      <c r="DP52" s="250">
        <f t="shared" si="99"/>
        <v>185568</v>
      </c>
      <c r="DQ52" s="250">
        <f t="shared" si="99"/>
        <v>118763.52</v>
      </c>
      <c r="DR52" s="250">
        <f t="shared" si="99"/>
        <v>169680</v>
      </c>
      <c r="DS52" s="249">
        <f t="shared" si="99"/>
        <v>108595.2</v>
      </c>
      <c r="DT52" s="250">
        <f t="shared" si="99"/>
        <v>0</v>
      </c>
      <c r="DU52" s="250">
        <f t="shared" si="99"/>
        <v>0</v>
      </c>
      <c r="DV52" s="250">
        <f t="shared" si="99"/>
        <v>0</v>
      </c>
      <c r="DW52" s="250">
        <f t="shared" si="99"/>
        <v>0</v>
      </c>
      <c r="DX52" s="250">
        <f t="shared" si="99"/>
        <v>0</v>
      </c>
      <c r="DY52" s="250">
        <f t="shared" si="99"/>
        <v>0</v>
      </c>
      <c r="DZ52" s="250">
        <f t="shared" si="99"/>
        <v>0</v>
      </c>
      <c r="EA52" s="250">
        <f t="shared" si="99"/>
        <v>0</v>
      </c>
      <c r="EB52" s="250">
        <f t="shared" si="99"/>
        <v>0</v>
      </c>
      <c r="EC52" s="250">
        <f t="shared" si="99"/>
        <v>0</v>
      </c>
      <c r="ED52" s="250">
        <f t="shared" si="99"/>
        <v>0</v>
      </c>
      <c r="EE52" s="250">
        <f t="shared" si="99"/>
        <v>0</v>
      </c>
      <c r="EF52" s="250">
        <f t="shared" si="99"/>
        <v>0</v>
      </c>
      <c r="EG52" s="250">
        <f t="shared" si="99"/>
        <v>0</v>
      </c>
      <c r="EH52" s="250">
        <f t="shared" si="99"/>
        <v>0</v>
      </c>
      <c r="EI52" s="250">
        <f t="shared" si="99"/>
        <v>0</v>
      </c>
      <c r="EJ52" s="250">
        <f t="shared" si="99"/>
        <v>0</v>
      </c>
      <c r="EK52" s="250">
        <f t="shared" si="99"/>
        <v>0</v>
      </c>
      <c r="EL52" s="250">
        <f t="shared" si="99"/>
        <v>0</v>
      </c>
      <c r="EM52" s="250">
        <f t="shared" si="99"/>
        <v>0</v>
      </c>
      <c r="EN52" s="250">
        <f t="shared" ref="EN52:EO52" si="100">SUM(EN51)</f>
        <v>355248</v>
      </c>
      <c r="EO52" s="250">
        <f t="shared" si="100"/>
        <v>227358.72</v>
      </c>
      <c r="EP52" s="502">
        <f t="shared" si="5"/>
        <v>177624</v>
      </c>
      <c r="EQ52" s="503">
        <f t="shared" si="6"/>
        <v>113679.36</v>
      </c>
      <c r="ER52" s="536">
        <f t="shared" si="56"/>
        <v>21.957650700485445</v>
      </c>
      <c r="ES52" s="537">
        <f t="shared" si="7"/>
        <v>1.0705933238800043</v>
      </c>
      <c r="ET52" s="537">
        <f t="shared" si="8"/>
        <v>-8.5270519409626075</v>
      </c>
      <c r="EU52" s="537">
        <f t="shared" si="9"/>
        <v>-8.0098157941755943</v>
      </c>
      <c r="EV52" s="537">
        <f t="shared" si="10"/>
        <v>-9898.34666666665</v>
      </c>
      <c r="EW52" s="538">
        <f t="shared" si="11"/>
        <v>-10597.12000000001</v>
      </c>
      <c r="EX52" s="537">
        <f t="shared" si="12"/>
        <v>-707.02476190476068</v>
      </c>
      <c r="EY52" s="537">
        <f t="shared" si="13"/>
        <v>-756.93714285714361</v>
      </c>
      <c r="EZ52" s="537">
        <f t="shared" si="14"/>
        <v>-1513.8742857142872</v>
      </c>
    </row>
    <row r="53" spans="1:156">
      <c r="A53" s="73">
        <v>33</v>
      </c>
      <c r="B53" s="74" t="s">
        <v>43</v>
      </c>
      <c r="C53" s="74" t="s">
        <v>14</v>
      </c>
      <c r="D53" s="73">
        <v>0.64</v>
      </c>
      <c r="E53" s="73" t="s">
        <v>18</v>
      </c>
      <c r="F53" s="73">
        <v>1230</v>
      </c>
      <c r="G53" s="75">
        <v>8544</v>
      </c>
      <c r="H53" s="76">
        <v>5468.16</v>
      </c>
      <c r="I53" s="75">
        <v>9480</v>
      </c>
      <c r="J53" s="76">
        <v>6067.2</v>
      </c>
      <c r="K53" s="75">
        <v>11496</v>
      </c>
      <c r="L53" s="76">
        <v>7357.4400000000005</v>
      </c>
      <c r="M53" s="75">
        <v>7848</v>
      </c>
      <c r="N53" s="76">
        <v>5022.72</v>
      </c>
      <c r="O53" s="75">
        <v>7464</v>
      </c>
      <c r="P53" s="76">
        <v>4776.96</v>
      </c>
      <c r="Q53" s="75">
        <v>8832</v>
      </c>
      <c r="R53" s="76">
        <v>5652.4800000000005</v>
      </c>
      <c r="S53" s="75">
        <v>10368</v>
      </c>
      <c r="T53" s="76">
        <v>6635.52</v>
      </c>
      <c r="U53" s="75">
        <v>10296</v>
      </c>
      <c r="V53" s="76">
        <v>6589.4400000000005</v>
      </c>
      <c r="W53" s="75">
        <v>8378</v>
      </c>
      <c r="X53" s="76">
        <v>5361.92</v>
      </c>
      <c r="Y53" s="75">
        <v>10320</v>
      </c>
      <c r="Z53" s="76">
        <v>6604.8</v>
      </c>
      <c r="AA53" s="75">
        <v>5712</v>
      </c>
      <c r="AB53" s="76">
        <v>3655.6800000000003</v>
      </c>
      <c r="AC53" s="75">
        <v>10464</v>
      </c>
      <c r="AD53" s="76">
        <v>6696.96</v>
      </c>
      <c r="AE53" s="77">
        <v>9100.1666666666661</v>
      </c>
      <c r="AF53" s="78">
        <v>5824.1066666666666</v>
      </c>
      <c r="AG53" s="75">
        <v>13608</v>
      </c>
      <c r="AH53" s="76">
        <v>8709.1200000000008</v>
      </c>
      <c r="AI53" s="75">
        <v>8376</v>
      </c>
      <c r="AJ53" s="76">
        <v>5360.64</v>
      </c>
      <c r="AK53" s="75">
        <v>5904</v>
      </c>
      <c r="AL53" s="76">
        <v>3778.56</v>
      </c>
      <c r="AM53" s="75">
        <v>7968</v>
      </c>
      <c r="AN53" s="76">
        <v>5099.5200000000004</v>
      </c>
      <c r="AO53" s="75">
        <v>6480</v>
      </c>
      <c r="AP53" s="76">
        <v>4147.2</v>
      </c>
      <c r="AQ53" s="75">
        <v>8280</v>
      </c>
      <c r="AR53" s="76">
        <v>5299.2</v>
      </c>
      <c r="AS53" s="75">
        <v>9480</v>
      </c>
      <c r="AT53" s="76">
        <v>6067.2</v>
      </c>
      <c r="AU53" s="75">
        <v>7728</v>
      </c>
      <c r="AV53" s="76">
        <v>4945.92</v>
      </c>
      <c r="AW53" s="75">
        <v>9840</v>
      </c>
      <c r="AX53" s="76">
        <v>6297.6</v>
      </c>
      <c r="AY53" s="75">
        <v>5688</v>
      </c>
      <c r="AZ53" s="76">
        <v>3640.32</v>
      </c>
      <c r="BA53" s="75">
        <v>3552</v>
      </c>
      <c r="BB53" s="76">
        <v>2273.2800000000002</v>
      </c>
      <c r="BC53" s="75">
        <v>6360</v>
      </c>
      <c r="BD53" s="76">
        <v>4070.4</v>
      </c>
      <c r="BE53" s="77">
        <v>7772</v>
      </c>
      <c r="BF53" s="78">
        <v>4974.08</v>
      </c>
      <c r="BG53" s="75">
        <v>8088</v>
      </c>
      <c r="BH53" s="76">
        <v>5176.32</v>
      </c>
      <c r="BI53" s="75">
        <v>4320</v>
      </c>
      <c r="BJ53" s="76">
        <v>2764.8</v>
      </c>
      <c r="BK53" s="75">
        <v>7296</v>
      </c>
      <c r="BL53" s="76">
        <v>4669.4400000000005</v>
      </c>
      <c r="BM53" s="75">
        <v>5184</v>
      </c>
      <c r="BN53" s="76">
        <v>3317.76</v>
      </c>
      <c r="BO53" s="75">
        <v>6432</v>
      </c>
      <c r="BP53" s="76">
        <v>4116.4800000000005</v>
      </c>
      <c r="BQ53" s="75">
        <v>6576</v>
      </c>
      <c r="BR53" s="76">
        <v>4208.6400000000003</v>
      </c>
      <c r="BS53" s="75">
        <v>7464</v>
      </c>
      <c r="BT53" s="76">
        <v>4776.96</v>
      </c>
      <c r="BU53" s="75">
        <v>5064</v>
      </c>
      <c r="BV53" s="76">
        <v>3240.96</v>
      </c>
      <c r="BW53" s="75">
        <v>5832</v>
      </c>
      <c r="BX53" s="76">
        <v>3732.48</v>
      </c>
      <c r="BY53" s="75">
        <v>5952</v>
      </c>
      <c r="BZ53" s="76">
        <v>3809.28</v>
      </c>
      <c r="CA53" s="75">
        <v>6744</v>
      </c>
      <c r="CB53" s="76">
        <v>4316.16</v>
      </c>
      <c r="CC53" s="75">
        <v>7800</v>
      </c>
      <c r="CD53" s="76">
        <v>4992</v>
      </c>
      <c r="CE53" s="19">
        <f t="shared" si="15"/>
        <v>6268.363636363636</v>
      </c>
      <c r="CF53" s="10">
        <f t="shared" si="16"/>
        <v>4011.752727272727</v>
      </c>
      <c r="CG53" s="77">
        <v>6396</v>
      </c>
      <c r="CH53" s="78">
        <v>4093.44</v>
      </c>
      <c r="CI53" s="83">
        <v>0.72616633406986442</v>
      </c>
      <c r="CJ53" s="83">
        <v>0.73</v>
      </c>
      <c r="CK53" s="82">
        <v>6552</v>
      </c>
      <c r="CL53" s="76">
        <v>4193.28</v>
      </c>
      <c r="CM53" s="82">
        <v>6624</v>
      </c>
      <c r="CN53" s="83">
        <v>4239.3599999999997</v>
      </c>
      <c r="CO53" s="82">
        <v>9072</v>
      </c>
      <c r="CP53" s="83">
        <v>5806.08</v>
      </c>
      <c r="CQ53" s="82">
        <v>4824</v>
      </c>
      <c r="CR53" s="83">
        <v>3087.36</v>
      </c>
      <c r="CS53" s="82">
        <v>7032</v>
      </c>
      <c r="CT53" s="83">
        <v>4500.4800000000005</v>
      </c>
      <c r="CU53" s="82">
        <v>4800</v>
      </c>
      <c r="CV53" s="83">
        <v>3072</v>
      </c>
      <c r="CW53" s="82">
        <v>6792</v>
      </c>
      <c r="CX53" s="83">
        <v>4346.88</v>
      </c>
      <c r="CY53" s="82">
        <v>4968</v>
      </c>
      <c r="CZ53" s="83">
        <v>3179.52</v>
      </c>
      <c r="DA53" s="82">
        <v>6984</v>
      </c>
      <c r="DB53" s="83">
        <v>4469.76</v>
      </c>
      <c r="DC53" s="82">
        <v>3744</v>
      </c>
      <c r="DD53" s="83">
        <v>2396.16</v>
      </c>
      <c r="DE53" s="82">
        <v>6432</v>
      </c>
      <c r="DF53" s="83">
        <v>4116.4800000000005</v>
      </c>
      <c r="DG53" s="82">
        <v>4632</v>
      </c>
      <c r="DH53" s="83">
        <v>2964.48</v>
      </c>
      <c r="DI53" s="16">
        <f t="shared" si="17"/>
        <v>72456</v>
      </c>
      <c r="DJ53" s="16">
        <f t="shared" si="18"/>
        <v>46371.840000000011</v>
      </c>
      <c r="DK53" s="16">
        <f t="shared" si="19"/>
        <v>6588</v>
      </c>
      <c r="DL53" s="17">
        <f t="shared" si="20"/>
        <v>4216.32</v>
      </c>
      <c r="DM53" s="68">
        <f t="shared" si="2"/>
        <v>6038</v>
      </c>
      <c r="DN53" s="294">
        <f t="shared" si="3"/>
        <v>3864.3200000000011</v>
      </c>
      <c r="DO53" s="69">
        <f>DN53/$DN$57%</f>
        <v>0.65314590906982339</v>
      </c>
      <c r="DP53" s="82">
        <v>7032</v>
      </c>
      <c r="DQ53" s="76">
        <v>4500.4800000000005</v>
      </c>
      <c r="DR53" s="75">
        <v>3600</v>
      </c>
      <c r="DS53" s="76">
        <v>2304</v>
      </c>
      <c r="DT53" s="82"/>
      <c r="DU53" s="83"/>
      <c r="DV53" s="82"/>
      <c r="DW53" s="83"/>
      <c r="DX53" s="82"/>
      <c r="DY53" s="83"/>
      <c r="DZ53" s="82"/>
      <c r="EA53" s="83"/>
      <c r="EB53" s="82"/>
      <c r="EC53" s="83"/>
      <c r="ED53" s="82"/>
      <c r="EE53" s="83"/>
      <c r="EF53" s="82"/>
      <c r="EG53" s="83"/>
      <c r="EH53" s="82"/>
      <c r="EI53" s="83"/>
      <c r="EJ53" s="82"/>
      <c r="EK53" s="83"/>
      <c r="EL53" s="82"/>
      <c r="EM53" s="83"/>
      <c r="EN53" s="16">
        <f t="shared" ref="EN53" si="101">DP53+DR53+DT53+DV53+DX53+DZ53+EB53+ED53+EF53+EH53+EJ53+EL53</f>
        <v>10632</v>
      </c>
      <c r="EO53" s="16">
        <f t="shared" ref="EO53" si="102">DQ53+DS53+DU53+DW53+DY53+EA53+EC53+EE53+EG53+EI53+EK53+EM53</f>
        <v>6804.4800000000005</v>
      </c>
      <c r="EP53" s="68">
        <f t="shared" si="5"/>
        <v>5316</v>
      </c>
      <c r="EQ53" s="294">
        <f t="shared" si="6"/>
        <v>3402.2400000000002</v>
      </c>
      <c r="ER53" s="535">
        <f t="shared" si="56"/>
        <v>0.65715709095494212</v>
      </c>
      <c r="ES53" s="522">
        <f t="shared" si="7"/>
        <v>4.0111818851187309E-3</v>
      </c>
      <c r="ET53" s="522">
        <f t="shared" si="8"/>
        <v>-19.307832422586515</v>
      </c>
      <c r="EU53" s="522">
        <f t="shared" si="9"/>
        <v>-11.957601854918863</v>
      </c>
      <c r="EV53" s="522">
        <f t="shared" si="10"/>
        <v>-462.08000000000084</v>
      </c>
      <c r="EW53" s="523">
        <f t="shared" si="11"/>
        <v>-814.07999999999947</v>
      </c>
      <c r="EX53" s="522">
        <f t="shared" si="12"/>
        <v>-33.005714285714348</v>
      </c>
      <c r="EY53" s="522">
        <f t="shared" si="13"/>
        <v>-58.148571428571394</v>
      </c>
      <c r="EZ53" s="522">
        <f t="shared" si="14"/>
        <v>-116.29714285714279</v>
      </c>
    </row>
    <row r="54" spans="1:156" s="251" customFormat="1">
      <c r="A54" s="246"/>
      <c r="B54" s="247" t="s">
        <v>43</v>
      </c>
      <c r="C54" s="247"/>
      <c r="D54" s="246"/>
      <c r="E54" s="246"/>
      <c r="F54" s="250">
        <f t="shared" ref="F54:BQ54" si="103">SUM(F53)</f>
        <v>1230</v>
      </c>
      <c r="G54" s="250">
        <f t="shared" si="103"/>
        <v>8544</v>
      </c>
      <c r="H54" s="250">
        <f t="shared" si="103"/>
        <v>5468.16</v>
      </c>
      <c r="I54" s="250">
        <f t="shared" si="103"/>
        <v>9480</v>
      </c>
      <c r="J54" s="250">
        <f t="shared" si="103"/>
        <v>6067.2</v>
      </c>
      <c r="K54" s="250">
        <f t="shared" si="103"/>
        <v>11496</v>
      </c>
      <c r="L54" s="250">
        <f t="shared" si="103"/>
        <v>7357.4400000000005</v>
      </c>
      <c r="M54" s="250">
        <f t="shared" si="103"/>
        <v>7848</v>
      </c>
      <c r="N54" s="250">
        <f t="shared" si="103"/>
        <v>5022.72</v>
      </c>
      <c r="O54" s="250">
        <f t="shared" si="103"/>
        <v>7464</v>
      </c>
      <c r="P54" s="250">
        <f t="shared" si="103"/>
        <v>4776.96</v>
      </c>
      <c r="Q54" s="250">
        <f t="shared" si="103"/>
        <v>8832</v>
      </c>
      <c r="R54" s="250">
        <f t="shared" si="103"/>
        <v>5652.4800000000005</v>
      </c>
      <c r="S54" s="250">
        <f t="shared" si="103"/>
        <v>10368</v>
      </c>
      <c r="T54" s="250">
        <f t="shared" si="103"/>
        <v>6635.52</v>
      </c>
      <c r="U54" s="250">
        <f t="shared" si="103"/>
        <v>10296</v>
      </c>
      <c r="V54" s="250">
        <f t="shared" si="103"/>
        <v>6589.4400000000005</v>
      </c>
      <c r="W54" s="250">
        <f t="shared" si="103"/>
        <v>8378</v>
      </c>
      <c r="X54" s="250">
        <f t="shared" si="103"/>
        <v>5361.92</v>
      </c>
      <c r="Y54" s="250">
        <f t="shared" si="103"/>
        <v>10320</v>
      </c>
      <c r="Z54" s="250">
        <f t="shared" si="103"/>
        <v>6604.8</v>
      </c>
      <c r="AA54" s="250">
        <f t="shared" si="103"/>
        <v>5712</v>
      </c>
      <c r="AB54" s="250">
        <f t="shared" si="103"/>
        <v>3655.6800000000003</v>
      </c>
      <c r="AC54" s="250">
        <f t="shared" si="103"/>
        <v>10464</v>
      </c>
      <c r="AD54" s="250">
        <f t="shared" si="103"/>
        <v>6696.96</v>
      </c>
      <c r="AE54" s="250">
        <f t="shared" si="103"/>
        <v>9100.1666666666661</v>
      </c>
      <c r="AF54" s="250">
        <f t="shared" si="103"/>
        <v>5824.1066666666666</v>
      </c>
      <c r="AG54" s="250">
        <f t="shared" si="103"/>
        <v>13608</v>
      </c>
      <c r="AH54" s="250">
        <f t="shared" si="103"/>
        <v>8709.1200000000008</v>
      </c>
      <c r="AI54" s="250">
        <f t="shared" si="103"/>
        <v>8376</v>
      </c>
      <c r="AJ54" s="250">
        <f t="shared" si="103"/>
        <v>5360.64</v>
      </c>
      <c r="AK54" s="250">
        <f t="shared" si="103"/>
        <v>5904</v>
      </c>
      <c r="AL54" s="250">
        <f t="shared" si="103"/>
        <v>3778.56</v>
      </c>
      <c r="AM54" s="250">
        <f t="shared" si="103"/>
        <v>7968</v>
      </c>
      <c r="AN54" s="250">
        <f t="shared" si="103"/>
        <v>5099.5200000000004</v>
      </c>
      <c r="AO54" s="250">
        <f t="shared" si="103"/>
        <v>6480</v>
      </c>
      <c r="AP54" s="250">
        <f t="shared" si="103"/>
        <v>4147.2</v>
      </c>
      <c r="AQ54" s="250">
        <f t="shared" si="103"/>
        <v>8280</v>
      </c>
      <c r="AR54" s="250">
        <f t="shared" si="103"/>
        <v>5299.2</v>
      </c>
      <c r="AS54" s="250">
        <f t="shared" si="103"/>
        <v>9480</v>
      </c>
      <c r="AT54" s="250">
        <f t="shared" si="103"/>
        <v>6067.2</v>
      </c>
      <c r="AU54" s="250">
        <f t="shared" si="103"/>
        <v>7728</v>
      </c>
      <c r="AV54" s="250">
        <f t="shared" si="103"/>
        <v>4945.92</v>
      </c>
      <c r="AW54" s="250">
        <f t="shared" si="103"/>
        <v>9840</v>
      </c>
      <c r="AX54" s="250">
        <f t="shared" si="103"/>
        <v>6297.6</v>
      </c>
      <c r="AY54" s="250">
        <f t="shared" si="103"/>
        <v>5688</v>
      </c>
      <c r="AZ54" s="250">
        <f t="shared" si="103"/>
        <v>3640.32</v>
      </c>
      <c r="BA54" s="250">
        <f t="shared" si="103"/>
        <v>3552</v>
      </c>
      <c r="BB54" s="250">
        <f t="shared" si="103"/>
        <v>2273.2800000000002</v>
      </c>
      <c r="BC54" s="250">
        <f t="shared" si="103"/>
        <v>6360</v>
      </c>
      <c r="BD54" s="250">
        <f t="shared" si="103"/>
        <v>4070.4</v>
      </c>
      <c r="BE54" s="250">
        <f t="shared" si="103"/>
        <v>7772</v>
      </c>
      <c r="BF54" s="250">
        <f t="shared" si="103"/>
        <v>4974.08</v>
      </c>
      <c r="BG54" s="250">
        <f t="shared" si="103"/>
        <v>8088</v>
      </c>
      <c r="BH54" s="250">
        <f t="shared" si="103"/>
        <v>5176.32</v>
      </c>
      <c r="BI54" s="250">
        <f t="shared" si="103"/>
        <v>4320</v>
      </c>
      <c r="BJ54" s="250">
        <f t="shared" si="103"/>
        <v>2764.8</v>
      </c>
      <c r="BK54" s="250">
        <f t="shared" si="103"/>
        <v>7296</v>
      </c>
      <c r="BL54" s="250">
        <f t="shared" si="103"/>
        <v>4669.4400000000005</v>
      </c>
      <c r="BM54" s="250">
        <f t="shared" si="103"/>
        <v>5184</v>
      </c>
      <c r="BN54" s="250">
        <f t="shared" si="103"/>
        <v>3317.76</v>
      </c>
      <c r="BO54" s="250">
        <f t="shared" si="103"/>
        <v>6432</v>
      </c>
      <c r="BP54" s="250">
        <f t="shared" si="103"/>
        <v>4116.4800000000005</v>
      </c>
      <c r="BQ54" s="250">
        <f t="shared" si="103"/>
        <v>6576</v>
      </c>
      <c r="BR54" s="250">
        <f t="shared" ref="BR54:CD54" si="104">SUM(BR53)</f>
        <v>4208.6400000000003</v>
      </c>
      <c r="BS54" s="250">
        <f t="shared" si="104"/>
        <v>7464</v>
      </c>
      <c r="BT54" s="250">
        <f t="shared" si="104"/>
        <v>4776.96</v>
      </c>
      <c r="BU54" s="250">
        <f t="shared" si="104"/>
        <v>5064</v>
      </c>
      <c r="BV54" s="250">
        <f t="shared" si="104"/>
        <v>3240.96</v>
      </c>
      <c r="BW54" s="250">
        <f t="shared" si="104"/>
        <v>5832</v>
      </c>
      <c r="BX54" s="250">
        <f t="shared" si="104"/>
        <v>3732.48</v>
      </c>
      <c r="BY54" s="250">
        <f t="shared" si="104"/>
        <v>5952</v>
      </c>
      <c r="BZ54" s="250">
        <f t="shared" si="104"/>
        <v>3809.28</v>
      </c>
      <c r="CA54" s="250">
        <f t="shared" si="104"/>
        <v>6744</v>
      </c>
      <c r="CB54" s="250">
        <f t="shared" si="104"/>
        <v>4316.16</v>
      </c>
      <c r="CC54" s="250">
        <f t="shared" si="104"/>
        <v>7800</v>
      </c>
      <c r="CD54" s="250">
        <f t="shared" si="104"/>
        <v>4992</v>
      </c>
      <c r="CE54" s="250">
        <f t="shared" si="15"/>
        <v>6268.363636363636</v>
      </c>
      <c r="CF54" s="249">
        <f t="shared" si="16"/>
        <v>4011.752727272727</v>
      </c>
      <c r="CG54" s="250">
        <f t="shared" ref="CG54:DO54" si="105">SUM(CG53)</f>
        <v>6396</v>
      </c>
      <c r="CH54" s="250">
        <f t="shared" si="105"/>
        <v>4093.44</v>
      </c>
      <c r="CI54" s="250">
        <f t="shared" si="105"/>
        <v>0.72616633406986442</v>
      </c>
      <c r="CJ54" s="250">
        <f t="shared" si="105"/>
        <v>0.73</v>
      </c>
      <c r="CK54" s="250">
        <f t="shared" si="105"/>
        <v>6552</v>
      </c>
      <c r="CL54" s="250">
        <f t="shared" si="105"/>
        <v>4193.28</v>
      </c>
      <c r="CM54" s="250">
        <f t="shared" si="105"/>
        <v>6624</v>
      </c>
      <c r="CN54" s="250">
        <f t="shared" si="105"/>
        <v>4239.3599999999997</v>
      </c>
      <c r="CO54" s="250">
        <f t="shared" si="105"/>
        <v>9072</v>
      </c>
      <c r="CP54" s="250">
        <f t="shared" si="105"/>
        <v>5806.08</v>
      </c>
      <c r="CQ54" s="250">
        <f t="shared" si="105"/>
        <v>4824</v>
      </c>
      <c r="CR54" s="250">
        <f t="shared" si="105"/>
        <v>3087.36</v>
      </c>
      <c r="CS54" s="250">
        <f t="shared" si="105"/>
        <v>7032</v>
      </c>
      <c r="CT54" s="250">
        <f t="shared" si="105"/>
        <v>4500.4800000000005</v>
      </c>
      <c r="CU54" s="250">
        <f t="shared" si="105"/>
        <v>4800</v>
      </c>
      <c r="CV54" s="250">
        <f t="shared" si="105"/>
        <v>3072</v>
      </c>
      <c r="CW54" s="250">
        <f t="shared" si="105"/>
        <v>6792</v>
      </c>
      <c r="CX54" s="250">
        <f t="shared" si="105"/>
        <v>4346.88</v>
      </c>
      <c r="CY54" s="250">
        <f t="shared" si="105"/>
        <v>4968</v>
      </c>
      <c r="CZ54" s="250">
        <f t="shared" si="105"/>
        <v>3179.52</v>
      </c>
      <c r="DA54" s="250">
        <f t="shared" si="105"/>
        <v>6984</v>
      </c>
      <c r="DB54" s="250">
        <f t="shared" si="105"/>
        <v>4469.76</v>
      </c>
      <c r="DC54" s="250">
        <f t="shared" si="105"/>
        <v>3744</v>
      </c>
      <c r="DD54" s="250">
        <f t="shared" si="105"/>
        <v>2396.16</v>
      </c>
      <c r="DE54" s="250">
        <f t="shared" si="105"/>
        <v>6432</v>
      </c>
      <c r="DF54" s="250">
        <f t="shared" si="105"/>
        <v>4116.4800000000005</v>
      </c>
      <c r="DG54" s="250">
        <f t="shared" si="105"/>
        <v>4632</v>
      </c>
      <c r="DH54" s="250">
        <f t="shared" si="105"/>
        <v>2964.48</v>
      </c>
      <c r="DI54" s="250">
        <f t="shared" si="105"/>
        <v>72456</v>
      </c>
      <c r="DJ54" s="250">
        <f t="shared" si="105"/>
        <v>46371.840000000011</v>
      </c>
      <c r="DK54" s="669">
        <f t="shared" si="19"/>
        <v>6588</v>
      </c>
      <c r="DL54" s="670">
        <f t="shared" si="20"/>
        <v>4216.32</v>
      </c>
      <c r="DM54" s="502">
        <f t="shared" si="2"/>
        <v>6038</v>
      </c>
      <c r="DN54" s="503">
        <f t="shared" si="3"/>
        <v>3864.3200000000011</v>
      </c>
      <c r="DO54" s="250">
        <f t="shared" si="105"/>
        <v>0.65314590906982339</v>
      </c>
      <c r="DP54" s="250">
        <f t="shared" ref="DP54:EO54" si="106">SUM(DP53)</f>
        <v>7032</v>
      </c>
      <c r="DQ54" s="250">
        <f t="shared" si="106"/>
        <v>4500.4800000000005</v>
      </c>
      <c r="DR54" s="250">
        <f t="shared" si="106"/>
        <v>3600</v>
      </c>
      <c r="DS54" s="249">
        <f t="shared" si="106"/>
        <v>2304</v>
      </c>
      <c r="DT54" s="250">
        <f t="shared" si="106"/>
        <v>0</v>
      </c>
      <c r="DU54" s="250">
        <f t="shared" si="106"/>
        <v>0</v>
      </c>
      <c r="DV54" s="250">
        <f t="shared" si="106"/>
        <v>0</v>
      </c>
      <c r="DW54" s="250">
        <f t="shared" si="106"/>
        <v>0</v>
      </c>
      <c r="DX54" s="250">
        <f t="shared" si="106"/>
        <v>0</v>
      </c>
      <c r="DY54" s="250">
        <f t="shared" si="106"/>
        <v>0</v>
      </c>
      <c r="DZ54" s="250">
        <f t="shared" si="106"/>
        <v>0</v>
      </c>
      <c r="EA54" s="250">
        <f t="shared" si="106"/>
        <v>0</v>
      </c>
      <c r="EB54" s="250">
        <f t="shared" si="106"/>
        <v>0</v>
      </c>
      <c r="EC54" s="250">
        <f t="shared" si="106"/>
        <v>0</v>
      </c>
      <c r="ED54" s="250">
        <f t="shared" si="106"/>
        <v>0</v>
      </c>
      <c r="EE54" s="250">
        <f t="shared" si="106"/>
        <v>0</v>
      </c>
      <c r="EF54" s="250">
        <f t="shared" si="106"/>
        <v>0</v>
      </c>
      <c r="EG54" s="250">
        <f t="shared" si="106"/>
        <v>0</v>
      </c>
      <c r="EH54" s="250">
        <f t="shared" si="106"/>
        <v>0</v>
      </c>
      <c r="EI54" s="250">
        <f t="shared" si="106"/>
        <v>0</v>
      </c>
      <c r="EJ54" s="250">
        <f t="shared" si="106"/>
        <v>0</v>
      </c>
      <c r="EK54" s="250">
        <f t="shared" si="106"/>
        <v>0</v>
      </c>
      <c r="EL54" s="250">
        <f t="shared" si="106"/>
        <v>0</v>
      </c>
      <c r="EM54" s="250">
        <f t="shared" si="106"/>
        <v>0</v>
      </c>
      <c r="EN54" s="250">
        <f t="shared" si="106"/>
        <v>10632</v>
      </c>
      <c r="EO54" s="250">
        <f t="shared" si="106"/>
        <v>6804.4800000000005</v>
      </c>
      <c r="EP54" s="502">
        <f t="shared" si="5"/>
        <v>5316</v>
      </c>
      <c r="EQ54" s="503">
        <f t="shared" si="6"/>
        <v>3402.2400000000002</v>
      </c>
      <c r="ER54" s="536">
        <f t="shared" si="56"/>
        <v>0.65715709095494212</v>
      </c>
      <c r="ES54" s="537">
        <f t="shared" si="7"/>
        <v>4.0111818851187309E-3</v>
      </c>
      <c r="ET54" s="537">
        <f t="shared" si="8"/>
        <v>-19.307832422586515</v>
      </c>
      <c r="EU54" s="537">
        <f t="shared" si="9"/>
        <v>-11.957601854918863</v>
      </c>
      <c r="EV54" s="537">
        <f t="shared" si="10"/>
        <v>-462.08000000000084</v>
      </c>
      <c r="EW54" s="538">
        <f t="shared" si="11"/>
        <v>-814.07999999999947</v>
      </c>
      <c r="EX54" s="537">
        <f t="shared" si="12"/>
        <v>-33.005714285714348</v>
      </c>
      <c r="EY54" s="537">
        <f t="shared" si="13"/>
        <v>-58.148571428571394</v>
      </c>
      <c r="EZ54" s="537">
        <f t="shared" si="14"/>
        <v>-116.29714285714279</v>
      </c>
    </row>
    <row r="55" spans="1:156">
      <c r="A55" s="7">
        <v>34</v>
      </c>
      <c r="B55" s="8" t="s">
        <v>44</v>
      </c>
      <c r="C55" s="8" t="s">
        <v>14</v>
      </c>
      <c r="D55" s="7">
        <v>0.64</v>
      </c>
      <c r="E55" s="7" t="s">
        <v>20</v>
      </c>
      <c r="F55" s="7">
        <v>1230</v>
      </c>
      <c r="G55" s="9">
        <v>6050</v>
      </c>
      <c r="H55" s="10">
        <v>3872</v>
      </c>
      <c r="I55" s="9">
        <v>4746</v>
      </c>
      <c r="J55" s="10">
        <v>3037.44</v>
      </c>
      <c r="K55" s="9">
        <v>5572</v>
      </c>
      <c r="L55" s="10">
        <v>3566.08</v>
      </c>
      <c r="M55" s="9">
        <v>5418</v>
      </c>
      <c r="N55" s="10">
        <v>3467.52</v>
      </c>
      <c r="O55" s="9">
        <v>4564</v>
      </c>
      <c r="P55" s="10">
        <v>2920.96</v>
      </c>
      <c r="Q55" s="9">
        <v>5320</v>
      </c>
      <c r="R55" s="10">
        <v>3404.8</v>
      </c>
      <c r="S55" s="9">
        <v>5754</v>
      </c>
      <c r="T55" s="10">
        <v>3682.56</v>
      </c>
      <c r="U55" s="9">
        <v>6328</v>
      </c>
      <c r="V55" s="10">
        <v>4049.92</v>
      </c>
      <c r="W55" s="9">
        <v>3976</v>
      </c>
      <c r="X55" s="10">
        <v>2544.64</v>
      </c>
      <c r="Y55" s="9">
        <v>5222</v>
      </c>
      <c r="Z55" s="10">
        <v>3342.08</v>
      </c>
      <c r="AA55" s="9">
        <v>5026</v>
      </c>
      <c r="AB55" s="10">
        <v>3216.64</v>
      </c>
      <c r="AC55" s="9">
        <v>5992</v>
      </c>
      <c r="AD55" s="10">
        <v>3834.88</v>
      </c>
      <c r="AE55" s="11">
        <v>5330.666666666667</v>
      </c>
      <c r="AF55" s="12">
        <v>3411.626666666667</v>
      </c>
      <c r="AG55" s="9">
        <v>5348</v>
      </c>
      <c r="AH55" s="10">
        <v>3422.7200000000003</v>
      </c>
      <c r="AI55" s="9">
        <v>4774</v>
      </c>
      <c r="AJ55" s="10">
        <v>3055.36</v>
      </c>
      <c r="AK55" s="9">
        <v>4704</v>
      </c>
      <c r="AL55" s="10">
        <v>3010.56</v>
      </c>
      <c r="AM55" s="9">
        <v>3710</v>
      </c>
      <c r="AN55" s="10">
        <v>2374.4</v>
      </c>
      <c r="AO55" s="9">
        <v>3836</v>
      </c>
      <c r="AP55" s="10">
        <v>2455.04</v>
      </c>
      <c r="AQ55" s="9">
        <v>3766</v>
      </c>
      <c r="AR55" s="10">
        <v>2410.2400000000002</v>
      </c>
      <c r="AS55" s="9">
        <v>3766</v>
      </c>
      <c r="AT55" s="10">
        <v>2410.2400000000002</v>
      </c>
      <c r="AU55" s="9">
        <v>4438</v>
      </c>
      <c r="AV55" s="10">
        <v>2840.32</v>
      </c>
      <c r="AW55" s="9">
        <v>4200</v>
      </c>
      <c r="AX55" s="10">
        <v>2688</v>
      </c>
      <c r="AY55" s="9">
        <v>4291</v>
      </c>
      <c r="AZ55" s="10">
        <v>2746.2400000000002</v>
      </c>
      <c r="BA55" s="9">
        <v>2030</v>
      </c>
      <c r="BB55" s="10">
        <v>1299.2</v>
      </c>
      <c r="BC55" s="9">
        <v>5082</v>
      </c>
      <c r="BD55" s="10">
        <v>3252.48</v>
      </c>
      <c r="BE55" s="11">
        <v>4162.083333333333</v>
      </c>
      <c r="BF55" s="12">
        <v>2663.7333333333331</v>
      </c>
      <c r="BG55" s="9">
        <v>5096</v>
      </c>
      <c r="BH55" s="10">
        <v>3261.44</v>
      </c>
      <c r="BI55" s="9">
        <v>3948</v>
      </c>
      <c r="BJ55" s="10">
        <v>2526.7200000000003</v>
      </c>
      <c r="BK55" s="9">
        <v>4368</v>
      </c>
      <c r="BL55" s="10">
        <v>2795.52</v>
      </c>
      <c r="BM55" s="9">
        <v>3262</v>
      </c>
      <c r="BN55" s="10">
        <v>2087.6799999999998</v>
      </c>
      <c r="BO55" s="9">
        <v>5068</v>
      </c>
      <c r="BP55" s="10">
        <v>3243.52</v>
      </c>
      <c r="BQ55" s="9">
        <v>3430</v>
      </c>
      <c r="BR55" s="10">
        <v>2195.2000000000003</v>
      </c>
      <c r="BS55" s="9">
        <v>4102</v>
      </c>
      <c r="BT55" s="10">
        <v>2625.28</v>
      </c>
      <c r="BU55" s="9">
        <v>2912</v>
      </c>
      <c r="BV55" s="10">
        <v>1863.68</v>
      </c>
      <c r="BW55" s="9">
        <v>3024</v>
      </c>
      <c r="BX55" s="10">
        <v>1935.3600000000001</v>
      </c>
      <c r="BY55" s="9">
        <v>3850</v>
      </c>
      <c r="BZ55" s="10">
        <v>2464</v>
      </c>
      <c r="CA55" s="9">
        <v>3150</v>
      </c>
      <c r="CB55" s="10">
        <v>2016</v>
      </c>
      <c r="CC55" s="9">
        <v>5110</v>
      </c>
      <c r="CD55" s="10">
        <v>3270.4</v>
      </c>
      <c r="CE55" s="19">
        <f t="shared" si="15"/>
        <v>3837.2727272727275</v>
      </c>
      <c r="CF55" s="10">
        <f t="shared" si="16"/>
        <v>2455.8545454545456</v>
      </c>
      <c r="CG55" s="11">
        <v>3943.3333333333335</v>
      </c>
      <c r="CH55" s="12">
        <v>2523.7333333333336</v>
      </c>
      <c r="CI55" s="15">
        <v>0.44770417615418479</v>
      </c>
      <c r="CJ55" s="15">
        <v>0.45</v>
      </c>
      <c r="CK55" s="14">
        <v>4690</v>
      </c>
      <c r="CL55" s="10">
        <v>3001.6</v>
      </c>
      <c r="CM55" s="14">
        <v>5292</v>
      </c>
      <c r="CN55" s="15">
        <v>3386.88</v>
      </c>
      <c r="CO55" s="14">
        <v>2982</v>
      </c>
      <c r="CP55" s="15">
        <v>1908.48</v>
      </c>
      <c r="CQ55" s="14">
        <v>4060</v>
      </c>
      <c r="CR55" s="15">
        <v>2598.4</v>
      </c>
      <c r="CS55" s="14">
        <v>2884</v>
      </c>
      <c r="CT55" s="15">
        <v>1845.76</v>
      </c>
      <c r="CU55" s="14">
        <v>3486</v>
      </c>
      <c r="CV55" s="15">
        <v>2231.04</v>
      </c>
      <c r="CW55" s="14">
        <v>3444</v>
      </c>
      <c r="CX55" s="15">
        <v>2204.16</v>
      </c>
      <c r="CY55" s="14">
        <v>3668</v>
      </c>
      <c r="CZ55" s="15">
        <v>2347.52</v>
      </c>
      <c r="DA55" s="14">
        <v>3710</v>
      </c>
      <c r="DB55" s="15">
        <v>2374.4</v>
      </c>
      <c r="DC55" s="14">
        <v>2940</v>
      </c>
      <c r="DD55" s="15">
        <v>1881.6000000000001</v>
      </c>
      <c r="DE55" s="14">
        <v>4466</v>
      </c>
      <c r="DF55" s="15">
        <v>2858.2400000000002</v>
      </c>
      <c r="DG55" s="14">
        <v>3514</v>
      </c>
      <c r="DH55" s="15">
        <v>2248.96</v>
      </c>
      <c r="DI55" s="16">
        <f t="shared" si="17"/>
        <v>45136</v>
      </c>
      <c r="DJ55" s="16">
        <f t="shared" si="18"/>
        <v>28887.040000000001</v>
      </c>
      <c r="DK55" s="16">
        <f t="shared" si="19"/>
        <v>4991</v>
      </c>
      <c r="DL55" s="17">
        <f t="shared" si="20"/>
        <v>3194.24</v>
      </c>
      <c r="DM55" s="68">
        <f t="shared" si="2"/>
        <v>3761.3333333333335</v>
      </c>
      <c r="DN55" s="294">
        <f t="shared" si="3"/>
        <v>2407.2533333333336</v>
      </c>
      <c r="DO55" s="69">
        <f>DN55/$DN$57%</f>
        <v>0.40687305056552314</v>
      </c>
      <c r="DP55" s="14">
        <v>3626</v>
      </c>
      <c r="DQ55" s="10">
        <v>2320.64</v>
      </c>
      <c r="DR55" s="9">
        <v>7392</v>
      </c>
      <c r="DS55" s="10">
        <v>4730.88</v>
      </c>
      <c r="DT55" s="14"/>
      <c r="DU55" s="15"/>
      <c r="DV55" s="14"/>
      <c r="DW55" s="15"/>
      <c r="DX55" s="14"/>
      <c r="DY55" s="15"/>
      <c r="DZ55" s="14"/>
      <c r="EA55" s="15"/>
      <c r="EB55" s="14"/>
      <c r="EC55" s="15"/>
      <c r="ED55" s="14"/>
      <c r="EE55" s="15"/>
      <c r="EF55" s="14"/>
      <c r="EG55" s="15"/>
      <c r="EH55" s="14"/>
      <c r="EI55" s="15"/>
      <c r="EJ55" s="14"/>
      <c r="EK55" s="15"/>
      <c r="EL55" s="14"/>
      <c r="EM55" s="15"/>
      <c r="EN55" s="16">
        <f t="shared" ref="EN55" si="107">DP55+DR55+DT55+DV55+DX55+DZ55+EB55+ED55+EF55+EH55+EJ55+EL55</f>
        <v>11018</v>
      </c>
      <c r="EO55" s="16">
        <f t="shared" ref="EO55" si="108">DQ55+DS55+DU55+DW55+DY55+EA55+EC55+EE55+EG55+EI55+EK55+EM55</f>
        <v>7051.52</v>
      </c>
      <c r="EP55" s="68">
        <f t="shared" si="5"/>
        <v>5509</v>
      </c>
      <c r="EQ55" s="294">
        <f t="shared" si="6"/>
        <v>3525.76</v>
      </c>
      <c r="ER55" s="535">
        <f t="shared" si="56"/>
        <v>0.68101550302309555</v>
      </c>
      <c r="ES55" s="522">
        <f t="shared" si="7"/>
        <v>0.27414245245757241</v>
      </c>
      <c r="ET55" s="522">
        <f t="shared" si="8"/>
        <v>10.378681626928483</v>
      </c>
      <c r="EU55" s="522">
        <f t="shared" si="9"/>
        <v>46.464019851116603</v>
      </c>
      <c r="EV55" s="522">
        <f t="shared" si="10"/>
        <v>1118.5066666666667</v>
      </c>
      <c r="EW55" s="523">
        <f t="shared" si="11"/>
        <v>331.52000000000044</v>
      </c>
      <c r="EX55" s="522">
        <f t="shared" si="12"/>
        <v>79.893333333333331</v>
      </c>
      <c r="EY55" s="522">
        <f t="shared" si="13"/>
        <v>23.680000000000032</v>
      </c>
      <c r="EZ55" s="522">
        <f t="shared" si="14"/>
        <v>47.360000000000063</v>
      </c>
    </row>
    <row r="56" spans="1:156" s="251" customFormat="1" ht="20.399999999999999" thickBot="1">
      <c r="A56" s="252"/>
      <c r="B56" s="253" t="s">
        <v>173</v>
      </c>
      <c r="C56" s="253"/>
      <c r="D56" s="252"/>
      <c r="E56" s="252"/>
      <c r="F56" s="252"/>
      <c r="G56" s="254"/>
      <c r="H56" s="255"/>
      <c r="I56" s="254"/>
      <c r="J56" s="255"/>
      <c r="K56" s="254"/>
      <c r="L56" s="255"/>
      <c r="M56" s="254"/>
      <c r="N56" s="255"/>
      <c r="O56" s="254"/>
      <c r="P56" s="255"/>
      <c r="Q56" s="254"/>
      <c r="R56" s="255"/>
      <c r="S56" s="254"/>
      <c r="T56" s="255"/>
      <c r="U56" s="254"/>
      <c r="V56" s="255"/>
      <c r="W56" s="254"/>
      <c r="X56" s="255"/>
      <c r="Y56" s="254"/>
      <c r="Z56" s="255"/>
      <c r="AA56" s="254"/>
      <c r="AB56" s="255"/>
      <c r="AC56" s="254"/>
      <c r="AD56" s="255"/>
      <c r="AE56" s="254"/>
      <c r="AF56" s="255"/>
      <c r="AG56" s="254"/>
      <c r="AH56" s="255"/>
      <c r="AI56" s="254"/>
      <c r="AJ56" s="255"/>
      <c r="AK56" s="254"/>
      <c r="AL56" s="255"/>
      <c r="AM56" s="254"/>
      <c r="AN56" s="255"/>
      <c r="AO56" s="254"/>
      <c r="AP56" s="255"/>
      <c r="AQ56" s="254"/>
      <c r="AR56" s="255"/>
      <c r="AS56" s="254"/>
      <c r="AT56" s="255"/>
      <c r="AU56" s="254"/>
      <c r="AV56" s="255"/>
      <c r="AW56" s="254"/>
      <c r="AX56" s="255"/>
      <c r="AY56" s="254"/>
      <c r="AZ56" s="255"/>
      <c r="BA56" s="254"/>
      <c r="BB56" s="255"/>
      <c r="BC56" s="254"/>
      <c r="BD56" s="255"/>
      <c r="BE56" s="254"/>
      <c r="BF56" s="255"/>
      <c r="BG56" s="254"/>
      <c r="BH56" s="255"/>
      <c r="BI56" s="254"/>
      <c r="BJ56" s="255"/>
      <c r="BK56" s="254"/>
      <c r="BL56" s="255"/>
      <c r="BM56" s="254"/>
      <c r="BN56" s="255"/>
      <c r="BO56" s="254"/>
      <c r="BP56" s="255"/>
      <c r="BQ56" s="254"/>
      <c r="BR56" s="255"/>
      <c r="BS56" s="254"/>
      <c r="BT56" s="255"/>
      <c r="BU56" s="254"/>
      <c r="BV56" s="255"/>
      <c r="BW56" s="254"/>
      <c r="BX56" s="255"/>
      <c r="BY56" s="254"/>
      <c r="BZ56" s="255"/>
      <c r="CA56" s="254"/>
      <c r="CB56" s="255"/>
      <c r="CC56" s="254"/>
      <c r="CD56" s="255"/>
      <c r="CE56" s="256">
        <f t="shared" si="15"/>
        <v>0</v>
      </c>
      <c r="CF56" s="255">
        <f t="shared" si="16"/>
        <v>0</v>
      </c>
      <c r="CG56" s="256">
        <f t="shared" ref="CG56:EM56" si="109">SUM(CG55)</f>
        <v>3943.3333333333335</v>
      </c>
      <c r="CH56" s="256">
        <f t="shared" si="109"/>
        <v>2523.7333333333336</v>
      </c>
      <c r="CI56" s="256">
        <f t="shared" si="109"/>
        <v>0.44770417615418479</v>
      </c>
      <c r="CJ56" s="256">
        <f t="shared" si="109"/>
        <v>0.45</v>
      </c>
      <c r="CK56" s="256">
        <f t="shared" si="109"/>
        <v>4690</v>
      </c>
      <c r="CL56" s="256">
        <f t="shared" si="109"/>
        <v>3001.6</v>
      </c>
      <c r="CM56" s="256">
        <f t="shared" si="109"/>
        <v>5292</v>
      </c>
      <c r="CN56" s="256">
        <f t="shared" si="109"/>
        <v>3386.88</v>
      </c>
      <c r="CO56" s="256">
        <f t="shared" si="109"/>
        <v>2982</v>
      </c>
      <c r="CP56" s="256">
        <f t="shared" si="109"/>
        <v>1908.48</v>
      </c>
      <c r="CQ56" s="256">
        <f t="shared" si="109"/>
        <v>4060</v>
      </c>
      <c r="CR56" s="256">
        <f t="shared" si="109"/>
        <v>2598.4</v>
      </c>
      <c r="CS56" s="256">
        <f t="shared" si="109"/>
        <v>2884</v>
      </c>
      <c r="CT56" s="256">
        <f t="shared" si="109"/>
        <v>1845.76</v>
      </c>
      <c r="CU56" s="256">
        <f t="shared" si="109"/>
        <v>3486</v>
      </c>
      <c r="CV56" s="256">
        <f t="shared" si="109"/>
        <v>2231.04</v>
      </c>
      <c r="CW56" s="256">
        <f t="shared" si="109"/>
        <v>3444</v>
      </c>
      <c r="CX56" s="256">
        <f t="shared" si="109"/>
        <v>2204.16</v>
      </c>
      <c r="CY56" s="256">
        <f t="shared" si="109"/>
        <v>3668</v>
      </c>
      <c r="CZ56" s="256">
        <f t="shared" si="109"/>
        <v>2347.52</v>
      </c>
      <c r="DA56" s="256">
        <f t="shared" si="109"/>
        <v>3710</v>
      </c>
      <c r="DB56" s="256">
        <f t="shared" si="109"/>
        <v>2374.4</v>
      </c>
      <c r="DC56" s="256">
        <f t="shared" si="109"/>
        <v>2940</v>
      </c>
      <c r="DD56" s="256">
        <f t="shared" si="109"/>
        <v>1881.6000000000001</v>
      </c>
      <c r="DE56" s="256">
        <f t="shared" si="109"/>
        <v>4466</v>
      </c>
      <c r="DF56" s="256">
        <f t="shared" si="109"/>
        <v>2858.2400000000002</v>
      </c>
      <c r="DG56" s="256">
        <f t="shared" si="109"/>
        <v>3514</v>
      </c>
      <c r="DH56" s="256">
        <f t="shared" si="109"/>
        <v>2248.96</v>
      </c>
      <c r="DI56" s="256">
        <f t="shared" si="109"/>
        <v>45136</v>
      </c>
      <c r="DJ56" s="256">
        <f t="shared" si="109"/>
        <v>28887.040000000001</v>
      </c>
      <c r="DK56" s="667">
        <f t="shared" si="19"/>
        <v>4991</v>
      </c>
      <c r="DL56" s="668">
        <f t="shared" si="20"/>
        <v>3194.24</v>
      </c>
      <c r="DM56" s="507">
        <f t="shared" si="2"/>
        <v>3761.3333333333335</v>
      </c>
      <c r="DN56" s="508">
        <f t="shared" si="3"/>
        <v>2407.2533333333336</v>
      </c>
      <c r="DO56" s="256">
        <f t="shared" si="109"/>
        <v>0.40687305056552314</v>
      </c>
      <c r="DP56" s="256">
        <f t="shared" si="109"/>
        <v>3626</v>
      </c>
      <c r="DQ56" s="256">
        <f t="shared" si="109"/>
        <v>2320.64</v>
      </c>
      <c r="DR56" s="256">
        <f t="shared" si="109"/>
        <v>7392</v>
      </c>
      <c r="DS56" s="255">
        <f t="shared" si="109"/>
        <v>4730.88</v>
      </c>
      <c r="DT56" s="256">
        <f t="shared" si="109"/>
        <v>0</v>
      </c>
      <c r="DU56" s="256">
        <f t="shared" si="109"/>
        <v>0</v>
      </c>
      <c r="DV56" s="256">
        <f t="shared" si="109"/>
        <v>0</v>
      </c>
      <c r="DW56" s="256">
        <f t="shared" si="109"/>
        <v>0</v>
      </c>
      <c r="DX56" s="256">
        <f t="shared" si="109"/>
        <v>0</v>
      </c>
      <c r="DY56" s="256">
        <f t="shared" si="109"/>
        <v>0</v>
      </c>
      <c r="DZ56" s="256">
        <f t="shared" si="109"/>
        <v>0</v>
      </c>
      <c r="EA56" s="256">
        <f t="shared" si="109"/>
        <v>0</v>
      </c>
      <c r="EB56" s="256">
        <f t="shared" si="109"/>
        <v>0</v>
      </c>
      <c r="EC56" s="256">
        <f t="shared" si="109"/>
        <v>0</v>
      </c>
      <c r="ED56" s="256">
        <f t="shared" si="109"/>
        <v>0</v>
      </c>
      <c r="EE56" s="256">
        <f t="shared" si="109"/>
        <v>0</v>
      </c>
      <c r="EF56" s="256">
        <f t="shared" si="109"/>
        <v>0</v>
      </c>
      <c r="EG56" s="256">
        <f t="shared" si="109"/>
        <v>0</v>
      </c>
      <c r="EH56" s="256">
        <f t="shared" si="109"/>
        <v>0</v>
      </c>
      <c r="EI56" s="256">
        <f t="shared" si="109"/>
        <v>0</v>
      </c>
      <c r="EJ56" s="256">
        <f t="shared" si="109"/>
        <v>0</v>
      </c>
      <c r="EK56" s="256">
        <f t="shared" si="109"/>
        <v>0</v>
      </c>
      <c r="EL56" s="256">
        <f t="shared" si="109"/>
        <v>0</v>
      </c>
      <c r="EM56" s="256">
        <f t="shared" si="109"/>
        <v>0</v>
      </c>
      <c r="EN56" s="256">
        <f t="shared" ref="EN56:EO56" si="110">SUM(EN55)</f>
        <v>11018</v>
      </c>
      <c r="EO56" s="256">
        <f t="shared" si="110"/>
        <v>7051.52</v>
      </c>
      <c r="EP56" s="507">
        <f t="shared" si="5"/>
        <v>5509</v>
      </c>
      <c r="EQ56" s="508">
        <f t="shared" si="6"/>
        <v>3525.76</v>
      </c>
      <c r="ER56" s="539">
        <f t="shared" si="56"/>
        <v>0.68101550302309555</v>
      </c>
      <c r="ES56" s="540">
        <f t="shared" si="7"/>
        <v>0.27414245245757241</v>
      </c>
      <c r="ET56" s="540">
        <f t="shared" si="8"/>
        <v>10.378681626928483</v>
      </c>
      <c r="EU56" s="540">
        <f t="shared" si="9"/>
        <v>46.464019851116603</v>
      </c>
      <c r="EV56" s="540">
        <f t="shared" si="10"/>
        <v>1118.5066666666667</v>
      </c>
      <c r="EW56" s="541">
        <f t="shared" si="11"/>
        <v>331.52000000000044</v>
      </c>
      <c r="EX56" s="540">
        <f t="shared" si="12"/>
        <v>79.893333333333331</v>
      </c>
      <c r="EY56" s="540">
        <f t="shared" si="13"/>
        <v>23.680000000000032</v>
      </c>
      <c r="EZ56" s="540">
        <f t="shared" si="14"/>
        <v>47.360000000000063</v>
      </c>
    </row>
    <row r="57" spans="1:156" s="543" customFormat="1" ht="22.2" customHeight="1" thickBot="1">
      <c r="A57" s="524"/>
      <c r="B57" s="525" t="s">
        <v>45</v>
      </c>
      <c r="C57" s="526"/>
      <c r="D57" s="527"/>
      <c r="E57" s="528"/>
      <c r="F57" s="528"/>
      <c r="G57" s="529">
        <v>654091</v>
      </c>
      <c r="H57" s="530">
        <v>425017.06</v>
      </c>
      <c r="I57" s="529">
        <v>628544</v>
      </c>
      <c r="J57" s="530">
        <v>407037.68000000005</v>
      </c>
      <c r="K57" s="529">
        <v>715306</v>
      </c>
      <c r="L57" s="530">
        <v>466108.84</v>
      </c>
      <c r="M57" s="529">
        <v>532583</v>
      </c>
      <c r="N57" s="530">
        <v>346599.38</v>
      </c>
      <c r="O57" s="529">
        <v>559169</v>
      </c>
      <c r="P57" s="530">
        <v>361819.58000000007</v>
      </c>
      <c r="Q57" s="529">
        <v>646860</v>
      </c>
      <c r="R57" s="530">
        <v>417841.67999999993</v>
      </c>
      <c r="S57" s="529">
        <v>641078</v>
      </c>
      <c r="T57" s="530">
        <v>415252.0400000001</v>
      </c>
      <c r="U57" s="529">
        <v>715219</v>
      </c>
      <c r="V57" s="530">
        <v>464703.58000000007</v>
      </c>
      <c r="W57" s="529">
        <v>631014</v>
      </c>
      <c r="X57" s="530">
        <v>407854.08000000007</v>
      </c>
      <c r="Y57" s="529">
        <v>596554</v>
      </c>
      <c r="Z57" s="530">
        <v>385517.91000000003</v>
      </c>
      <c r="AA57" s="529">
        <v>664614</v>
      </c>
      <c r="AB57" s="530">
        <v>431000.24000000005</v>
      </c>
      <c r="AC57" s="529">
        <v>722091</v>
      </c>
      <c r="AD57" s="530">
        <v>466735.39</v>
      </c>
      <c r="AE57" s="529">
        <v>642260.25</v>
      </c>
      <c r="AF57" s="530">
        <v>416290.62166666664</v>
      </c>
      <c r="AG57" s="529">
        <v>696158</v>
      </c>
      <c r="AH57" s="530">
        <v>450975.41</v>
      </c>
      <c r="AI57" s="529">
        <v>582989</v>
      </c>
      <c r="AJ57" s="530">
        <v>376228.6</v>
      </c>
      <c r="AK57" s="529">
        <v>561925</v>
      </c>
      <c r="AL57" s="530">
        <v>364919.43</v>
      </c>
      <c r="AM57" s="529">
        <v>564875</v>
      </c>
      <c r="AN57" s="530">
        <v>366415.57000000007</v>
      </c>
      <c r="AO57" s="529">
        <v>476057</v>
      </c>
      <c r="AP57" s="530">
        <v>309869.97000000003</v>
      </c>
      <c r="AQ57" s="529">
        <v>600345</v>
      </c>
      <c r="AR57" s="530">
        <v>389566.54</v>
      </c>
      <c r="AS57" s="529">
        <v>654612</v>
      </c>
      <c r="AT57" s="530">
        <v>424884.15</v>
      </c>
      <c r="AU57" s="529">
        <v>627336</v>
      </c>
      <c r="AV57" s="530">
        <v>405648.12000000005</v>
      </c>
      <c r="AW57" s="529">
        <v>614399</v>
      </c>
      <c r="AX57" s="530">
        <v>398322.05000000005</v>
      </c>
      <c r="AY57" s="529">
        <v>662882</v>
      </c>
      <c r="AZ57" s="530">
        <v>428693.14</v>
      </c>
      <c r="BA57" s="529">
        <v>678253</v>
      </c>
      <c r="BB57" s="530">
        <v>440888.14000000007</v>
      </c>
      <c r="BC57" s="529">
        <v>846698</v>
      </c>
      <c r="BD57" s="530">
        <v>548664.9800000001</v>
      </c>
      <c r="BE57" s="529">
        <v>630544.08333333349</v>
      </c>
      <c r="BF57" s="530">
        <v>408756.34166666662</v>
      </c>
      <c r="BG57" s="529">
        <v>949178</v>
      </c>
      <c r="BH57" s="530">
        <v>613512.19999999995</v>
      </c>
      <c r="BI57" s="529">
        <v>773779</v>
      </c>
      <c r="BJ57" s="530">
        <v>500548.67999999993</v>
      </c>
      <c r="BK57" s="529">
        <v>794108</v>
      </c>
      <c r="BL57" s="530">
        <v>512919.13999999996</v>
      </c>
      <c r="BM57" s="529">
        <v>749078</v>
      </c>
      <c r="BN57" s="530">
        <v>486537</v>
      </c>
      <c r="BO57" s="529">
        <v>840592</v>
      </c>
      <c r="BP57" s="530">
        <v>541215.06000000006</v>
      </c>
      <c r="BQ57" s="529">
        <v>820396</v>
      </c>
      <c r="BR57" s="530">
        <v>529836.97000000009</v>
      </c>
      <c r="BS57" s="529">
        <v>868137</v>
      </c>
      <c r="BT57" s="530">
        <v>561678.62</v>
      </c>
      <c r="BU57" s="529">
        <v>864657</v>
      </c>
      <c r="BV57" s="530">
        <v>560913.68000000005</v>
      </c>
      <c r="BW57" s="529">
        <v>901641</v>
      </c>
      <c r="BX57" s="530">
        <v>583965.26</v>
      </c>
      <c r="BY57" s="529">
        <v>946416</v>
      </c>
      <c r="BZ57" s="530">
        <v>615351.65</v>
      </c>
      <c r="CA57" s="529">
        <v>917030</v>
      </c>
      <c r="CB57" s="530">
        <v>595835.02</v>
      </c>
      <c r="CC57" s="529">
        <v>1013431</v>
      </c>
      <c r="CD57" s="530">
        <v>662153.44000000006</v>
      </c>
      <c r="CE57" s="529">
        <f t="shared" si="15"/>
        <v>856819.27272727271</v>
      </c>
      <c r="CF57" s="530">
        <f t="shared" si="16"/>
        <v>554755.75272727269</v>
      </c>
      <c r="CG57" s="529">
        <v>869870.25</v>
      </c>
      <c r="CH57" s="530">
        <v>563705.55999999994</v>
      </c>
      <c r="CI57" s="531">
        <v>100</v>
      </c>
      <c r="CJ57" s="530"/>
      <c r="CK57" s="529">
        <v>965752</v>
      </c>
      <c r="CL57" s="530">
        <v>631832.88</v>
      </c>
      <c r="CM57" s="529">
        <v>818851</v>
      </c>
      <c r="CN57" s="530">
        <v>532828.48</v>
      </c>
      <c r="CO57" s="529">
        <v>1020554</v>
      </c>
      <c r="CP57" s="530">
        <v>677348.72</v>
      </c>
      <c r="CQ57" s="529">
        <v>803099</v>
      </c>
      <c r="CR57" s="530">
        <v>524612.25</v>
      </c>
      <c r="CS57" s="529">
        <v>888740</v>
      </c>
      <c r="CT57" s="530">
        <v>583181.49000000011</v>
      </c>
      <c r="CU57" s="529">
        <v>884247</v>
      </c>
      <c r="CV57" s="530">
        <v>578612.40000000014</v>
      </c>
      <c r="CW57" s="529">
        <f>CW56+CW54+CW52+CW47+CW44+CW39+CW34+CW26+CW24+CW21+CW15+CW12+CW8+CW5</f>
        <v>863703</v>
      </c>
      <c r="CX57" s="529">
        <f>CX56+CX54+CX52+CX47+CX44+CX39+CX34+CX26+CX24+CX21+CX15+CX12+CX8+CX5</f>
        <v>571258.18999999994</v>
      </c>
      <c r="CY57" s="529">
        <f>CY4+CY6+CY7+CY9+CY10+CY11+CY13+CY14+CY16+CY17+CY18+CY19+CY20+CY23+CY25+CY27+CY29+CY31+CY33+CY35+CY36+CY37+CY38+CY40+CY41+CY42+CY43+CY45+CY46+CY51+CY53+CY55</f>
        <v>848693</v>
      </c>
      <c r="CZ57" s="529">
        <f>CZ4+CZ6+CZ7+CZ9+CZ10+CZ11+CZ13+CZ14+CZ16+CZ17+CZ18+CZ19+CZ20+CZ23+CZ25+CZ27+CZ29+CZ31+CZ33+CZ35+CZ36+CZ37+CZ38+CZ40+CZ41+CZ42+CZ43+CZ45+CZ46+CZ51+CZ53+CZ55</f>
        <v>558733.8400000002</v>
      </c>
      <c r="DA57" s="529">
        <f>DA4+DA6+DA7+DA9+DA10+DA11+DA13+DA14+DA16+DA17+DA18+DA19+DA20+DA23+DA25+DA27+DA29+DA31+DA33+DA35+DA36+DA37+DA38+DA40+DA41+DA42+DA43+DA45+DA46+DA51+DA53+DA55</f>
        <v>866201</v>
      </c>
      <c r="DB57" s="529">
        <f>DB4+DB6+DB7+DB9+DB10+DB11+DB13+DB14+DB16+DB17+DB18+DB19+DB20+DB23+DB25+DB27+DB29+DB31+DB33+DB35+DB36+DB37+DB38+DB40+DB41+DB42+DB43+DB45+DB46+DB51+DB53+DB55</f>
        <v>583840.04</v>
      </c>
      <c r="DC57" s="529">
        <f t="shared" ref="DC57:DH57" si="111">DC4+DC6+DC7+DC9+DC10+DC11+DC13+DC14+DC16+DC17+DC18+DC19+DC20+DC23+DC25+DC27+DC29+DC31+DC33+DC35+DC36+DC37+DC38+DC40+DC41+DC42+DC43+DC45+DC46+DC51+DC53+DC55+DC48+DC49</f>
        <v>899036</v>
      </c>
      <c r="DD57" s="529">
        <f t="shared" si="111"/>
        <v>603753.98</v>
      </c>
      <c r="DE57" s="529">
        <f t="shared" si="111"/>
        <v>928681</v>
      </c>
      <c r="DF57" s="529">
        <f t="shared" si="111"/>
        <v>616783.96000000008</v>
      </c>
      <c r="DG57" s="529">
        <f t="shared" si="111"/>
        <v>956796</v>
      </c>
      <c r="DH57" s="529">
        <f t="shared" si="111"/>
        <v>636981.12</v>
      </c>
      <c r="DI57" s="532">
        <f t="shared" si="17"/>
        <v>10744353</v>
      </c>
      <c r="DJ57" s="532">
        <f t="shared" si="18"/>
        <v>7099767.3500000015</v>
      </c>
      <c r="DK57" s="532">
        <f>DK56+DK54+DK52+DK50+DK47+DK44+DK39+DK34+DK32+DK30+DK28+DK26+DK24+DK21+DK15+DK12+DK8+DK5</f>
        <v>892301.5</v>
      </c>
      <c r="DL57" s="666">
        <f>DL56+DL54+DL52+DL50+DL47+DL44+DL39+DL34+DL32+DL30+DL28+DL26+DL24+DL21+DL15+DL12+DL8+DL5</f>
        <v>582330.68000000005</v>
      </c>
      <c r="DM57" s="532">
        <f>DM56+DM54+DM52+DM50+DM47+DM44+DM39+DM34+DM32+DM30+DM28+DM26+DM24+DM21+DM15+DM12+DM8+DM5</f>
        <v>895362.74999999988</v>
      </c>
      <c r="DN57" s="666">
        <f>DN56+DN54+DN52+DN50+DN47+DN44+DN39+DN34+DN32+DN30+DN28+DN26+DN24+DN21+DN15+DN12+DN8+DN5</f>
        <v>591647.27916666667</v>
      </c>
      <c r="DO57" s="534">
        <f t="shared" ref="DO57:DO73" si="112">DN57/$DN$57%</f>
        <v>100</v>
      </c>
      <c r="DP57" s="532">
        <f>DP56+DP54+DP52+DP50+DP47+DP44+DP39+DP34+DP32+DP30+DP28+DP26+DP24+DP21+DP15+DP12+DP8+DP5</f>
        <v>822987</v>
      </c>
      <c r="DQ57" s="666">
        <f>DQ56+DQ54+DQ52+DQ50+DQ47+DQ44+DQ39+DQ34+DQ32+DQ30+DQ28+DQ26+DQ24+DQ21+DQ15+DQ12+DQ8+DQ5</f>
        <v>549147.6</v>
      </c>
      <c r="DR57" s="532">
        <f t="shared" ref="DR57:EP57" si="113">DR56+DR54+DR52+DR50+DR47+DR44+DR39+DR34+DR32+DR30+DR28+DR26+DR24+DR21+DR15+DR12+DR8+DR5</f>
        <v>729741</v>
      </c>
      <c r="DS57" s="666">
        <f t="shared" si="113"/>
        <v>486294.31999999995</v>
      </c>
      <c r="DT57" s="532">
        <f t="shared" si="113"/>
        <v>0</v>
      </c>
      <c r="DU57" s="666">
        <f t="shared" si="113"/>
        <v>0</v>
      </c>
      <c r="DV57" s="532">
        <f t="shared" si="113"/>
        <v>0</v>
      </c>
      <c r="DW57" s="666">
        <f t="shared" si="113"/>
        <v>0</v>
      </c>
      <c r="DX57" s="532">
        <f t="shared" si="113"/>
        <v>0</v>
      </c>
      <c r="DY57" s="666">
        <f t="shared" si="113"/>
        <v>0</v>
      </c>
      <c r="DZ57" s="532">
        <f t="shared" si="113"/>
        <v>0</v>
      </c>
      <c r="EA57" s="666">
        <f t="shared" si="113"/>
        <v>0</v>
      </c>
      <c r="EB57" s="532">
        <f t="shared" si="113"/>
        <v>0</v>
      </c>
      <c r="EC57" s="666">
        <f t="shared" si="113"/>
        <v>0</v>
      </c>
      <c r="ED57" s="532">
        <f t="shared" si="113"/>
        <v>0</v>
      </c>
      <c r="EE57" s="666">
        <f t="shared" si="113"/>
        <v>0</v>
      </c>
      <c r="EF57" s="532">
        <f t="shared" si="113"/>
        <v>0</v>
      </c>
      <c r="EG57" s="666">
        <f t="shared" si="113"/>
        <v>0</v>
      </c>
      <c r="EH57" s="532">
        <f t="shared" si="113"/>
        <v>0</v>
      </c>
      <c r="EI57" s="666">
        <f t="shared" si="113"/>
        <v>0</v>
      </c>
      <c r="EJ57" s="532">
        <f t="shared" si="113"/>
        <v>0</v>
      </c>
      <c r="EK57" s="666">
        <f t="shared" si="113"/>
        <v>0</v>
      </c>
      <c r="EL57" s="532">
        <f t="shared" si="113"/>
        <v>0</v>
      </c>
      <c r="EM57" s="666">
        <f t="shared" si="113"/>
        <v>0</v>
      </c>
      <c r="EN57" s="532">
        <f t="shared" si="113"/>
        <v>1552728</v>
      </c>
      <c r="EO57" s="666">
        <f t="shared" si="113"/>
        <v>1035441.9200000002</v>
      </c>
      <c r="EP57" s="532">
        <f t="shared" si="113"/>
        <v>776364</v>
      </c>
      <c r="EQ57" s="666">
        <f>EQ56+EQ54+EQ52+EQ50+EQ47+EQ44+EQ39+EQ34+EQ32+EQ30+EQ28+EQ26+EQ24+EQ21+EQ15+EQ12+EQ8+EQ5</f>
        <v>517720.96000000008</v>
      </c>
      <c r="ER57" s="533">
        <f t="shared" si="56"/>
        <v>100</v>
      </c>
      <c r="ES57" s="542">
        <f t="shared" si="7"/>
        <v>0</v>
      </c>
      <c r="ET57" s="593">
        <f t="shared" si="8"/>
        <v>-11.095022505082497</v>
      </c>
      <c r="EU57" s="593">
        <f t="shared" si="9"/>
        <v>-12.494998586115642</v>
      </c>
      <c r="EV57" s="542">
        <f t="shared" si="10"/>
        <v>-73926.319166666595</v>
      </c>
      <c r="EW57" s="529">
        <f t="shared" si="11"/>
        <v>-64609.719999999972</v>
      </c>
      <c r="EX57" s="542">
        <f t="shared" si="12"/>
        <v>-5280.4513690476142</v>
      </c>
      <c r="EY57" s="542">
        <f t="shared" si="13"/>
        <v>-4614.9799999999977</v>
      </c>
      <c r="EZ57" s="542">
        <f t="shared" si="14"/>
        <v>-9229.9599999999955</v>
      </c>
    </row>
    <row r="58" spans="1:156" hidden="1">
      <c r="A58" s="53"/>
      <c r="B58" s="54"/>
      <c r="C58" s="54"/>
      <c r="D58" s="54"/>
      <c r="E58" s="55"/>
      <c r="F58" s="55"/>
      <c r="G58" s="56"/>
      <c r="H58" s="57"/>
      <c r="I58" s="56"/>
      <c r="J58" s="57"/>
      <c r="K58" s="56"/>
      <c r="L58" s="57"/>
      <c r="M58" s="56"/>
      <c r="N58" s="57"/>
      <c r="O58" s="56"/>
      <c r="P58" s="57"/>
      <c r="Q58" s="56"/>
      <c r="R58" s="57"/>
      <c r="S58" s="56"/>
      <c r="T58" s="57"/>
      <c r="U58" s="56"/>
      <c r="V58" s="57"/>
      <c r="W58" s="56"/>
      <c r="X58" s="57"/>
      <c r="Y58" s="56"/>
      <c r="Z58" s="57"/>
      <c r="AA58" s="56"/>
      <c r="AB58" s="57"/>
      <c r="AC58" s="56"/>
      <c r="AD58" s="57"/>
      <c r="AE58" s="58"/>
      <c r="AF58" s="59"/>
      <c r="AG58" s="56"/>
      <c r="AH58" s="57"/>
      <c r="AI58" s="56"/>
      <c r="AJ58" s="57"/>
      <c r="AK58" s="56"/>
      <c r="AL58" s="57"/>
      <c r="AM58" s="56"/>
      <c r="AN58" s="57"/>
      <c r="AO58" s="56"/>
      <c r="AP58" s="57"/>
      <c r="AQ58" s="56"/>
      <c r="AR58" s="57"/>
      <c r="AS58" s="56"/>
      <c r="AT58" s="57"/>
      <c r="AU58" s="56"/>
      <c r="AV58" s="57"/>
      <c r="AW58" s="56"/>
      <c r="AX58" s="57"/>
      <c r="AY58" s="56"/>
      <c r="AZ58" s="57"/>
      <c r="BA58" s="56"/>
      <c r="BB58" s="57"/>
      <c r="BC58" s="56"/>
      <c r="BD58" s="57"/>
      <c r="BE58" s="58"/>
      <c r="BF58" s="59"/>
      <c r="BG58" s="56"/>
      <c r="BH58" s="57"/>
      <c r="BI58" s="56"/>
      <c r="BJ58" s="57"/>
      <c r="BK58" s="56"/>
      <c r="BL58" s="57"/>
      <c r="BM58" s="56"/>
      <c r="BN58" s="57"/>
      <c r="BO58" s="56"/>
      <c r="BP58" s="57"/>
      <c r="BQ58" s="56"/>
      <c r="BR58" s="57"/>
      <c r="BS58" s="56"/>
      <c r="BT58" s="57"/>
      <c r="BU58" s="56"/>
      <c r="BV58" s="57"/>
      <c r="BW58" s="56"/>
      <c r="BX58" s="57"/>
      <c r="BY58" s="56"/>
      <c r="BZ58" s="57"/>
      <c r="CA58" s="56"/>
      <c r="CB58" s="57"/>
      <c r="CC58" s="56"/>
      <c r="CD58" s="57"/>
      <c r="CE58" s="60">
        <f t="shared" si="15"/>
        <v>0</v>
      </c>
      <c r="CF58" s="57">
        <f t="shared" si="16"/>
        <v>0</v>
      </c>
      <c r="CG58" s="58"/>
      <c r="CH58" s="59"/>
      <c r="CI58" s="62"/>
      <c r="CJ58" s="62"/>
      <c r="CK58" s="61"/>
      <c r="CL58" s="57"/>
      <c r="CM58" s="61"/>
      <c r="CN58" s="62"/>
      <c r="CO58" s="61"/>
      <c r="CP58" s="62"/>
      <c r="CQ58" s="61"/>
      <c r="CR58" s="62"/>
      <c r="CS58" s="61"/>
      <c r="CT58" s="62"/>
      <c r="CU58" s="61"/>
      <c r="CV58" s="62"/>
      <c r="CW58" s="61"/>
      <c r="CX58" s="62"/>
      <c r="CY58" s="61"/>
      <c r="CZ58" s="62"/>
      <c r="DA58" s="61"/>
      <c r="DB58" s="62"/>
      <c r="DC58" s="61"/>
      <c r="DD58" s="62"/>
      <c r="DE58" s="61"/>
      <c r="DF58" s="62"/>
      <c r="DG58" s="61"/>
      <c r="DH58" s="62"/>
      <c r="DI58" s="63">
        <f t="shared" ref="DI58:DI73" si="114">CK58+CM58+CO58+CQ58+CS58+CU58+CW58+CY58+DA58+DC58+DE58+DG58</f>
        <v>0</v>
      </c>
      <c r="DJ58" s="63">
        <f t="shared" ref="DJ58:DJ73" si="115">CL58+CN58+CP58+CR58+CT58+CV58+CX58+CZ58+DB58+DD58+DF58+DH58</f>
        <v>0</v>
      </c>
      <c r="DK58" s="63"/>
      <c r="DL58" s="63"/>
      <c r="DM58" s="96">
        <f t="shared" ref="DM58:DM72" si="116">DI58/11</f>
        <v>0</v>
      </c>
      <c r="DN58" s="509">
        <f t="shared" ref="DN58:DN72" si="117">DJ58/11</f>
        <v>0</v>
      </c>
      <c r="DO58" s="97">
        <f t="shared" si="112"/>
        <v>0</v>
      </c>
      <c r="DP58" s="61"/>
      <c r="DQ58" s="57"/>
      <c r="DR58" s="61"/>
      <c r="DS58" s="62"/>
      <c r="DT58" s="61"/>
      <c r="DU58" s="62"/>
      <c r="DV58" s="61"/>
      <c r="DW58" s="62"/>
      <c r="DX58" s="61"/>
      <c r="DY58" s="62"/>
      <c r="DZ58" s="61"/>
      <c r="EA58" s="62"/>
      <c r="EB58" s="61"/>
      <c r="EC58" s="62"/>
      <c r="ED58" s="61"/>
      <c r="EE58" s="62"/>
      <c r="EF58" s="61"/>
      <c r="EG58" s="62"/>
      <c r="EH58" s="61"/>
      <c r="EI58" s="62"/>
      <c r="EJ58" s="61"/>
      <c r="EK58" s="62"/>
      <c r="EL58" s="61"/>
      <c r="EM58" s="62"/>
      <c r="EN58" s="63">
        <f t="shared" ref="EN58:EN73" si="118">DP58+DR58+DT58+DV58+DX58+DZ58+EB58+ED58+EF58+EH58+EJ58+EL58</f>
        <v>0</v>
      </c>
      <c r="EO58" s="63">
        <f t="shared" ref="EO58:EO73" si="119">DQ58+DS58+DU58+DW58+DY58+EA58+EC58+EE58+EG58+EI58+EK58+EM58</f>
        <v>0</v>
      </c>
      <c r="EP58" s="96">
        <f t="shared" ref="EP58:EP73" si="120">EN58/11</f>
        <v>0</v>
      </c>
      <c r="EQ58" s="509">
        <f t="shared" ref="EQ58:EQ73" si="121">EO58/11</f>
        <v>0</v>
      </c>
      <c r="ER58" s="516"/>
      <c r="ES58" s="115">
        <v>0</v>
      </c>
      <c r="ET58" s="116" t="e">
        <v>#DIV/0!</v>
      </c>
      <c r="EU58" s="116" t="e">
        <v>#DIV/0!</v>
      </c>
      <c r="EZ58" s="99">
        <f t="shared" ref="EZ58:EZ72" si="122">EY58*11</f>
        <v>0</v>
      </c>
    </row>
    <row r="59" spans="1:156" hidden="1">
      <c r="A59" s="7">
        <v>109</v>
      </c>
      <c r="B59" s="8" t="s">
        <v>46</v>
      </c>
      <c r="C59" s="8" t="s">
        <v>14</v>
      </c>
      <c r="D59" s="7">
        <v>0.7</v>
      </c>
      <c r="E59" s="7" t="s">
        <v>15</v>
      </c>
      <c r="F59" s="7">
        <v>4500</v>
      </c>
      <c r="G59" s="9">
        <v>360</v>
      </c>
      <c r="H59" s="10">
        <v>251.99999999999997</v>
      </c>
      <c r="I59" s="9">
        <v>221</v>
      </c>
      <c r="J59" s="10">
        <v>154.69999999999999</v>
      </c>
      <c r="K59" s="9">
        <v>718</v>
      </c>
      <c r="L59" s="10">
        <v>502.59999999999997</v>
      </c>
      <c r="M59" s="9">
        <v>566</v>
      </c>
      <c r="N59" s="10">
        <v>396.2</v>
      </c>
      <c r="O59" s="9">
        <v>240</v>
      </c>
      <c r="P59" s="10">
        <v>168</v>
      </c>
      <c r="Q59" s="9">
        <v>69</v>
      </c>
      <c r="R59" s="10">
        <v>48.3</v>
      </c>
      <c r="S59" s="9">
        <v>195</v>
      </c>
      <c r="T59" s="10">
        <v>136.5</v>
      </c>
      <c r="U59" s="9">
        <v>131</v>
      </c>
      <c r="V59" s="10">
        <v>91.699999999999989</v>
      </c>
      <c r="W59" s="9">
        <v>84</v>
      </c>
      <c r="X59" s="10">
        <v>58.8</v>
      </c>
      <c r="Y59" s="9">
        <v>81</v>
      </c>
      <c r="Z59" s="10">
        <v>56.699999999999996</v>
      </c>
      <c r="AA59" s="9">
        <v>95</v>
      </c>
      <c r="AB59" s="10">
        <v>66.5</v>
      </c>
      <c r="AC59" s="9">
        <v>432</v>
      </c>
      <c r="AD59" s="10">
        <v>302.39999999999998</v>
      </c>
      <c r="AE59" s="11">
        <v>266</v>
      </c>
      <c r="AF59" s="12">
        <v>186.2</v>
      </c>
      <c r="AG59" s="9">
        <v>209</v>
      </c>
      <c r="AH59" s="10">
        <v>146.29999999999998</v>
      </c>
      <c r="AI59" s="9">
        <v>392</v>
      </c>
      <c r="AJ59" s="10">
        <v>274.39999999999998</v>
      </c>
      <c r="AK59" s="9">
        <v>72</v>
      </c>
      <c r="AL59" s="10">
        <v>50.4</v>
      </c>
      <c r="AM59" s="9">
        <v>128</v>
      </c>
      <c r="AN59" s="10">
        <v>89.6</v>
      </c>
      <c r="AO59" s="9">
        <v>49</v>
      </c>
      <c r="AP59" s="10">
        <v>34.299999999999997</v>
      </c>
      <c r="AQ59" s="9">
        <v>311</v>
      </c>
      <c r="AR59" s="10">
        <v>217.7</v>
      </c>
      <c r="AS59" s="9">
        <v>71</v>
      </c>
      <c r="AT59" s="10">
        <v>49.699999999999996</v>
      </c>
      <c r="AU59" s="9">
        <v>60</v>
      </c>
      <c r="AV59" s="10">
        <v>42</v>
      </c>
      <c r="AW59" s="9">
        <v>33</v>
      </c>
      <c r="AX59" s="10">
        <v>23.099999999999998</v>
      </c>
      <c r="AY59" s="9">
        <v>75</v>
      </c>
      <c r="AZ59" s="10">
        <v>52.5</v>
      </c>
      <c r="BA59" s="9">
        <v>18</v>
      </c>
      <c r="BB59" s="10">
        <v>12.6</v>
      </c>
      <c r="BC59" s="9">
        <v>54</v>
      </c>
      <c r="BD59" s="10">
        <v>37.799999999999997</v>
      </c>
      <c r="BE59" s="11">
        <v>122.66666666666667</v>
      </c>
      <c r="BF59" s="12">
        <v>85.86666666666666</v>
      </c>
      <c r="BG59" s="9">
        <v>36</v>
      </c>
      <c r="BH59" s="10">
        <v>25.2</v>
      </c>
      <c r="BI59" s="9">
        <v>24</v>
      </c>
      <c r="BJ59" s="10">
        <v>16.799999999999997</v>
      </c>
      <c r="BK59" s="9">
        <v>48</v>
      </c>
      <c r="BL59" s="10">
        <v>33.599999999999994</v>
      </c>
      <c r="BM59" s="9"/>
      <c r="BN59" s="10">
        <v>0</v>
      </c>
      <c r="BO59" s="9"/>
      <c r="BP59" s="10">
        <v>0</v>
      </c>
      <c r="BQ59" s="9"/>
      <c r="BR59" s="10">
        <v>0</v>
      </c>
      <c r="BS59" s="9">
        <v>1</v>
      </c>
      <c r="BT59" s="10">
        <v>0.7</v>
      </c>
      <c r="BU59" s="9">
        <v>27</v>
      </c>
      <c r="BV59" s="10">
        <v>18.899999999999999</v>
      </c>
      <c r="BW59" s="9">
        <v>1</v>
      </c>
      <c r="BX59" s="10">
        <v>0.7</v>
      </c>
      <c r="BY59" s="9">
        <v>1</v>
      </c>
      <c r="BZ59" s="10">
        <v>0.7</v>
      </c>
      <c r="CA59" s="9">
        <v>4</v>
      </c>
      <c r="CB59" s="10">
        <v>2.8</v>
      </c>
      <c r="CC59" s="9">
        <v>1</v>
      </c>
      <c r="CD59" s="10">
        <v>0.7</v>
      </c>
      <c r="CE59" s="19">
        <f t="shared" si="15"/>
        <v>12.909090909090908</v>
      </c>
      <c r="CF59" s="10">
        <f t="shared" si="16"/>
        <v>9.0363636363636353</v>
      </c>
      <c r="CG59" s="11">
        <v>11.916666666666666</v>
      </c>
      <c r="CH59" s="12">
        <v>8.341666666666665</v>
      </c>
      <c r="CI59" s="15"/>
      <c r="CJ59" s="15"/>
      <c r="CK59" s="14"/>
      <c r="CL59" s="10">
        <v>0</v>
      </c>
      <c r="CM59" s="14"/>
      <c r="CN59" s="15">
        <v>0</v>
      </c>
      <c r="CO59" s="14"/>
      <c r="CP59" s="15">
        <v>0</v>
      </c>
      <c r="CQ59" s="14"/>
      <c r="CR59" s="15">
        <v>0</v>
      </c>
      <c r="CS59" s="14"/>
      <c r="CT59" s="15">
        <v>0</v>
      </c>
      <c r="CU59" s="14"/>
      <c r="CV59" s="15">
        <v>0</v>
      </c>
      <c r="CW59" s="14"/>
      <c r="CX59" s="15">
        <v>0</v>
      </c>
      <c r="CY59" s="14"/>
      <c r="CZ59" s="15">
        <v>0</v>
      </c>
      <c r="DA59" s="14"/>
      <c r="DB59" s="15">
        <v>0</v>
      </c>
      <c r="DC59" s="14"/>
      <c r="DD59" s="15">
        <v>0</v>
      </c>
      <c r="DE59" s="14"/>
      <c r="DF59" s="15">
        <v>0</v>
      </c>
      <c r="DG59" s="14"/>
      <c r="DH59" s="15">
        <v>0</v>
      </c>
      <c r="DI59" s="16">
        <f t="shared" si="114"/>
        <v>0</v>
      </c>
      <c r="DJ59" s="16">
        <f t="shared" si="115"/>
        <v>0</v>
      </c>
      <c r="DK59" s="16"/>
      <c r="DL59" s="16"/>
      <c r="DM59" s="68">
        <f t="shared" si="116"/>
        <v>0</v>
      </c>
      <c r="DN59" s="294">
        <f t="shared" si="117"/>
        <v>0</v>
      </c>
      <c r="DO59" s="69">
        <f t="shared" si="112"/>
        <v>0</v>
      </c>
      <c r="DP59" s="14"/>
      <c r="DQ59" s="10">
        <v>0</v>
      </c>
      <c r="DR59" s="14"/>
      <c r="DS59" s="15">
        <v>0</v>
      </c>
      <c r="DT59" s="14"/>
      <c r="DU59" s="15">
        <v>0</v>
      </c>
      <c r="DV59" s="14"/>
      <c r="DW59" s="15">
        <v>0</v>
      </c>
      <c r="DX59" s="14"/>
      <c r="DY59" s="15">
        <v>0</v>
      </c>
      <c r="DZ59" s="14"/>
      <c r="EA59" s="15">
        <v>0</v>
      </c>
      <c r="EB59" s="14"/>
      <c r="EC59" s="15">
        <v>0</v>
      </c>
      <c r="ED59" s="14"/>
      <c r="EE59" s="15">
        <v>0</v>
      </c>
      <c r="EF59" s="14"/>
      <c r="EG59" s="15">
        <v>0</v>
      </c>
      <c r="EH59" s="14"/>
      <c r="EI59" s="15">
        <v>0</v>
      </c>
      <c r="EJ59" s="14"/>
      <c r="EK59" s="15">
        <v>0</v>
      </c>
      <c r="EL59" s="14"/>
      <c r="EM59" s="15">
        <v>0</v>
      </c>
      <c r="EN59" s="16">
        <f t="shared" si="118"/>
        <v>0</v>
      </c>
      <c r="EO59" s="16">
        <f t="shared" si="119"/>
        <v>0</v>
      </c>
      <c r="EP59" s="68">
        <f t="shared" si="120"/>
        <v>0</v>
      </c>
      <c r="EQ59" s="294">
        <f t="shared" si="121"/>
        <v>0</v>
      </c>
      <c r="ER59" s="517"/>
      <c r="ES59" s="88">
        <v>0</v>
      </c>
      <c r="ET59" s="89">
        <v>-100</v>
      </c>
      <c r="EU59" s="89">
        <v>-100</v>
      </c>
      <c r="EZ59" s="71">
        <f t="shared" si="122"/>
        <v>0</v>
      </c>
    </row>
    <row r="60" spans="1:156" hidden="1">
      <c r="A60" s="7">
        <v>110</v>
      </c>
      <c r="B60" s="8" t="s">
        <v>47</v>
      </c>
      <c r="C60" s="8" t="s">
        <v>14</v>
      </c>
      <c r="D60" s="7">
        <v>0.35</v>
      </c>
      <c r="E60" s="7" t="s">
        <v>18</v>
      </c>
      <c r="F60" s="7">
        <v>2300</v>
      </c>
      <c r="G60" s="9">
        <v>72</v>
      </c>
      <c r="H60" s="10">
        <v>25.2</v>
      </c>
      <c r="I60" s="9">
        <v>6</v>
      </c>
      <c r="J60" s="10">
        <v>2.0999999999999996</v>
      </c>
      <c r="K60" s="9"/>
      <c r="L60" s="10">
        <v>0</v>
      </c>
      <c r="M60" s="9">
        <v>144</v>
      </c>
      <c r="N60" s="10">
        <v>50.4</v>
      </c>
      <c r="O60" s="9">
        <v>34</v>
      </c>
      <c r="P60" s="10">
        <v>11.899999999999999</v>
      </c>
      <c r="Q60" s="9">
        <v>6</v>
      </c>
      <c r="R60" s="10">
        <v>2.0999999999999996</v>
      </c>
      <c r="S60" s="9">
        <v>24</v>
      </c>
      <c r="T60" s="10">
        <v>8.3999999999999986</v>
      </c>
      <c r="U60" s="9">
        <v>48</v>
      </c>
      <c r="V60" s="10">
        <v>16.799999999999997</v>
      </c>
      <c r="W60" s="9">
        <v>24</v>
      </c>
      <c r="X60" s="10">
        <v>8.3999999999999986</v>
      </c>
      <c r="Y60" s="9"/>
      <c r="Z60" s="10">
        <v>0</v>
      </c>
      <c r="AA60" s="9"/>
      <c r="AB60" s="10">
        <v>0</v>
      </c>
      <c r="AC60" s="9"/>
      <c r="AD60" s="10">
        <v>0</v>
      </c>
      <c r="AE60" s="11">
        <v>29.833333333333332</v>
      </c>
      <c r="AF60" s="12">
        <v>10.441666666666666</v>
      </c>
      <c r="AG60" s="9">
        <v>102</v>
      </c>
      <c r="AH60" s="10">
        <v>35.699999999999996</v>
      </c>
      <c r="AI60" s="9">
        <v>6</v>
      </c>
      <c r="AJ60" s="10">
        <v>2.0999999999999996</v>
      </c>
      <c r="AK60" s="9"/>
      <c r="AL60" s="10">
        <v>0</v>
      </c>
      <c r="AM60" s="9">
        <v>1</v>
      </c>
      <c r="AN60" s="10">
        <v>0.35</v>
      </c>
      <c r="AO60" s="9"/>
      <c r="AP60" s="10">
        <v>0</v>
      </c>
      <c r="AQ60" s="9"/>
      <c r="AR60" s="10">
        <v>0</v>
      </c>
      <c r="AS60" s="9"/>
      <c r="AT60" s="10">
        <v>0</v>
      </c>
      <c r="AU60" s="9"/>
      <c r="AV60" s="10">
        <v>0</v>
      </c>
      <c r="AW60" s="9"/>
      <c r="AX60" s="10">
        <v>0</v>
      </c>
      <c r="AY60" s="9">
        <v>12</v>
      </c>
      <c r="AZ60" s="10">
        <v>4.1999999999999993</v>
      </c>
      <c r="BA60" s="9">
        <v>12</v>
      </c>
      <c r="BB60" s="10">
        <v>4.1999999999999993</v>
      </c>
      <c r="BC60" s="9">
        <v>48</v>
      </c>
      <c r="BD60" s="10">
        <v>16.799999999999997</v>
      </c>
      <c r="BE60" s="11">
        <v>15.083333333333334</v>
      </c>
      <c r="BF60" s="12">
        <v>5.2791666666666668</v>
      </c>
      <c r="BG60" s="9">
        <v>48</v>
      </c>
      <c r="BH60" s="10">
        <v>16.799999999999997</v>
      </c>
      <c r="BI60" s="9">
        <v>28</v>
      </c>
      <c r="BJ60" s="10">
        <v>9.7999999999999989</v>
      </c>
      <c r="BK60" s="9">
        <v>112</v>
      </c>
      <c r="BL60" s="10">
        <v>39.199999999999996</v>
      </c>
      <c r="BM60" s="9"/>
      <c r="BN60" s="10">
        <v>0</v>
      </c>
      <c r="BO60" s="9"/>
      <c r="BP60" s="10">
        <v>0</v>
      </c>
      <c r="BQ60" s="9"/>
      <c r="BR60" s="10">
        <v>0</v>
      </c>
      <c r="BS60" s="9"/>
      <c r="BT60" s="10">
        <v>0</v>
      </c>
      <c r="BU60" s="9">
        <v>48</v>
      </c>
      <c r="BV60" s="10">
        <v>16.799999999999997</v>
      </c>
      <c r="BW60" s="9"/>
      <c r="BX60" s="10">
        <v>0</v>
      </c>
      <c r="BY60" s="9"/>
      <c r="BZ60" s="10">
        <v>0</v>
      </c>
      <c r="CA60" s="9">
        <v>1</v>
      </c>
      <c r="CB60" s="10">
        <v>0.35</v>
      </c>
      <c r="CC60" s="9">
        <v>10</v>
      </c>
      <c r="CD60" s="10">
        <v>3.5</v>
      </c>
      <c r="CE60" s="19">
        <f t="shared" si="15"/>
        <v>21.545454545454547</v>
      </c>
      <c r="CF60" s="10">
        <f t="shared" si="16"/>
        <v>7.5409090909090883</v>
      </c>
      <c r="CG60" s="11">
        <v>20.583333333333332</v>
      </c>
      <c r="CH60" s="12">
        <v>7.2041666666666657</v>
      </c>
      <c r="CI60" s="15"/>
      <c r="CJ60" s="15"/>
      <c r="CK60" s="14"/>
      <c r="CL60" s="10">
        <v>0</v>
      </c>
      <c r="CM60" s="14"/>
      <c r="CN60" s="15">
        <v>0</v>
      </c>
      <c r="CO60" s="14"/>
      <c r="CP60" s="15">
        <v>0</v>
      </c>
      <c r="CQ60" s="14"/>
      <c r="CR60" s="15">
        <v>0</v>
      </c>
      <c r="CS60" s="14"/>
      <c r="CT60" s="15">
        <v>0</v>
      </c>
      <c r="CU60" s="14"/>
      <c r="CV60" s="15">
        <v>0</v>
      </c>
      <c r="CW60" s="14"/>
      <c r="CX60" s="15">
        <v>0</v>
      </c>
      <c r="CY60" s="14"/>
      <c r="CZ60" s="15">
        <v>0</v>
      </c>
      <c r="DA60" s="14"/>
      <c r="DB60" s="15">
        <v>0</v>
      </c>
      <c r="DC60" s="14"/>
      <c r="DD60" s="15">
        <v>0</v>
      </c>
      <c r="DE60" s="14"/>
      <c r="DF60" s="15">
        <v>0</v>
      </c>
      <c r="DG60" s="14"/>
      <c r="DH60" s="15">
        <v>0</v>
      </c>
      <c r="DI60" s="16">
        <f t="shared" si="114"/>
        <v>0</v>
      </c>
      <c r="DJ60" s="16">
        <f t="shared" si="115"/>
        <v>0</v>
      </c>
      <c r="DK60" s="16"/>
      <c r="DL60" s="16"/>
      <c r="DM60" s="68">
        <f t="shared" si="116"/>
        <v>0</v>
      </c>
      <c r="DN60" s="294">
        <f t="shared" si="117"/>
        <v>0</v>
      </c>
      <c r="DO60" s="69">
        <f t="shared" si="112"/>
        <v>0</v>
      </c>
      <c r="DP60" s="14"/>
      <c r="DQ60" s="10">
        <v>0</v>
      </c>
      <c r="DR60" s="14"/>
      <c r="DS60" s="15">
        <v>0</v>
      </c>
      <c r="DT60" s="14"/>
      <c r="DU60" s="15">
        <v>0</v>
      </c>
      <c r="DV60" s="14"/>
      <c r="DW60" s="15">
        <v>0</v>
      </c>
      <c r="DX60" s="14"/>
      <c r="DY60" s="15">
        <v>0</v>
      </c>
      <c r="DZ60" s="14"/>
      <c r="EA60" s="15">
        <v>0</v>
      </c>
      <c r="EB60" s="14"/>
      <c r="EC60" s="15">
        <v>0</v>
      </c>
      <c r="ED60" s="14"/>
      <c r="EE60" s="15">
        <v>0</v>
      </c>
      <c r="EF60" s="14"/>
      <c r="EG60" s="15">
        <v>0</v>
      </c>
      <c r="EH60" s="14"/>
      <c r="EI60" s="15">
        <v>0</v>
      </c>
      <c r="EJ60" s="14"/>
      <c r="EK60" s="15">
        <v>0</v>
      </c>
      <c r="EL60" s="14"/>
      <c r="EM60" s="15">
        <v>0</v>
      </c>
      <c r="EN60" s="16">
        <f t="shared" si="118"/>
        <v>0</v>
      </c>
      <c r="EO60" s="16">
        <f t="shared" si="119"/>
        <v>0</v>
      </c>
      <c r="EP60" s="68">
        <f t="shared" si="120"/>
        <v>0</v>
      </c>
      <c r="EQ60" s="294">
        <f t="shared" si="121"/>
        <v>0</v>
      </c>
      <c r="ER60" s="517"/>
      <c r="ES60" s="88">
        <v>0</v>
      </c>
      <c r="ET60" s="89">
        <v>-100</v>
      </c>
      <c r="EU60" s="89">
        <v>-100</v>
      </c>
      <c r="EZ60" s="71">
        <f t="shared" si="122"/>
        <v>0</v>
      </c>
    </row>
    <row r="61" spans="1:156" hidden="1">
      <c r="A61" s="7">
        <v>111</v>
      </c>
      <c r="B61" s="8" t="s">
        <v>48</v>
      </c>
      <c r="C61" s="8" t="s">
        <v>14</v>
      </c>
      <c r="D61" s="7">
        <v>0.17499999999999999</v>
      </c>
      <c r="E61" s="7" t="s">
        <v>49</v>
      </c>
      <c r="F61" s="7">
        <v>1300</v>
      </c>
      <c r="G61" s="9"/>
      <c r="H61" s="10">
        <v>0</v>
      </c>
      <c r="I61" s="9"/>
      <c r="J61" s="10">
        <v>0</v>
      </c>
      <c r="K61" s="9"/>
      <c r="L61" s="10">
        <v>0</v>
      </c>
      <c r="M61" s="9"/>
      <c r="N61" s="10">
        <v>0</v>
      </c>
      <c r="O61" s="9"/>
      <c r="P61" s="10">
        <v>0</v>
      </c>
      <c r="Q61" s="9"/>
      <c r="R61" s="10">
        <v>0</v>
      </c>
      <c r="S61" s="9"/>
      <c r="T61" s="10">
        <v>0</v>
      </c>
      <c r="U61" s="9"/>
      <c r="V61" s="10">
        <v>0</v>
      </c>
      <c r="W61" s="9"/>
      <c r="X61" s="10">
        <v>0</v>
      </c>
      <c r="Y61" s="9"/>
      <c r="Z61" s="10">
        <v>0</v>
      </c>
      <c r="AA61" s="9"/>
      <c r="AB61" s="10">
        <v>0</v>
      </c>
      <c r="AC61" s="9"/>
      <c r="AD61" s="10">
        <v>0</v>
      </c>
      <c r="AE61" s="11">
        <v>0</v>
      </c>
      <c r="AF61" s="12">
        <v>0</v>
      </c>
      <c r="AG61" s="9"/>
      <c r="AH61" s="10">
        <v>0</v>
      </c>
      <c r="AI61" s="9"/>
      <c r="AJ61" s="10">
        <v>0</v>
      </c>
      <c r="AK61" s="9"/>
      <c r="AL61" s="10">
        <v>0</v>
      </c>
      <c r="AM61" s="9"/>
      <c r="AN61" s="10">
        <v>0</v>
      </c>
      <c r="AO61" s="9"/>
      <c r="AP61" s="10">
        <v>0</v>
      </c>
      <c r="AQ61" s="9"/>
      <c r="AR61" s="10">
        <v>0</v>
      </c>
      <c r="AS61" s="9"/>
      <c r="AT61" s="10">
        <v>0</v>
      </c>
      <c r="AU61" s="9"/>
      <c r="AV61" s="10">
        <v>0</v>
      </c>
      <c r="AW61" s="9"/>
      <c r="AX61" s="10">
        <v>0</v>
      </c>
      <c r="AY61" s="9"/>
      <c r="AZ61" s="10">
        <v>0</v>
      </c>
      <c r="BA61" s="9"/>
      <c r="BB61" s="10">
        <v>0</v>
      </c>
      <c r="BC61" s="9"/>
      <c r="BD61" s="10">
        <v>0</v>
      </c>
      <c r="BE61" s="11">
        <v>0</v>
      </c>
      <c r="BF61" s="12">
        <v>0</v>
      </c>
      <c r="BG61" s="9"/>
      <c r="BH61" s="10">
        <v>0</v>
      </c>
      <c r="BI61" s="9">
        <v>55</v>
      </c>
      <c r="BJ61" s="10">
        <v>9.625</v>
      </c>
      <c r="BK61" s="9">
        <v>270</v>
      </c>
      <c r="BL61" s="10">
        <v>47.25</v>
      </c>
      <c r="BM61" s="9"/>
      <c r="BN61" s="10">
        <v>0</v>
      </c>
      <c r="BO61" s="9"/>
      <c r="BP61" s="10">
        <v>0</v>
      </c>
      <c r="BQ61" s="9"/>
      <c r="BR61" s="10">
        <v>0</v>
      </c>
      <c r="BS61" s="9"/>
      <c r="BT61" s="10">
        <v>0</v>
      </c>
      <c r="BU61" s="9"/>
      <c r="BV61" s="10">
        <v>0</v>
      </c>
      <c r="BW61" s="9"/>
      <c r="BX61" s="10">
        <v>0</v>
      </c>
      <c r="BY61" s="9"/>
      <c r="BZ61" s="10">
        <v>0</v>
      </c>
      <c r="CA61" s="9"/>
      <c r="CB61" s="10">
        <v>0</v>
      </c>
      <c r="CC61" s="9"/>
      <c r="CD61" s="10">
        <v>0</v>
      </c>
      <c r="CE61" s="19">
        <f t="shared" si="15"/>
        <v>29.545454545454547</v>
      </c>
      <c r="CF61" s="10">
        <f t="shared" si="16"/>
        <v>5.1704545454545459</v>
      </c>
      <c r="CG61" s="11">
        <v>27.083333333333332</v>
      </c>
      <c r="CH61" s="12">
        <v>4.739583333333333</v>
      </c>
      <c r="CI61" s="15"/>
      <c r="CJ61" s="15"/>
      <c r="CK61" s="14"/>
      <c r="CL61" s="10">
        <v>0</v>
      </c>
      <c r="CM61" s="14"/>
      <c r="CN61" s="15">
        <v>0</v>
      </c>
      <c r="CO61" s="14"/>
      <c r="CP61" s="15">
        <v>0</v>
      </c>
      <c r="CQ61" s="14"/>
      <c r="CR61" s="15">
        <v>0</v>
      </c>
      <c r="CS61" s="14"/>
      <c r="CT61" s="15">
        <v>0</v>
      </c>
      <c r="CU61" s="14"/>
      <c r="CV61" s="15">
        <v>0</v>
      </c>
      <c r="CW61" s="14"/>
      <c r="CX61" s="15">
        <v>0</v>
      </c>
      <c r="CY61" s="14"/>
      <c r="CZ61" s="15">
        <v>0</v>
      </c>
      <c r="DA61" s="14"/>
      <c r="DB61" s="15">
        <v>0</v>
      </c>
      <c r="DC61" s="14"/>
      <c r="DD61" s="15">
        <v>0</v>
      </c>
      <c r="DE61" s="14"/>
      <c r="DF61" s="15">
        <v>0</v>
      </c>
      <c r="DG61" s="14"/>
      <c r="DH61" s="15">
        <v>0</v>
      </c>
      <c r="DI61" s="16">
        <f t="shared" si="114"/>
        <v>0</v>
      </c>
      <c r="DJ61" s="16">
        <f t="shared" si="115"/>
        <v>0</v>
      </c>
      <c r="DK61" s="16"/>
      <c r="DL61" s="16"/>
      <c r="DM61" s="68">
        <f t="shared" si="116"/>
        <v>0</v>
      </c>
      <c r="DN61" s="294">
        <f t="shared" si="117"/>
        <v>0</v>
      </c>
      <c r="DO61" s="69">
        <f t="shared" si="112"/>
        <v>0</v>
      </c>
      <c r="DP61" s="14"/>
      <c r="DQ61" s="10">
        <v>0</v>
      </c>
      <c r="DR61" s="14"/>
      <c r="DS61" s="15">
        <v>0</v>
      </c>
      <c r="DT61" s="14"/>
      <c r="DU61" s="15">
        <v>0</v>
      </c>
      <c r="DV61" s="14"/>
      <c r="DW61" s="15">
        <v>0</v>
      </c>
      <c r="DX61" s="14"/>
      <c r="DY61" s="15">
        <v>0</v>
      </c>
      <c r="DZ61" s="14"/>
      <c r="EA61" s="15">
        <v>0</v>
      </c>
      <c r="EB61" s="14"/>
      <c r="EC61" s="15">
        <v>0</v>
      </c>
      <c r="ED61" s="14"/>
      <c r="EE61" s="15">
        <v>0</v>
      </c>
      <c r="EF61" s="14"/>
      <c r="EG61" s="15">
        <v>0</v>
      </c>
      <c r="EH61" s="14"/>
      <c r="EI61" s="15">
        <v>0</v>
      </c>
      <c r="EJ61" s="14"/>
      <c r="EK61" s="15">
        <v>0</v>
      </c>
      <c r="EL61" s="14"/>
      <c r="EM61" s="15">
        <v>0</v>
      </c>
      <c r="EN61" s="16">
        <f t="shared" si="118"/>
        <v>0</v>
      </c>
      <c r="EO61" s="16">
        <f t="shared" si="119"/>
        <v>0</v>
      </c>
      <c r="EP61" s="68">
        <f t="shared" si="120"/>
        <v>0</v>
      </c>
      <c r="EQ61" s="294">
        <f t="shared" si="121"/>
        <v>0</v>
      </c>
      <c r="ER61" s="517"/>
      <c r="ES61" s="88">
        <v>0</v>
      </c>
      <c r="ET61" s="89">
        <v>-100</v>
      </c>
      <c r="EU61" s="89">
        <v>-100</v>
      </c>
      <c r="EZ61" s="71">
        <f t="shared" si="122"/>
        <v>0</v>
      </c>
    </row>
    <row r="62" spans="1:156" hidden="1">
      <c r="A62" s="7">
        <v>112</v>
      </c>
      <c r="B62" s="8" t="s">
        <v>50</v>
      </c>
      <c r="C62" s="8" t="s">
        <v>14</v>
      </c>
      <c r="D62" s="7">
        <v>0.7</v>
      </c>
      <c r="E62" s="7" t="s">
        <v>15</v>
      </c>
      <c r="F62" s="7">
        <v>5200</v>
      </c>
      <c r="G62" s="9">
        <v>8306</v>
      </c>
      <c r="H62" s="10">
        <v>5814.2</v>
      </c>
      <c r="I62" s="9">
        <v>1847</v>
      </c>
      <c r="J62" s="10">
        <v>1292.8999999999999</v>
      </c>
      <c r="K62" s="9">
        <v>2348</v>
      </c>
      <c r="L62" s="10">
        <v>1643.6</v>
      </c>
      <c r="M62" s="9">
        <v>5341</v>
      </c>
      <c r="N62" s="10">
        <v>3738.7</v>
      </c>
      <c r="O62" s="9">
        <v>1829</v>
      </c>
      <c r="P62" s="10">
        <v>1280.3</v>
      </c>
      <c r="Q62" s="9">
        <v>1932</v>
      </c>
      <c r="R62" s="10">
        <v>1352.3999999999999</v>
      </c>
      <c r="S62" s="9">
        <v>2389</v>
      </c>
      <c r="T62" s="10">
        <v>1672.3</v>
      </c>
      <c r="U62" s="9">
        <v>1652</v>
      </c>
      <c r="V62" s="10">
        <v>1156.3999999999999</v>
      </c>
      <c r="W62" s="9">
        <v>906</v>
      </c>
      <c r="X62" s="10">
        <v>634.19999999999993</v>
      </c>
      <c r="Y62" s="9">
        <v>977</v>
      </c>
      <c r="Z62" s="10">
        <v>683.9</v>
      </c>
      <c r="AA62" s="9">
        <v>1059</v>
      </c>
      <c r="AB62" s="10">
        <v>741.3</v>
      </c>
      <c r="AC62" s="9">
        <v>1318</v>
      </c>
      <c r="AD62" s="10">
        <v>922.59999999999991</v>
      </c>
      <c r="AE62" s="11">
        <v>2492</v>
      </c>
      <c r="AF62" s="12">
        <v>1744.3999999999999</v>
      </c>
      <c r="AG62" s="9">
        <v>1243</v>
      </c>
      <c r="AH62" s="10">
        <v>870.09999999999991</v>
      </c>
      <c r="AI62" s="9">
        <v>972</v>
      </c>
      <c r="AJ62" s="10">
        <v>680.4</v>
      </c>
      <c r="AK62" s="9">
        <v>910</v>
      </c>
      <c r="AL62" s="10">
        <v>637</v>
      </c>
      <c r="AM62" s="9">
        <v>759</v>
      </c>
      <c r="AN62" s="10">
        <v>531.29999999999995</v>
      </c>
      <c r="AO62" s="9">
        <v>837</v>
      </c>
      <c r="AP62" s="10">
        <v>585.9</v>
      </c>
      <c r="AQ62" s="9">
        <v>559</v>
      </c>
      <c r="AR62" s="10">
        <v>391.29999999999995</v>
      </c>
      <c r="AS62" s="9">
        <v>616</v>
      </c>
      <c r="AT62" s="10">
        <v>431.2</v>
      </c>
      <c r="AU62" s="9">
        <v>671</v>
      </c>
      <c r="AV62" s="10">
        <v>469.7</v>
      </c>
      <c r="AW62" s="9">
        <v>625</v>
      </c>
      <c r="AX62" s="10">
        <v>437.5</v>
      </c>
      <c r="AY62" s="9">
        <v>439</v>
      </c>
      <c r="AZ62" s="10">
        <v>307.29999999999995</v>
      </c>
      <c r="BA62" s="9">
        <v>471</v>
      </c>
      <c r="BB62" s="10">
        <v>329.7</v>
      </c>
      <c r="BC62" s="9">
        <v>1158</v>
      </c>
      <c r="BD62" s="10">
        <v>810.59999999999991</v>
      </c>
      <c r="BE62" s="11">
        <v>771.66666666666663</v>
      </c>
      <c r="BF62" s="12">
        <v>540.16666666666663</v>
      </c>
      <c r="BG62" s="9">
        <v>588</v>
      </c>
      <c r="BH62" s="10">
        <v>411.59999999999997</v>
      </c>
      <c r="BI62" s="9">
        <v>956</v>
      </c>
      <c r="BJ62" s="10">
        <v>669.19999999999993</v>
      </c>
      <c r="BK62" s="9">
        <v>967</v>
      </c>
      <c r="BL62" s="10">
        <v>676.9</v>
      </c>
      <c r="BM62" s="9">
        <v>516</v>
      </c>
      <c r="BN62" s="10">
        <v>361.2</v>
      </c>
      <c r="BO62" s="9">
        <v>220</v>
      </c>
      <c r="BP62" s="10">
        <v>154</v>
      </c>
      <c r="BQ62" s="9">
        <v>623</v>
      </c>
      <c r="BR62" s="10">
        <v>436.09999999999997</v>
      </c>
      <c r="BS62" s="9">
        <v>657</v>
      </c>
      <c r="BT62" s="10">
        <v>459.9</v>
      </c>
      <c r="BU62" s="9">
        <v>291</v>
      </c>
      <c r="BV62" s="10">
        <v>203.7</v>
      </c>
      <c r="BW62" s="9">
        <v>228</v>
      </c>
      <c r="BX62" s="10">
        <v>159.6</v>
      </c>
      <c r="BY62" s="9">
        <v>450</v>
      </c>
      <c r="BZ62" s="10">
        <v>315</v>
      </c>
      <c r="CA62" s="9">
        <v>234</v>
      </c>
      <c r="CB62" s="10">
        <v>163.79999999999998</v>
      </c>
      <c r="CC62" s="9">
        <v>90</v>
      </c>
      <c r="CD62" s="10">
        <v>62.999999999999993</v>
      </c>
      <c r="CE62" s="19">
        <f t="shared" si="15"/>
        <v>520.90909090909088</v>
      </c>
      <c r="CF62" s="10">
        <f t="shared" si="16"/>
        <v>364.63636363636357</v>
      </c>
      <c r="CG62" s="11">
        <v>485</v>
      </c>
      <c r="CH62" s="12">
        <v>339.5</v>
      </c>
      <c r="CI62" s="15"/>
      <c r="CJ62" s="15"/>
      <c r="CK62" s="14">
        <v>61</v>
      </c>
      <c r="CL62" s="10">
        <v>42.699999999999996</v>
      </c>
      <c r="CM62" s="14">
        <v>78</v>
      </c>
      <c r="CN62" s="15">
        <v>54.599999999999994</v>
      </c>
      <c r="CO62" s="14">
        <v>12</v>
      </c>
      <c r="CP62" s="15">
        <v>8.3999999999999986</v>
      </c>
      <c r="CQ62" s="14">
        <v>54</v>
      </c>
      <c r="CR62" s="15">
        <v>37.799999999999997</v>
      </c>
      <c r="CS62" s="14">
        <v>42</v>
      </c>
      <c r="CT62" s="15">
        <v>29.4</v>
      </c>
      <c r="CU62" s="14"/>
      <c r="CV62" s="15">
        <v>0</v>
      </c>
      <c r="CW62" s="14"/>
      <c r="CX62" s="15">
        <v>0</v>
      </c>
      <c r="CY62" s="14"/>
      <c r="CZ62" s="15">
        <v>0</v>
      </c>
      <c r="DA62" s="14"/>
      <c r="DB62" s="15">
        <v>0</v>
      </c>
      <c r="DC62" s="14"/>
      <c r="DD62" s="15">
        <v>0</v>
      </c>
      <c r="DE62" s="14"/>
      <c r="DF62" s="15">
        <v>0</v>
      </c>
      <c r="DG62" s="14"/>
      <c r="DH62" s="15">
        <v>0</v>
      </c>
      <c r="DI62" s="16">
        <f t="shared" si="114"/>
        <v>247</v>
      </c>
      <c r="DJ62" s="16">
        <f t="shared" si="115"/>
        <v>172.9</v>
      </c>
      <c r="DK62" s="16"/>
      <c r="DL62" s="16"/>
      <c r="DM62" s="68">
        <f t="shared" si="116"/>
        <v>22.454545454545453</v>
      </c>
      <c r="DN62" s="294">
        <f t="shared" si="117"/>
        <v>15.718181818181819</v>
      </c>
      <c r="DO62" s="69">
        <f t="shared" si="112"/>
        <v>2.6566811631958871E-3</v>
      </c>
      <c r="DP62" s="14">
        <v>61</v>
      </c>
      <c r="DQ62" s="10">
        <v>42.699999999999996</v>
      </c>
      <c r="DR62" s="14">
        <v>78</v>
      </c>
      <c r="DS62" s="15">
        <v>54.599999999999994</v>
      </c>
      <c r="DT62" s="14">
        <v>12</v>
      </c>
      <c r="DU62" s="15">
        <v>8.3999999999999986</v>
      </c>
      <c r="DV62" s="14">
        <v>54</v>
      </c>
      <c r="DW62" s="15">
        <v>37.799999999999997</v>
      </c>
      <c r="DX62" s="14">
        <v>42</v>
      </c>
      <c r="DY62" s="15">
        <v>29.4</v>
      </c>
      <c r="DZ62" s="14"/>
      <c r="EA62" s="15">
        <v>0</v>
      </c>
      <c r="EB62" s="14"/>
      <c r="EC62" s="15">
        <v>0</v>
      </c>
      <c r="ED62" s="14"/>
      <c r="EE62" s="15">
        <v>0</v>
      </c>
      <c r="EF62" s="14"/>
      <c r="EG62" s="15">
        <v>0</v>
      </c>
      <c r="EH62" s="14"/>
      <c r="EI62" s="15">
        <v>0</v>
      </c>
      <c r="EJ62" s="14"/>
      <c r="EK62" s="15">
        <v>0</v>
      </c>
      <c r="EL62" s="14"/>
      <c r="EM62" s="15">
        <v>0</v>
      </c>
      <c r="EN62" s="16">
        <f t="shared" si="118"/>
        <v>247</v>
      </c>
      <c r="EO62" s="16">
        <f t="shared" si="119"/>
        <v>172.9</v>
      </c>
      <c r="EP62" s="68">
        <f t="shared" si="120"/>
        <v>22.454545454545453</v>
      </c>
      <c r="EQ62" s="294">
        <f t="shared" si="121"/>
        <v>15.718181818181819</v>
      </c>
      <c r="ER62" s="517"/>
      <c r="ES62" s="88">
        <v>0</v>
      </c>
      <c r="ET62" s="89">
        <v>-100</v>
      </c>
      <c r="EU62" s="89">
        <v>-100</v>
      </c>
      <c r="EZ62" s="71">
        <f t="shared" si="122"/>
        <v>0</v>
      </c>
    </row>
    <row r="63" spans="1:156" hidden="1">
      <c r="A63" s="7">
        <v>113</v>
      </c>
      <c r="B63" s="8" t="s">
        <v>51</v>
      </c>
      <c r="C63" s="8" t="s">
        <v>14</v>
      </c>
      <c r="D63" s="7">
        <v>0.35</v>
      </c>
      <c r="E63" s="7" t="s">
        <v>18</v>
      </c>
      <c r="F63" s="7">
        <v>2600</v>
      </c>
      <c r="G63" s="9">
        <v>8074</v>
      </c>
      <c r="H63" s="10">
        <v>2825.8999999999996</v>
      </c>
      <c r="I63" s="9">
        <v>3737</v>
      </c>
      <c r="J63" s="10">
        <v>1307.9499999999998</v>
      </c>
      <c r="K63" s="9">
        <v>3229</v>
      </c>
      <c r="L63" s="10">
        <v>1130.1499999999999</v>
      </c>
      <c r="M63" s="9">
        <v>15733</v>
      </c>
      <c r="N63" s="10">
        <v>5506.5499999999993</v>
      </c>
      <c r="O63" s="9">
        <v>2024</v>
      </c>
      <c r="P63" s="10">
        <v>708.4</v>
      </c>
      <c r="Q63" s="9">
        <v>2233</v>
      </c>
      <c r="R63" s="10">
        <v>781.55</v>
      </c>
      <c r="S63" s="9">
        <v>3481</v>
      </c>
      <c r="T63" s="10">
        <v>1218.3499999999999</v>
      </c>
      <c r="U63" s="9">
        <v>1781</v>
      </c>
      <c r="V63" s="10">
        <v>623.34999999999991</v>
      </c>
      <c r="W63" s="9">
        <v>1002</v>
      </c>
      <c r="X63" s="10">
        <v>350.7</v>
      </c>
      <c r="Y63" s="9">
        <v>1282</v>
      </c>
      <c r="Z63" s="10">
        <v>448.7</v>
      </c>
      <c r="AA63" s="9">
        <v>1233</v>
      </c>
      <c r="AB63" s="10">
        <v>431.54999999999995</v>
      </c>
      <c r="AC63" s="9">
        <v>2318</v>
      </c>
      <c r="AD63" s="10">
        <v>811.3</v>
      </c>
      <c r="AE63" s="11">
        <v>3843.9166666666665</v>
      </c>
      <c r="AF63" s="12">
        <v>1345.3708333333332</v>
      </c>
      <c r="AG63" s="9">
        <v>2052</v>
      </c>
      <c r="AH63" s="10">
        <v>718.19999999999993</v>
      </c>
      <c r="AI63" s="9">
        <v>1638</v>
      </c>
      <c r="AJ63" s="10">
        <v>573.29999999999995</v>
      </c>
      <c r="AK63" s="9">
        <v>925</v>
      </c>
      <c r="AL63" s="10">
        <v>323.75</v>
      </c>
      <c r="AM63" s="9">
        <v>1689</v>
      </c>
      <c r="AN63" s="10">
        <v>591.15</v>
      </c>
      <c r="AO63" s="9">
        <v>873</v>
      </c>
      <c r="AP63" s="10">
        <v>305.54999999999995</v>
      </c>
      <c r="AQ63" s="9">
        <v>858</v>
      </c>
      <c r="AR63" s="10">
        <v>300.29999999999995</v>
      </c>
      <c r="AS63" s="9">
        <v>644</v>
      </c>
      <c r="AT63" s="10">
        <v>225.39999999999998</v>
      </c>
      <c r="AU63" s="9">
        <v>1074</v>
      </c>
      <c r="AV63" s="10">
        <v>375.9</v>
      </c>
      <c r="AW63" s="9">
        <v>944</v>
      </c>
      <c r="AX63" s="10">
        <v>330.4</v>
      </c>
      <c r="AY63" s="9">
        <v>821</v>
      </c>
      <c r="AZ63" s="10">
        <v>287.34999999999997</v>
      </c>
      <c r="BA63" s="9">
        <v>688</v>
      </c>
      <c r="BB63" s="10">
        <v>240.79999999999998</v>
      </c>
      <c r="BC63" s="9">
        <v>1560</v>
      </c>
      <c r="BD63" s="10">
        <v>546</v>
      </c>
      <c r="BE63" s="11">
        <v>1147.1666666666667</v>
      </c>
      <c r="BF63" s="12">
        <v>401.50833333333333</v>
      </c>
      <c r="BG63" s="9">
        <v>792</v>
      </c>
      <c r="BH63" s="10">
        <v>277.2</v>
      </c>
      <c r="BI63" s="9">
        <v>647</v>
      </c>
      <c r="BJ63" s="10">
        <v>226.45</v>
      </c>
      <c r="BK63" s="9">
        <v>1040</v>
      </c>
      <c r="BL63" s="10">
        <v>364</v>
      </c>
      <c r="BM63" s="9">
        <v>691</v>
      </c>
      <c r="BN63" s="10">
        <v>241.85</v>
      </c>
      <c r="BO63" s="9">
        <v>386</v>
      </c>
      <c r="BP63" s="10">
        <v>135.1</v>
      </c>
      <c r="BQ63" s="9">
        <v>428</v>
      </c>
      <c r="BR63" s="10">
        <v>149.79999999999998</v>
      </c>
      <c r="BS63" s="9">
        <v>749</v>
      </c>
      <c r="BT63" s="10">
        <v>262.14999999999998</v>
      </c>
      <c r="BU63" s="9">
        <v>888</v>
      </c>
      <c r="BV63" s="10">
        <v>310.79999999999995</v>
      </c>
      <c r="BW63" s="9">
        <v>684</v>
      </c>
      <c r="BX63" s="10">
        <v>239.39999999999998</v>
      </c>
      <c r="BY63" s="9">
        <v>1092</v>
      </c>
      <c r="BZ63" s="10">
        <v>382.2</v>
      </c>
      <c r="CA63" s="9">
        <v>936</v>
      </c>
      <c r="CB63" s="10">
        <v>327.59999999999997</v>
      </c>
      <c r="CC63" s="9">
        <v>288</v>
      </c>
      <c r="CD63" s="10">
        <v>100.8</v>
      </c>
      <c r="CE63" s="19">
        <f t="shared" si="15"/>
        <v>757.5454545454545</v>
      </c>
      <c r="CF63" s="10">
        <f t="shared" si="16"/>
        <v>265.14090909090902</v>
      </c>
      <c r="CG63" s="11">
        <v>718.41666666666663</v>
      </c>
      <c r="CH63" s="12">
        <v>251.4458333333333</v>
      </c>
      <c r="CI63" s="15"/>
      <c r="CJ63" s="15"/>
      <c r="CK63" s="14">
        <v>96</v>
      </c>
      <c r="CL63" s="10">
        <v>33.599999999999994</v>
      </c>
      <c r="CM63" s="14">
        <v>432</v>
      </c>
      <c r="CN63" s="15">
        <v>151.19999999999999</v>
      </c>
      <c r="CO63" s="14">
        <v>168</v>
      </c>
      <c r="CP63" s="15">
        <v>58.8</v>
      </c>
      <c r="CQ63" s="14">
        <v>244</v>
      </c>
      <c r="CR63" s="15">
        <v>85.399999999999991</v>
      </c>
      <c r="CS63" s="14">
        <v>246</v>
      </c>
      <c r="CT63" s="15">
        <v>86.1</v>
      </c>
      <c r="CU63" s="14"/>
      <c r="CV63" s="15">
        <v>0</v>
      </c>
      <c r="CW63" s="14"/>
      <c r="CX63" s="15">
        <v>0</v>
      </c>
      <c r="CY63" s="14"/>
      <c r="CZ63" s="15">
        <v>0</v>
      </c>
      <c r="DA63" s="14"/>
      <c r="DB63" s="15">
        <v>0</v>
      </c>
      <c r="DC63" s="14"/>
      <c r="DD63" s="15">
        <v>0</v>
      </c>
      <c r="DE63" s="14"/>
      <c r="DF63" s="15">
        <v>0</v>
      </c>
      <c r="DG63" s="14"/>
      <c r="DH63" s="15">
        <v>0</v>
      </c>
      <c r="DI63" s="16">
        <f t="shared" si="114"/>
        <v>1186</v>
      </c>
      <c r="DJ63" s="16">
        <f t="shared" si="115"/>
        <v>415.09999999999991</v>
      </c>
      <c r="DK63" s="16"/>
      <c r="DL63" s="16"/>
      <c r="DM63" s="68">
        <f t="shared" si="116"/>
        <v>107.81818181818181</v>
      </c>
      <c r="DN63" s="294">
        <f t="shared" si="117"/>
        <v>37.736363636363627</v>
      </c>
      <c r="DO63" s="69">
        <f t="shared" si="112"/>
        <v>6.3781859505067234E-3</v>
      </c>
      <c r="DP63" s="14">
        <v>96</v>
      </c>
      <c r="DQ63" s="10">
        <v>33.599999999999994</v>
      </c>
      <c r="DR63" s="14">
        <v>432</v>
      </c>
      <c r="DS63" s="15">
        <v>151.19999999999999</v>
      </c>
      <c r="DT63" s="14">
        <v>168</v>
      </c>
      <c r="DU63" s="15">
        <v>58.8</v>
      </c>
      <c r="DV63" s="14">
        <v>244</v>
      </c>
      <c r="DW63" s="15">
        <v>85.399999999999991</v>
      </c>
      <c r="DX63" s="14">
        <v>246</v>
      </c>
      <c r="DY63" s="15">
        <v>86.1</v>
      </c>
      <c r="DZ63" s="14"/>
      <c r="EA63" s="15">
        <v>0</v>
      </c>
      <c r="EB63" s="14"/>
      <c r="EC63" s="15">
        <v>0</v>
      </c>
      <c r="ED63" s="14"/>
      <c r="EE63" s="15">
        <v>0</v>
      </c>
      <c r="EF63" s="14"/>
      <c r="EG63" s="15">
        <v>0</v>
      </c>
      <c r="EH63" s="14"/>
      <c r="EI63" s="15">
        <v>0</v>
      </c>
      <c r="EJ63" s="14"/>
      <c r="EK63" s="15">
        <v>0</v>
      </c>
      <c r="EL63" s="14"/>
      <c r="EM63" s="15">
        <v>0</v>
      </c>
      <c r="EN63" s="16">
        <f t="shared" si="118"/>
        <v>1186</v>
      </c>
      <c r="EO63" s="16">
        <f t="shared" si="119"/>
        <v>415.09999999999991</v>
      </c>
      <c r="EP63" s="68">
        <f t="shared" si="120"/>
        <v>107.81818181818181</v>
      </c>
      <c r="EQ63" s="294">
        <f t="shared" si="121"/>
        <v>37.736363636363627</v>
      </c>
      <c r="ER63" s="517"/>
      <c r="ES63" s="88">
        <v>0</v>
      </c>
      <c r="ET63" s="89">
        <v>-100</v>
      </c>
      <c r="EU63" s="89">
        <v>-100</v>
      </c>
      <c r="EZ63" s="71">
        <f t="shared" si="122"/>
        <v>0</v>
      </c>
    </row>
    <row r="64" spans="1:156" hidden="1">
      <c r="A64" s="7">
        <v>114</v>
      </c>
      <c r="B64" s="8" t="s">
        <v>52</v>
      </c>
      <c r="C64" s="8" t="s">
        <v>14</v>
      </c>
      <c r="D64" s="7">
        <v>0.17499999999999999</v>
      </c>
      <c r="E64" s="7" t="s">
        <v>49</v>
      </c>
      <c r="F64" s="7">
        <v>1450</v>
      </c>
      <c r="G64" s="9">
        <v>2394</v>
      </c>
      <c r="H64" s="10">
        <v>418.95</v>
      </c>
      <c r="I64" s="9">
        <v>970</v>
      </c>
      <c r="J64" s="10">
        <v>169.75</v>
      </c>
      <c r="K64" s="9">
        <v>814</v>
      </c>
      <c r="L64" s="10">
        <v>142.44999999999999</v>
      </c>
      <c r="M64" s="9">
        <v>10591</v>
      </c>
      <c r="N64" s="10">
        <v>1853.425</v>
      </c>
      <c r="O64" s="9">
        <v>948</v>
      </c>
      <c r="P64" s="10">
        <v>165.89999999999998</v>
      </c>
      <c r="Q64" s="9">
        <v>1330</v>
      </c>
      <c r="R64" s="10">
        <v>232.74999999999997</v>
      </c>
      <c r="S64" s="9">
        <v>703</v>
      </c>
      <c r="T64" s="10">
        <v>123.02499999999999</v>
      </c>
      <c r="U64" s="9">
        <v>542</v>
      </c>
      <c r="V64" s="10">
        <v>94.85</v>
      </c>
      <c r="W64" s="9">
        <v>357</v>
      </c>
      <c r="X64" s="10">
        <v>62.474999999999994</v>
      </c>
      <c r="Y64" s="9">
        <v>429</v>
      </c>
      <c r="Z64" s="10">
        <v>75.074999999999989</v>
      </c>
      <c r="AA64" s="9">
        <v>370</v>
      </c>
      <c r="AB64" s="10">
        <v>64.75</v>
      </c>
      <c r="AC64" s="9">
        <v>335</v>
      </c>
      <c r="AD64" s="10">
        <v>58.624999999999993</v>
      </c>
      <c r="AE64" s="11">
        <v>1648.5833333333333</v>
      </c>
      <c r="AF64" s="12">
        <v>288.5020833333333</v>
      </c>
      <c r="AG64" s="9">
        <v>838</v>
      </c>
      <c r="AH64" s="10">
        <v>146.64999999999998</v>
      </c>
      <c r="AI64" s="9">
        <v>532</v>
      </c>
      <c r="AJ64" s="10">
        <v>93.1</v>
      </c>
      <c r="AK64" s="9">
        <v>158</v>
      </c>
      <c r="AL64" s="10">
        <v>27.65</v>
      </c>
      <c r="AM64" s="9">
        <v>492</v>
      </c>
      <c r="AN64" s="10">
        <v>86.1</v>
      </c>
      <c r="AO64" s="9">
        <v>227</v>
      </c>
      <c r="AP64" s="10">
        <v>39.724999999999994</v>
      </c>
      <c r="AQ64" s="9">
        <v>272</v>
      </c>
      <c r="AR64" s="10">
        <v>47.599999999999994</v>
      </c>
      <c r="AS64" s="9">
        <v>245</v>
      </c>
      <c r="AT64" s="10">
        <v>42.875</v>
      </c>
      <c r="AU64" s="9">
        <v>197</v>
      </c>
      <c r="AV64" s="10">
        <v>34.474999999999994</v>
      </c>
      <c r="AW64" s="9">
        <v>392</v>
      </c>
      <c r="AX64" s="10">
        <v>68.599999999999994</v>
      </c>
      <c r="AY64" s="9">
        <v>940</v>
      </c>
      <c r="AZ64" s="10">
        <v>164.5</v>
      </c>
      <c r="BA64" s="9">
        <v>160</v>
      </c>
      <c r="BB64" s="10">
        <v>28</v>
      </c>
      <c r="BC64" s="9">
        <v>2595</v>
      </c>
      <c r="BD64" s="10">
        <v>454.12499999999994</v>
      </c>
      <c r="BE64" s="11">
        <v>587.33333333333337</v>
      </c>
      <c r="BF64" s="12">
        <v>102.78333333333333</v>
      </c>
      <c r="BG64" s="9">
        <v>48</v>
      </c>
      <c r="BH64" s="10">
        <v>8.3999999999999986</v>
      </c>
      <c r="BI64" s="9">
        <v>268</v>
      </c>
      <c r="BJ64" s="10">
        <v>46.9</v>
      </c>
      <c r="BK64" s="9">
        <v>520</v>
      </c>
      <c r="BL64" s="10">
        <v>91</v>
      </c>
      <c r="BM64" s="9">
        <v>526</v>
      </c>
      <c r="BN64" s="10">
        <v>92.05</v>
      </c>
      <c r="BO64" s="9">
        <v>234</v>
      </c>
      <c r="BP64" s="10">
        <v>40.949999999999996</v>
      </c>
      <c r="BQ64" s="9">
        <v>437</v>
      </c>
      <c r="BR64" s="10">
        <v>76.474999999999994</v>
      </c>
      <c r="BS64" s="9">
        <v>118</v>
      </c>
      <c r="BT64" s="10">
        <v>20.65</v>
      </c>
      <c r="BU64" s="9">
        <v>612</v>
      </c>
      <c r="BV64" s="10">
        <v>107.1</v>
      </c>
      <c r="BW64" s="9">
        <v>294</v>
      </c>
      <c r="BX64" s="10">
        <v>51.449999999999996</v>
      </c>
      <c r="BY64" s="9">
        <v>237</v>
      </c>
      <c r="BZ64" s="10">
        <v>41.474999999999994</v>
      </c>
      <c r="CA64" s="9">
        <v>258</v>
      </c>
      <c r="CB64" s="10">
        <v>45.15</v>
      </c>
      <c r="CC64" s="9">
        <v>12</v>
      </c>
      <c r="CD64" s="10">
        <v>2.0999999999999996</v>
      </c>
      <c r="CE64" s="19">
        <f t="shared" si="15"/>
        <v>322.90909090909093</v>
      </c>
      <c r="CF64" s="10">
        <f t="shared" si="16"/>
        <v>56.509090909090908</v>
      </c>
      <c r="CG64" s="11">
        <v>297</v>
      </c>
      <c r="CH64" s="12">
        <v>51.974999999999994</v>
      </c>
      <c r="CI64" s="15"/>
      <c r="CJ64" s="15"/>
      <c r="CK64" s="14">
        <v>240</v>
      </c>
      <c r="CL64" s="10">
        <v>42</v>
      </c>
      <c r="CM64" s="14">
        <v>30</v>
      </c>
      <c r="CN64" s="15">
        <v>5.25</v>
      </c>
      <c r="CO64" s="14"/>
      <c r="CP64" s="15">
        <v>0</v>
      </c>
      <c r="CQ64" s="14">
        <v>22</v>
      </c>
      <c r="CR64" s="15">
        <v>3.8499999999999996</v>
      </c>
      <c r="CS64" s="14">
        <v>211</v>
      </c>
      <c r="CT64" s="15">
        <v>36.924999999999997</v>
      </c>
      <c r="CU64" s="14"/>
      <c r="CV64" s="15">
        <v>0</v>
      </c>
      <c r="CW64" s="14"/>
      <c r="CX64" s="15">
        <v>0</v>
      </c>
      <c r="CY64" s="14"/>
      <c r="CZ64" s="15">
        <v>0</v>
      </c>
      <c r="DA64" s="14"/>
      <c r="DB64" s="15">
        <v>0</v>
      </c>
      <c r="DC64" s="14"/>
      <c r="DD64" s="15">
        <v>0</v>
      </c>
      <c r="DE64" s="14"/>
      <c r="DF64" s="15">
        <v>0</v>
      </c>
      <c r="DG64" s="14"/>
      <c r="DH64" s="15">
        <v>0</v>
      </c>
      <c r="DI64" s="16">
        <f t="shared" si="114"/>
        <v>503</v>
      </c>
      <c r="DJ64" s="16">
        <f t="shared" si="115"/>
        <v>88.025000000000006</v>
      </c>
      <c r="DK64" s="16"/>
      <c r="DL64" s="16"/>
      <c r="DM64" s="68">
        <f t="shared" si="116"/>
        <v>45.727272727272727</v>
      </c>
      <c r="DN64" s="294">
        <f t="shared" si="117"/>
        <v>8.002272727272727</v>
      </c>
      <c r="DO64" s="69">
        <f t="shared" si="112"/>
        <v>1.3525411185096468E-3</v>
      </c>
      <c r="DP64" s="14">
        <v>240</v>
      </c>
      <c r="DQ64" s="10">
        <v>42</v>
      </c>
      <c r="DR64" s="14">
        <v>30</v>
      </c>
      <c r="DS64" s="15">
        <v>5.25</v>
      </c>
      <c r="DT64" s="14"/>
      <c r="DU64" s="15">
        <v>0</v>
      </c>
      <c r="DV64" s="14">
        <v>22</v>
      </c>
      <c r="DW64" s="15">
        <v>3.8499999999999996</v>
      </c>
      <c r="DX64" s="14">
        <v>211</v>
      </c>
      <c r="DY64" s="15">
        <v>36.924999999999997</v>
      </c>
      <c r="DZ64" s="14"/>
      <c r="EA64" s="15">
        <v>0</v>
      </c>
      <c r="EB64" s="14"/>
      <c r="EC64" s="15">
        <v>0</v>
      </c>
      <c r="ED64" s="14"/>
      <c r="EE64" s="15">
        <v>0</v>
      </c>
      <c r="EF64" s="14"/>
      <c r="EG64" s="15">
        <v>0</v>
      </c>
      <c r="EH64" s="14"/>
      <c r="EI64" s="15">
        <v>0</v>
      </c>
      <c r="EJ64" s="14"/>
      <c r="EK64" s="15">
        <v>0</v>
      </c>
      <c r="EL64" s="14"/>
      <c r="EM64" s="15">
        <v>0</v>
      </c>
      <c r="EN64" s="16">
        <f t="shared" si="118"/>
        <v>503</v>
      </c>
      <c r="EO64" s="16">
        <f t="shared" si="119"/>
        <v>88.025000000000006</v>
      </c>
      <c r="EP64" s="68">
        <f t="shared" si="120"/>
        <v>45.727272727272727</v>
      </c>
      <c r="EQ64" s="294">
        <f t="shared" si="121"/>
        <v>8.002272727272727</v>
      </c>
      <c r="ER64" s="517"/>
      <c r="ES64" s="88">
        <v>0</v>
      </c>
      <c r="ET64" s="89">
        <v>-100</v>
      </c>
      <c r="EU64" s="89">
        <v>-100</v>
      </c>
      <c r="EZ64" s="71">
        <f t="shared" si="122"/>
        <v>0</v>
      </c>
    </row>
    <row r="65" spans="1:156" hidden="1">
      <c r="A65" s="7">
        <v>115</v>
      </c>
      <c r="B65" s="8" t="s">
        <v>53</v>
      </c>
      <c r="C65" s="8" t="s">
        <v>14</v>
      </c>
      <c r="D65" s="7">
        <v>0.7</v>
      </c>
      <c r="E65" s="7" t="s">
        <v>15</v>
      </c>
      <c r="F65" s="7"/>
      <c r="G65" s="9">
        <v>10</v>
      </c>
      <c r="H65" s="10">
        <v>7</v>
      </c>
      <c r="I65" s="9"/>
      <c r="J65" s="10">
        <v>0</v>
      </c>
      <c r="K65" s="9">
        <v>60</v>
      </c>
      <c r="L65" s="10">
        <v>42</v>
      </c>
      <c r="M65" s="9">
        <v>60</v>
      </c>
      <c r="N65" s="10">
        <v>42</v>
      </c>
      <c r="O65" s="9"/>
      <c r="P65" s="10">
        <v>0</v>
      </c>
      <c r="Q65" s="9">
        <v>60</v>
      </c>
      <c r="R65" s="10">
        <v>42</v>
      </c>
      <c r="S65" s="9">
        <v>38</v>
      </c>
      <c r="T65" s="10">
        <v>26.599999999999998</v>
      </c>
      <c r="U65" s="9">
        <v>180</v>
      </c>
      <c r="V65" s="10">
        <v>125.99999999999999</v>
      </c>
      <c r="W65" s="9"/>
      <c r="X65" s="10">
        <v>0</v>
      </c>
      <c r="Y65" s="9">
        <v>60</v>
      </c>
      <c r="Z65" s="10">
        <v>42</v>
      </c>
      <c r="AA65" s="9">
        <v>132</v>
      </c>
      <c r="AB65" s="10">
        <v>92.399999999999991</v>
      </c>
      <c r="AC65" s="9">
        <v>156</v>
      </c>
      <c r="AD65" s="10">
        <v>109.19999999999999</v>
      </c>
      <c r="AE65" s="11">
        <v>63</v>
      </c>
      <c r="AF65" s="12">
        <v>44.099999999999994</v>
      </c>
      <c r="AG65" s="9">
        <v>84</v>
      </c>
      <c r="AH65" s="10">
        <v>58.8</v>
      </c>
      <c r="AI65" s="9">
        <v>216</v>
      </c>
      <c r="AJ65" s="10">
        <v>151.19999999999999</v>
      </c>
      <c r="AK65" s="9">
        <v>36</v>
      </c>
      <c r="AL65" s="10">
        <v>25.2</v>
      </c>
      <c r="AM65" s="9">
        <v>96</v>
      </c>
      <c r="AN65" s="10">
        <v>67.199999999999989</v>
      </c>
      <c r="AO65" s="9">
        <v>96</v>
      </c>
      <c r="AP65" s="10">
        <v>67.199999999999989</v>
      </c>
      <c r="AQ65" s="9">
        <v>96</v>
      </c>
      <c r="AR65" s="10">
        <v>67.199999999999989</v>
      </c>
      <c r="AS65" s="9">
        <v>156</v>
      </c>
      <c r="AT65" s="10">
        <v>109.19999999999999</v>
      </c>
      <c r="AU65" s="9">
        <v>120</v>
      </c>
      <c r="AV65" s="10">
        <v>84</v>
      </c>
      <c r="AW65" s="9">
        <v>228</v>
      </c>
      <c r="AX65" s="10">
        <v>159.6</v>
      </c>
      <c r="AY65" s="9">
        <v>180</v>
      </c>
      <c r="AZ65" s="10">
        <v>125.99999999999999</v>
      </c>
      <c r="BA65" s="9">
        <v>216</v>
      </c>
      <c r="BB65" s="10">
        <v>151.19999999999999</v>
      </c>
      <c r="BC65" s="9">
        <v>540</v>
      </c>
      <c r="BD65" s="10">
        <v>378</v>
      </c>
      <c r="BE65" s="11">
        <v>172</v>
      </c>
      <c r="BF65" s="12">
        <v>120.39999999999999</v>
      </c>
      <c r="BG65" s="9">
        <v>240</v>
      </c>
      <c r="BH65" s="10">
        <v>168</v>
      </c>
      <c r="BI65" s="9">
        <v>228</v>
      </c>
      <c r="BJ65" s="10">
        <v>159.6</v>
      </c>
      <c r="BK65" s="9">
        <v>384</v>
      </c>
      <c r="BL65" s="10">
        <v>268.79999999999995</v>
      </c>
      <c r="BM65" s="9">
        <v>180</v>
      </c>
      <c r="BN65" s="10">
        <v>125.99999999999999</v>
      </c>
      <c r="BO65" s="9">
        <v>228</v>
      </c>
      <c r="BP65" s="10">
        <v>159.6</v>
      </c>
      <c r="BQ65" s="9">
        <v>144</v>
      </c>
      <c r="BR65" s="10">
        <v>100.8</v>
      </c>
      <c r="BS65" s="9">
        <v>504</v>
      </c>
      <c r="BT65" s="10">
        <v>352.79999999999995</v>
      </c>
      <c r="BU65" s="9">
        <v>408</v>
      </c>
      <c r="BV65" s="10">
        <v>285.59999999999997</v>
      </c>
      <c r="BW65" s="9"/>
      <c r="BX65" s="10">
        <v>0</v>
      </c>
      <c r="BY65" s="9"/>
      <c r="BZ65" s="10">
        <v>0</v>
      </c>
      <c r="CA65" s="9"/>
      <c r="CB65" s="10">
        <v>0</v>
      </c>
      <c r="CC65" s="9"/>
      <c r="CD65" s="10">
        <v>0</v>
      </c>
      <c r="CE65" s="19">
        <f t="shared" si="15"/>
        <v>210.54545454545453</v>
      </c>
      <c r="CF65" s="10">
        <f t="shared" si="16"/>
        <v>147.38181818181818</v>
      </c>
      <c r="CG65" s="11">
        <v>193</v>
      </c>
      <c r="CH65" s="12">
        <v>135.1</v>
      </c>
      <c r="CI65" s="15"/>
      <c r="CJ65" s="15"/>
      <c r="CK65" s="14"/>
      <c r="CL65" s="10">
        <v>0</v>
      </c>
      <c r="CM65" s="14"/>
      <c r="CN65" s="15">
        <v>0</v>
      </c>
      <c r="CO65" s="14"/>
      <c r="CP65" s="15">
        <v>0</v>
      </c>
      <c r="CQ65" s="14"/>
      <c r="CR65" s="15">
        <v>0</v>
      </c>
      <c r="CS65" s="14"/>
      <c r="CT65" s="15">
        <v>0</v>
      </c>
      <c r="CU65" s="14"/>
      <c r="CV65" s="15">
        <v>0</v>
      </c>
      <c r="CW65" s="14"/>
      <c r="CX65" s="15">
        <v>0</v>
      </c>
      <c r="CY65" s="14"/>
      <c r="CZ65" s="15">
        <v>0</v>
      </c>
      <c r="DA65" s="14"/>
      <c r="DB65" s="15">
        <v>0</v>
      </c>
      <c r="DC65" s="14"/>
      <c r="DD65" s="15">
        <v>0</v>
      </c>
      <c r="DE65" s="14"/>
      <c r="DF65" s="15">
        <v>0</v>
      </c>
      <c r="DG65" s="14"/>
      <c r="DH65" s="15">
        <v>0</v>
      </c>
      <c r="DI65" s="16">
        <f t="shared" si="114"/>
        <v>0</v>
      </c>
      <c r="DJ65" s="16">
        <f t="shared" si="115"/>
        <v>0</v>
      </c>
      <c r="DK65" s="16"/>
      <c r="DL65" s="16"/>
      <c r="DM65" s="68">
        <f t="shared" si="116"/>
        <v>0</v>
      </c>
      <c r="DN65" s="294">
        <f t="shared" si="117"/>
        <v>0</v>
      </c>
      <c r="DO65" s="69">
        <f t="shared" si="112"/>
        <v>0</v>
      </c>
      <c r="DP65" s="14"/>
      <c r="DQ65" s="10">
        <v>0</v>
      </c>
      <c r="DR65" s="14"/>
      <c r="DS65" s="15">
        <v>0</v>
      </c>
      <c r="DT65" s="14"/>
      <c r="DU65" s="15">
        <v>0</v>
      </c>
      <c r="DV65" s="14"/>
      <c r="DW65" s="15">
        <v>0</v>
      </c>
      <c r="DX65" s="14"/>
      <c r="DY65" s="15">
        <v>0</v>
      </c>
      <c r="DZ65" s="14"/>
      <c r="EA65" s="15">
        <v>0</v>
      </c>
      <c r="EB65" s="14"/>
      <c r="EC65" s="15">
        <v>0</v>
      </c>
      <c r="ED65" s="14"/>
      <c r="EE65" s="15">
        <v>0</v>
      </c>
      <c r="EF65" s="14"/>
      <c r="EG65" s="15">
        <v>0</v>
      </c>
      <c r="EH65" s="14"/>
      <c r="EI65" s="15">
        <v>0</v>
      </c>
      <c r="EJ65" s="14"/>
      <c r="EK65" s="15">
        <v>0</v>
      </c>
      <c r="EL65" s="14"/>
      <c r="EM65" s="15">
        <v>0</v>
      </c>
      <c r="EN65" s="16">
        <f t="shared" si="118"/>
        <v>0</v>
      </c>
      <c r="EO65" s="16">
        <f t="shared" si="119"/>
        <v>0</v>
      </c>
      <c r="EP65" s="68">
        <f t="shared" si="120"/>
        <v>0</v>
      </c>
      <c r="EQ65" s="294">
        <f t="shared" si="121"/>
        <v>0</v>
      </c>
      <c r="ER65" s="517"/>
      <c r="ES65" s="88">
        <v>0</v>
      </c>
      <c r="ET65" s="89">
        <v>-100</v>
      </c>
      <c r="EU65" s="89">
        <v>-100</v>
      </c>
      <c r="EZ65" s="71">
        <f t="shared" si="122"/>
        <v>0</v>
      </c>
    </row>
    <row r="66" spans="1:156" hidden="1">
      <c r="A66" s="7">
        <v>116</v>
      </c>
      <c r="B66" s="8" t="s">
        <v>54</v>
      </c>
      <c r="C66" s="8" t="s">
        <v>14</v>
      </c>
      <c r="D66" s="7">
        <v>0.7</v>
      </c>
      <c r="E66" s="7" t="s">
        <v>15</v>
      </c>
      <c r="F66" s="7"/>
      <c r="G66" s="9"/>
      <c r="H66" s="10">
        <v>0</v>
      </c>
      <c r="I66" s="9"/>
      <c r="J66" s="10">
        <v>0</v>
      </c>
      <c r="K66" s="9"/>
      <c r="L66" s="10">
        <v>0</v>
      </c>
      <c r="M66" s="9"/>
      <c r="N66" s="10">
        <v>0</v>
      </c>
      <c r="O66" s="9"/>
      <c r="P66" s="10">
        <v>0</v>
      </c>
      <c r="Q66" s="9"/>
      <c r="R66" s="10">
        <v>0</v>
      </c>
      <c r="S66" s="9"/>
      <c r="T66" s="10">
        <v>0</v>
      </c>
      <c r="U66" s="9"/>
      <c r="V66" s="10">
        <v>0</v>
      </c>
      <c r="W66" s="9"/>
      <c r="X66" s="10">
        <v>0</v>
      </c>
      <c r="Y66" s="9"/>
      <c r="Z66" s="10">
        <v>0</v>
      </c>
      <c r="AA66" s="9"/>
      <c r="AB66" s="10">
        <v>0</v>
      </c>
      <c r="AC66" s="9"/>
      <c r="AD66" s="10">
        <v>0</v>
      </c>
      <c r="AE66" s="11">
        <v>0</v>
      </c>
      <c r="AF66" s="12">
        <v>0</v>
      </c>
      <c r="AG66" s="9"/>
      <c r="AH66" s="10">
        <v>0</v>
      </c>
      <c r="AI66" s="9"/>
      <c r="AJ66" s="10">
        <v>0</v>
      </c>
      <c r="AK66" s="9"/>
      <c r="AL66" s="10">
        <v>0</v>
      </c>
      <c r="AM66" s="9"/>
      <c r="AN66" s="10">
        <v>0</v>
      </c>
      <c r="AO66" s="9"/>
      <c r="AP66" s="10">
        <v>0</v>
      </c>
      <c r="AQ66" s="9"/>
      <c r="AR66" s="10">
        <v>0</v>
      </c>
      <c r="AS66" s="9"/>
      <c r="AT66" s="10">
        <v>0</v>
      </c>
      <c r="AU66" s="9"/>
      <c r="AV66" s="10">
        <v>0</v>
      </c>
      <c r="AW66" s="9"/>
      <c r="AX66" s="10">
        <v>0</v>
      </c>
      <c r="AY66" s="9"/>
      <c r="AZ66" s="10">
        <v>0</v>
      </c>
      <c r="BA66" s="9"/>
      <c r="BB66" s="10">
        <v>0</v>
      </c>
      <c r="BC66" s="9"/>
      <c r="BD66" s="10">
        <v>0</v>
      </c>
      <c r="BE66" s="11">
        <v>0</v>
      </c>
      <c r="BF66" s="12">
        <v>0</v>
      </c>
      <c r="BG66" s="9"/>
      <c r="BH66" s="10">
        <v>0</v>
      </c>
      <c r="BI66" s="9"/>
      <c r="BJ66" s="10">
        <v>0</v>
      </c>
      <c r="BK66" s="9"/>
      <c r="BL66" s="10">
        <v>0</v>
      </c>
      <c r="BM66" s="9"/>
      <c r="BN66" s="10">
        <v>0</v>
      </c>
      <c r="BO66" s="9"/>
      <c r="BP66" s="10">
        <v>0</v>
      </c>
      <c r="BQ66" s="9"/>
      <c r="BR66" s="10">
        <v>0</v>
      </c>
      <c r="BS66" s="9"/>
      <c r="BT66" s="10">
        <v>0</v>
      </c>
      <c r="BU66" s="9"/>
      <c r="BV66" s="10">
        <v>0</v>
      </c>
      <c r="BW66" s="9"/>
      <c r="BX66" s="10">
        <v>0</v>
      </c>
      <c r="BY66" s="9"/>
      <c r="BZ66" s="10">
        <v>0</v>
      </c>
      <c r="CA66" s="9"/>
      <c r="CB66" s="10">
        <v>0</v>
      </c>
      <c r="CC66" s="9"/>
      <c r="CD66" s="10">
        <v>0</v>
      </c>
      <c r="CE66" s="19">
        <f t="shared" si="15"/>
        <v>0</v>
      </c>
      <c r="CF66" s="10">
        <f t="shared" si="16"/>
        <v>0</v>
      </c>
      <c r="CG66" s="11">
        <v>0</v>
      </c>
      <c r="CH66" s="12">
        <v>0</v>
      </c>
      <c r="CI66" s="15"/>
      <c r="CJ66" s="15"/>
      <c r="CK66" s="14"/>
      <c r="CL66" s="10">
        <v>0</v>
      </c>
      <c r="CM66" s="14"/>
      <c r="CN66" s="15">
        <v>0</v>
      </c>
      <c r="CO66" s="14"/>
      <c r="CP66" s="15">
        <v>0</v>
      </c>
      <c r="CQ66" s="14"/>
      <c r="CR66" s="15">
        <v>0</v>
      </c>
      <c r="CS66" s="14"/>
      <c r="CT66" s="15">
        <v>0</v>
      </c>
      <c r="CU66" s="14"/>
      <c r="CV66" s="15">
        <v>0</v>
      </c>
      <c r="CW66" s="14"/>
      <c r="CX66" s="15">
        <v>0</v>
      </c>
      <c r="CY66" s="14"/>
      <c r="CZ66" s="15">
        <v>0</v>
      </c>
      <c r="DA66" s="14"/>
      <c r="DB66" s="15">
        <v>0</v>
      </c>
      <c r="DC66" s="14"/>
      <c r="DD66" s="15">
        <v>0</v>
      </c>
      <c r="DE66" s="14"/>
      <c r="DF66" s="15">
        <v>0</v>
      </c>
      <c r="DG66" s="14"/>
      <c r="DH66" s="15">
        <v>0</v>
      </c>
      <c r="DI66" s="16">
        <f t="shared" si="114"/>
        <v>0</v>
      </c>
      <c r="DJ66" s="16">
        <f t="shared" si="115"/>
        <v>0</v>
      </c>
      <c r="DK66" s="16"/>
      <c r="DL66" s="16"/>
      <c r="DM66" s="68">
        <f t="shared" si="116"/>
        <v>0</v>
      </c>
      <c r="DN66" s="294">
        <f t="shared" si="117"/>
        <v>0</v>
      </c>
      <c r="DO66" s="69">
        <f t="shared" si="112"/>
        <v>0</v>
      </c>
      <c r="DP66" s="14"/>
      <c r="DQ66" s="10">
        <v>0</v>
      </c>
      <c r="DR66" s="14"/>
      <c r="DS66" s="15">
        <v>0</v>
      </c>
      <c r="DT66" s="14"/>
      <c r="DU66" s="15">
        <v>0</v>
      </c>
      <c r="DV66" s="14"/>
      <c r="DW66" s="15">
        <v>0</v>
      </c>
      <c r="DX66" s="14"/>
      <c r="DY66" s="15">
        <v>0</v>
      </c>
      <c r="DZ66" s="14"/>
      <c r="EA66" s="15">
        <v>0</v>
      </c>
      <c r="EB66" s="14"/>
      <c r="EC66" s="15">
        <v>0</v>
      </c>
      <c r="ED66" s="14"/>
      <c r="EE66" s="15">
        <v>0</v>
      </c>
      <c r="EF66" s="14"/>
      <c r="EG66" s="15">
        <v>0</v>
      </c>
      <c r="EH66" s="14"/>
      <c r="EI66" s="15">
        <v>0</v>
      </c>
      <c r="EJ66" s="14"/>
      <c r="EK66" s="15">
        <v>0</v>
      </c>
      <c r="EL66" s="14"/>
      <c r="EM66" s="15">
        <v>0</v>
      </c>
      <c r="EN66" s="16">
        <f t="shared" si="118"/>
        <v>0</v>
      </c>
      <c r="EO66" s="16">
        <f t="shared" si="119"/>
        <v>0</v>
      </c>
      <c r="EP66" s="68">
        <f t="shared" si="120"/>
        <v>0</v>
      </c>
      <c r="EQ66" s="294">
        <f t="shared" si="121"/>
        <v>0</v>
      </c>
      <c r="ER66" s="517"/>
      <c r="ES66" s="88">
        <v>0</v>
      </c>
      <c r="ET66" s="89" t="e">
        <v>#DIV/0!</v>
      </c>
      <c r="EU66" s="89" t="e">
        <v>#DIV/0!</v>
      </c>
      <c r="EZ66" s="71">
        <f t="shared" si="122"/>
        <v>0</v>
      </c>
    </row>
    <row r="67" spans="1:156" hidden="1">
      <c r="A67" s="7">
        <v>117</v>
      </c>
      <c r="B67" s="8" t="s">
        <v>55</v>
      </c>
      <c r="C67" s="8" t="s">
        <v>14</v>
      </c>
      <c r="D67" s="7">
        <v>0.35</v>
      </c>
      <c r="E67" s="7" t="s">
        <v>18</v>
      </c>
      <c r="F67" s="7"/>
      <c r="G67" s="9"/>
      <c r="H67" s="10">
        <v>0</v>
      </c>
      <c r="I67" s="9"/>
      <c r="J67" s="10">
        <v>0</v>
      </c>
      <c r="K67" s="9"/>
      <c r="L67" s="10">
        <v>0</v>
      </c>
      <c r="M67" s="9"/>
      <c r="N67" s="10">
        <v>0</v>
      </c>
      <c r="O67" s="9"/>
      <c r="P67" s="10">
        <v>0</v>
      </c>
      <c r="Q67" s="9"/>
      <c r="R67" s="10">
        <v>0</v>
      </c>
      <c r="S67" s="9"/>
      <c r="T67" s="10">
        <v>0</v>
      </c>
      <c r="U67" s="9"/>
      <c r="V67" s="10">
        <v>0</v>
      </c>
      <c r="W67" s="9"/>
      <c r="X67" s="10">
        <v>0</v>
      </c>
      <c r="Y67" s="9"/>
      <c r="Z67" s="10">
        <v>0</v>
      </c>
      <c r="AA67" s="9"/>
      <c r="AB67" s="10">
        <v>0</v>
      </c>
      <c r="AC67" s="9"/>
      <c r="AD67" s="10">
        <v>0</v>
      </c>
      <c r="AE67" s="11">
        <v>0</v>
      </c>
      <c r="AF67" s="12">
        <v>0</v>
      </c>
      <c r="AG67" s="9"/>
      <c r="AH67" s="10">
        <v>0</v>
      </c>
      <c r="AI67" s="9"/>
      <c r="AJ67" s="10">
        <v>0</v>
      </c>
      <c r="AK67" s="9"/>
      <c r="AL67" s="10">
        <v>0</v>
      </c>
      <c r="AM67" s="9"/>
      <c r="AN67" s="10">
        <v>0</v>
      </c>
      <c r="AO67" s="9"/>
      <c r="AP67" s="10">
        <v>0</v>
      </c>
      <c r="AQ67" s="9"/>
      <c r="AR67" s="10">
        <v>0</v>
      </c>
      <c r="AS67" s="9"/>
      <c r="AT67" s="10">
        <v>0</v>
      </c>
      <c r="AU67" s="9"/>
      <c r="AV67" s="10">
        <v>0</v>
      </c>
      <c r="AW67" s="9"/>
      <c r="AX67" s="10">
        <v>0</v>
      </c>
      <c r="AY67" s="9"/>
      <c r="AZ67" s="10">
        <v>0</v>
      </c>
      <c r="BA67" s="9"/>
      <c r="BB67" s="10">
        <v>0</v>
      </c>
      <c r="BC67" s="9"/>
      <c r="BD67" s="10">
        <v>0</v>
      </c>
      <c r="BE67" s="11">
        <v>0</v>
      </c>
      <c r="BF67" s="12">
        <v>0</v>
      </c>
      <c r="BG67" s="9"/>
      <c r="BH67" s="10">
        <v>0</v>
      </c>
      <c r="BI67" s="9"/>
      <c r="BJ67" s="10">
        <v>0</v>
      </c>
      <c r="BK67" s="9"/>
      <c r="BL67" s="10">
        <v>0</v>
      </c>
      <c r="BM67" s="9"/>
      <c r="BN67" s="10">
        <v>0</v>
      </c>
      <c r="BO67" s="9"/>
      <c r="BP67" s="10">
        <v>0</v>
      </c>
      <c r="BQ67" s="9"/>
      <c r="BR67" s="10">
        <v>0</v>
      </c>
      <c r="BS67" s="9"/>
      <c r="BT67" s="10">
        <v>0</v>
      </c>
      <c r="BU67" s="9"/>
      <c r="BV67" s="10">
        <v>0</v>
      </c>
      <c r="BW67" s="9"/>
      <c r="BX67" s="10">
        <v>0</v>
      </c>
      <c r="BY67" s="9"/>
      <c r="BZ67" s="10">
        <v>0</v>
      </c>
      <c r="CA67" s="9"/>
      <c r="CB67" s="10">
        <v>0</v>
      </c>
      <c r="CC67" s="9"/>
      <c r="CD67" s="10">
        <v>0</v>
      </c>
      <c r="CE67" s="19">
        <f t="shared" si="15"/>
        <v>0</v>
      </c>
      <c r="CF67" s="10">
        <f t="shared" si="16"/>
        <v>0</v>
      </c>
      <c r="CG67" s="11">
        <v>0</v>
      </c>
      <c r="CH67" s="12">
        <v>0</v>
      </c>
      <c r="CI67" s="15"/>
      <c r="CJ67" s="15"/>
      <c r="CK67" s="14"/>
      <c r="CL67" s="10">
        <v>0</v>
      </c>
      <c r="CM67" s="14"/>
      <c r="CN67" s="15">
        <v>0</v>
      </c>
      <c r="CO67" s="14"/>
      <c r="CP67" s="15">
        <v>0</v>
      </c>
      <c r="CQ67" s="14"/>
      <c r="CR67" s="15">
        <v>0</v>
      </c>
      <c r="CS67" s="14"/>
      <c r="CT67" s="15">
        <v>0</v>
      </c>
      <c r="CU67" s="14"/>
      <c r="CV67" s="15">
        <v>0</v>
      </c>
      <c r="CW67" s="14"/>
      <c r="CX67" s="15">
        <v>0</v>
      </c>
      <c r="CY67" s="14"/>
      <c r="CZ67" s="15">
        <v>0</v>
      </c>
      <c r="DA67" s="14"/>
      <c r="DB67" s="15">
        <v>0</v>
      </c>
      <c r="DC67" s="14"/>
      <c r="DD67" s="15">
        <v>0</v>
      </c>
      <c r="DE67" s="14"/>
      <c r="DF67" s="15">
        <v>0</v>
      </c>
      <c r="DG67" s="14"/>
      <c r="DH67" s="15">
        <v>0</v>
      </c>
      <c r="DI67" s="16">
        <f t="shared" si="114"/>
        <v>0</v>
      </c>
      <c r="DJ67" s="16">
        <f t="shared" si="115"/>
        <v>0</v>
      </c>
      <c r="DK67" s="16"/>
      <c r="DL67" s="16"/>
      <c r="DM67" s="68">
        <f t="shared" si="116"/>
        <v>0</v>
      </c>
      <c r="DN67" s="294">
        <f t="shared" si="117"/>
        <v>0</v>
      </c>
      <c r="DO67" s="69">
        <f t="shared" si="112"/>
        <v>0</v>
      </c>
      <c r="DP67" s="14"/>
      <c r="DQ67" s="10">
        <v>0</v>
      </c>
      <c r="DR67" s="14"/>
      <c r="DS67" s="15">
        <v>0</v>
      </c>
      <c r="DT67" s="14"/>
      <c r="DU67" s="15">
        <v>0</v>
      </c>
      <c r="DV67" s="14"/>
      <c r="DW67" s="15">
        <v>0</v>
      </c>
      <c r="DX67" s="14"/>
      <c r="DY67" s="15">
        <v>0</v>
      </c>
      <c r="DZ67" s="14"/>
      <c r="EA67" s="15">
        <v>0</v>
      </c>
      <c r="EB67" s="14"/>
      <c r="EC67" s="15">
        <v>0</v>
      </c>
      <c r="ED67" s="14"/>
      <c r="EE67" s="15">
        <v>0</v>
      </c>
      <c r="EF67" s="14"/>
      <c r="EG67" s="15">
        <v>0</v>
      </c>
      <c r="EH67" s="14"/>
      <c r="EI67" s="15">
        <v>0</v>
      </c>
      <c r="EJ67" s="14"/>
      <c r="EK67" s="15">
        <v>0</v>
      </c>
      <c r="EL67" s="14"/>
      <c r="EM67" s="15">
        <v>0</v>
      </c>
      <c r="EN67" s="16">
        <f t="shared" si="118"/>
        <v>0</v>
      </c>
      <c r="EO67" s="16">
        <f t="shared" si="119"/>
        <v>0</v>
      </c>
      <c r="EP67" s="68">
        <f t="shared" si="120"/>
        <v>0</v>
      </c>
      <c r="EQ67" s="294">
        <f t="shared" si="121"/>
        <v>0</v>
      </c>
      <c r="ER67" s="517"/>
      <c r="ES67" s="88">
        <v>0</v>
      </c>
      <c r="ET67" s="89" t="e">
        <v>#DIV/0!</v>
      </c>
      <c r="EU67" s="89" t="e">
        <v>#DIV/0!</v>
      </c>
      <c r="EZ67" s="71">
        <f t="shared" si="122"/>
        <v>0</v>
      </c>
    </row>
    <row r="68" spans="1:156" hidden="1">
      <c r="A68" s="7">
        <v>118</v>
      </c>
      <c r="B68" s="8" t="s">
        <v>56</v>
      </c>
      <c r="C68" s="8" t="s">
        <v>14</v>
      </c>
      <c r="D68" s="7">
        <v>0.7</v>
      </c>
      <c r="E68" s="7" t="s">
        <v>15</v>
      </c>
      <c r="F68" s="7"/>
      <c r="G68" s="9"/>
      <c r="H68" s="10">
        <v>0</v>
      </c>
      <c r="I68" s="9"/>
      <c r="J68" s="10">
        <v>0</v>
      </c>
      <c r="K68" s="9"/>
      <c r="L68" s="10">
        <v>0</v>
      </c>
      <c r="M68" s="9"/>
      <c r="N68" s="10">
        <v>0</v>
      </c>
      <c r="O68" s="9"/>
      <c r="P68" s="10">
        <v>0</v>
      </c>
      <c r="Q68" s="9"/>
      <c r="R68" s="10">
        <v>0</v>
      </c>
      <c r="S68" s="9"/>
      <c r="T68" s="10">
        <v>0</v>
      </c>
      <c r="U68" s="9"/>
      <c r="V68" s="10">
        <v>0</v>
      </c>
      <c r="W68" s="9"/>
      <c r="X68" s="10">
        <v>0</v>
      </c>
      <c r="Y68" s="9"/>
      <c r="Z68" s="10">
        <v>0</v>
      </c>
      <c r="AA68" s="9"/>
      <c r="AB68" s="10">
        <v>0</v>
      </c>
      <c r="AC68" s="9"/>
      <c r="AD68" s="10">
        <v>0</v>
      </c>
      <c r="AE68" s="11">
        <v>0</v>
      </c>
      <c r="AF68" s="12">
        <v>0</v>
      </c>
      <c r="AG68" s="9"/>
      <c r="AH68" s="10">
        <v>0</v>
      </c>
      <c r="AI68" s="9"/>
      <c r="AJ68" s="10">
        <v>0</v>
      </c>
      <c r="AK68" s="9"/>
      <c r="AL68" s="10">
        <v>0</v>
      </c>
      <c r="AM68" s="9"/>
      <c r="AN68" s="10">
        <v>0</v>
      </c>
      <c r="AO68" s="9"/>
      <c r="AP68" s="10">
        <v>0</v>
      </c>
      <c r="AQ68" s="9"/>
      <c r="AR68" s="10">
        <v>0</v>
      </c>
      <c r="AS68" s="9"/>
      <c r="AT68" s="10">
        <v>0</v>
      </c>
      <c r="AU68" s="9"/>
      <c r="AV68" s="10">
        <v>0</v>
      </c>
      <c r="AW68" s="9"/>
      <c r="AX68" s="10">
        <v>0</v>
      </c>
      <c r="AY68" s="9"/>
      <c r="AZ68" s="10">
        <v>0</v>
      </c>
      <c r="BA68" s="9"/>
      <c r="BB68" s="10">
        <v>0</v>
      </c>
      <c r="BC68" s="9"/>
      <c r="BD68" s="10">
        <v>0</v>
      </c>
      <c r="BE68" s="11">
        <v>0</v>
      </c>
      <c r="BF68" s="12">
        <v>0</v>
      </c>
      <c r="BG68" s="9"/>
      <c r="BH68" s="10">
        <v>0</v>
      </c>
      <c r="BI68" s="9"/>
      <c r="BJ68" s="10">
        <v>0</v>
      </c>
      <c r="BK68" s="9"/>
      <c r="BL68" s="10">
        <v>0</v>
      </c>
      <c r="BM68" s="9"/>
      <c r="BN68" s="10">
        <v>0</v>
      </c>
      <c r="BO68" s="9"/>
      <c r="BP68" s="10">
        <v>0</v>
      </c>
      <c r="BQ68" s="9"/>
      <c r="BR68" s="10">
        <v>0</v>
      </c>
      <c r="BS68" s="9"/>
      <c r="BT68" s="10">
        <v>0</v>
      </c>
      <c r="BU68" s="9"/>
      <c r="BV68" s="10">
        <v>0</v>
      </c>
      <c r="BW68" s="9"/>
      <c r="BX68" s="10">
        <v>0</v>
      </c>
      <c r="BY68" s="9"/>
      <c r="BZ68" s="10">
        <v>0</v>
      </c>
      <c r="CA68" s="9">
        <v>9</v>
      </c>
      <c r="CB68" s="10">
        <v>6.3</v>
      </c>
      <c r="CC68" s="9"/>
      <c r="CD68" s="10">
        <v>0</v>
      </c>
      <c r="CE68" s="19">
        <f t="shared" si="15"/>
        <v>0.81818181818181823</v>
      </c>
      <c r="CF68" s="10">
        <f t="shared" si="16"/>
        <v>0.57272727272727275</v>
      </c>
      <c r="CG68" s="11">
        <v>0.75</v>
      </c>
      <c r="CH68" s="12">
        <v>0.52499999999999991</v>
      </c>
      <c r="CI68" s="15"/>
      <c r="CJ68" s="15"/>
      <c r="CK68" s="14"/>
      <c r="CL68" s="10">
        <v>0</v>
      </c>
      <c r="CM68" s="14"/>
      <c r="CN68" s="15">
        <v>0</v>
      </c>
      <c r="CO68" s="14"/>
      <c r="CP68" s="15">
        <v>0</v>
      </c>
      <c r="CQ68" s="14"/>
      <c r="CR68" s="15">
        <v>0</v>
      </c>
      <c r="CS68" s="14"/>
      <c r="CT68" s="15">
        <v>0</v>
      </c>
      <c r="CU68" s="14"/>
      <c r="CV68" s="15">
        <v>0</v>
      </c>
      <c r="CW68" s="14"/>
      <c r="CX68" s="15">
        <v>0</v>
      </c>
      <c r="CY68" s="14"/>
      <c r="CZ68" s="15">
        <v>0</v>
      </c>
      <c r="DA68" s="14"/>
      <c r="DB68" s="15">
        <v>0</v>
      </c>
      <c r="DC68" s="14"/>
      <c r="DD68" s="15">
        <v>0</v>
      </c>
      <c r="DE68" s="14"/>
      <c r="DF68" s="15">
        <v>0</v>
      </c>
      <c r="DG68" s="14"/>
      <c r="DH68" s="15">
        <v>0</v>
      </c>
      <c r="DI68" s="16">
        <f t="shared" si="114"/>
        <v>0</v>
      </c>
      <c r="DJ68" s="16">
        <f t="shared" si="115"/>
        <v>0</v>
      </c>
      <c r="DK68" s="16"/>
      <c r="DL68" s="16"/>
      <c r="DM68" s="68">
        <f t="shared" si="116"/>
        <v>0</v>
      </c>
      <c r="DN68" s="294">
        <f t="shared" si="117"/>
        <v>0</v>
      </c>
      <c r="DO68" s="69">
        <f t="shared" si="112"/>
        <v>0</v>
      </c>
      <c r="DP68" s="14"/>
      <c r="DQ68" s="10">
        <v>0</v>
      </c>
      <c r="DR68" s="14"/>
      <c r="DS68" s="15">
        <v>0</v>
      </c>
      <c r="DT68" s="14"/>
      <c r="DU68" s="15">
        <v>0</v>
      </c>
      <c r="DV68" s="14"/>
      <c r="DW68" s="15">
        <v>0</v>
      </c>
      <c r="DX68" s="14"/>
      <c r="DY68" s="15">
        <v>0</v>
      </c>
      <c r="DZ68" s="14"/>
      <c r="EA68" s="15">
        <v>0</v>
      </c>
      <c r="EB68" s="14"/>
      <c r="EC68" s="15">
        <v>0</v>
      </c>
      <c r="ED68" s="14"/>
      <c r="EE68" s="15">
        <v>0</v>
      </c>
      <c r="EF68" s="14"/>
      <c r="EG68" s="15">
        <v>0</v>
      </c>
      <c r="EH68" s="14"/>
      <c r="EI68" s="15">
        <v>0</v>
      </c>
      <c r="EJ68" s="14"/>
      <c r="EK68" s="15">
        <v>0</v>
      </c>
      <c r="EL68" s="14"/>
      <c r="EM68" s="15">
        <v>0</v>
      </c>
      <c r="EN68" s="16">
        <f t="shared" si="118"/>
        <v>0</v>
      </c>
      <c r="EO68" s="16">
        <f t="shared" si="119"/>
        <v>0</v>
      </c>
      <c r="EP68" s="68">
        <f t="shared" si="120"/>
        <v>0</v>
      </c>
      <c r="EQ68" s="294">
        <f t="shared" si="121"/>
        <v>0</v>
      </c>
      <c r="ER68" s="517"/>
      <c r="ES68" s="88">
        <v>0</v>
      </c>
      <c r="ET68" s="89" t="e">
        <v>#DIV/0!</v>
      </c>
      <c r="EU68" s="89">
        <v>-100</v>
      </c>
      <c r="EZ68" s="71">
        <f t="shared" si="122"/>
        <v>0</v>
      </c>
    </row>
    <row r="69" spans="1:156" hidden="1">
      <c r="A69" s="7">
        <v>119</v>
      </c>
      <c r="B69" s="8" t="s">
        <v>57</v>
      </c>
      <c r="C69" s="8" t="s">
        <v>14</v>
      </c>
      <c r="D69" s="7">
        <v>0.35</v>
      </c>
      <c r="E69" s="7" t="s">
        <v>18</v>
      </c>
      <c r="F69" s="7"/>
      <c r="G69" s="9"/>
      <c r="H69" s="10">
        <v>0</v>
      </c>
      <c r="I69" s="9"/>
      <c r="J69" s="10">
        <v>0</v>
      </c>
      <c r="K69" s="9"/>
      <c r="L69" s="10">
        <v>0</v>
      </c>
      <c r="M69" s="9"/>
      <c r="N69" s="10">
        <v>0</v>
      </c>
      <c r="O69" s="9"/>
      <c r="P69" s="10">
        <v>0</v>
      </c>
      <c r="Q69" s="9"/>
      <c r="R69" s="10">
        <v>0</v>
      </c>
      <c r="S69" s="9"/>
      <c r="T69" s="10">
        <v>0</v>
      </c>
      <c r="U69" s="9"/>
      <c r="V69" s="10">
        <v>0</v>
      </c>
      <c r="W69" s="9"/>
      <c r="X69" s="10">
        <v>0</v>
      </c>
      <c r="Y69" s="9"/>
      <c r="Z69" s="10">
        <v>0</v>
      </c>
      <c r="AA69" s="9"/>
      <c r="AB69" s="10">
        <v>0</v>
      </c>
      <c r="AC69" s="9"/>
      <c r="AD69" s="10">
        <v>0</v>
      </c>
      <c r="AE69" s="11">
        <v>0</v>
      </c>
      <c r="AF69" s="12">
        <v>0</v>
      </c>
      <c r="AG69" s="9"/>
      <c r="AH69" s="10">
        <v>0</v>
      </c>
      <c r="AI69" s="9"/>
      <c r="AJ69" s="10">
        <v>0</v>
      </c>
      <c r="AK69" s="9"/>
      <c r="AL69" s="10">
        <v>0</v>
      </c>
      <c r="AM69" s="9"/>
      <c r="AN69" s="10">
        <v>0</v>
      </c>
      <c r="AO69" s="9"/>
      <c r="AP69" s="10">
        <v>0</v>
      </c>
      <c r="AQ69" s="9"/>
      <c r="AR69" s="10">
        <v>0</v>
      </c>
      <c r="AS69" s="9"/>
      <c r="AT69" s="10">
        <v>0</v>
      </c>
      <c r="AU69" s="9"/>
      <c r="AV69" s="10">
        <v>0</v>
      </c>
      <c r="AW69" s="9"/>
      <c r="AX69" s="10">
        <v>0</v>
      </c>
      <c r="AY69" s="9"/>
      <c r="AZ69" s="10">
        <v>0</v>
      </c>
      <c r="BA69" s="9"/>
      <c r="BB69" s="10">
        <v>0</v>
      </c>
      <c r="BC69" s="9"/>
      <c r="BD69" s="10">
        <v>0</v>
      </c>
      <c r="BE69" s="11">
        <v>0</v>
      </c>
      <c r="BF69" s="12">
        <v>0</v>
      </c>
      <c r="BG69" s="9"/>
      <c r="BH69" s="10">
        <v>0</v>
      </c>
      <c r="BI69" s="9"/>
      <c r="BJ69" s="10">
        <v>0</v>
      </c>
      <c r="BK69" s="9"/>
      <c r="BL69" s="10">
        <v>0</v>
      </c>
      <c r="BM69" s="9"/>
      <c r="BN69" s="10">
        <v>0</v>
      </c>
      <c r="BO69" s="9"/>
      <c r="BP69" s="10">
        <v>0</v>
      </c>
      <c r="BQ69" s="9"/>
      <c r="BR69" s="10">
        <v>0</v>
      </c>
      <c r="BS69" s="9"/>
      <c r="BT69" s="10">
        <v>0</v>
      </c>
      <c r="BU69" s="9"/>
      <c r="BV69" s="10">
        <v>0</v>
      </c>
      <c r="BW69" s="9"/>
      <c r="BX69" s="10">
        <v>0</v>
      </c>
      <c r="BY69" s="9"/>
      <c r="BZ69" s="10">
        <v>0</v>
      </c>
      <c r="CA69" s="9">
        <v>76</v>
      </c>
      <c r="CB69" s="10">
        <v>26.599999999999998</v>
      </c>
      <c r="CC69" s="9"/>
      <c r="CD69" s="10">
        <v>0</v>
      </c>
      <c r="CE69" s="19">
        <f t="shared" si="15"/>
        <v>6.9090909090909092</v>
      </c>
      <c r="CF69" s="10">
        <f t="shared" si="16"/>
        <v>2.418181818181818</v>
      </c>
      <c r="CG69" s="11">
        <v>6.333333333333333</v>
      </c>
      <c r="CH69" s="12">
        <v>2.2166666666666663</v>
      </c>
      <c r="CI69" s="15"/>
      <c r="CJ69" s="15"/>
      <c r="CK69" s="14"/>
      <c r="CL69" s="10">
        <v>0</v>
      </c>
      <c r="CM69" s="14"/>
      <c r="CN69" s="15">
        <v>0</v>
      </c>
      <c r="CO69" s="14"/>
      <c r="CP69" s="15">
        <v>0</v>
      </c>
      <c r="CQ69" s="14"/>
      <c r="CR69" s="15">
        <v>0</v>
      </c>
      <c r="CS69" s="14"/>
      <c r="CT69" s="15">
        <v>0</v>
      </c>
      <c r="CU69" s="14"/>
      <c r="CV69" s="15">
        <v>0</v>
      </c>
      <c r="CW69" s="14"/>
      <c r="CX69" s="15">
        <v>0</v>
      </c>
      <c r="CY69" s="14"/>
      <c r="CZ69" s="15">
        <v>0</v>
      </c>
      <c r="DA69" s="14"/>
      <c r="DB69" s="15">
        <v>0</v>
      </c>
      <c r="DC69" s="14"/>
      <c r="DD69" s="15">
        <v>0</v>
      </c>
      <c r="DE69" s="14"/>
      <c r="DF69" s="15">
        <v>0</v>
      </c>
      <c r="DG69" s="14"/>
      <c r="DH69" s="15">
        <v>0</v>
      </c>
      <c r="DI69" s="16">
        <f t="shared" si="114"/>
        <v>0</v>
      </c>
      <c r="DJ69" s="16">
        <f t="shared" si="115"/>
        <v>0</v>
      </c>
      <c r="DK69" s="16"/>
      <c r="DL69" s="16"/>
      <c r="DM69" s="68">
        <f t="shared" si="116"/>
        <v>0</v>
      </c>
      <c r="DN69" s="294">
        <f t="shared" si="117"/>
        <v>0</v>
      </c>
      <c r="DO69" s="69">
        <f t="shared" si="112"/>
        <v>0</v>
      </c>
      <c r="DP69" s="14"/>
      <c r="DQ69" s="10">
        <v>0</v>
      </c>
      <c r="DR69" s="14"/>
      <c r="DS69" s="15">
        <v>0</v>
      </c>
      <c r="DT69" s="14"/>
      <c r="DU69" s="15">
        <v>0</v>
      </c>
      <c r="DV69" s="14"/>
      <c r="DW69" s="15">
        <v>0</v>
      </c>
      <c r="DX69" s="14"/>
      <c r="DY69" s="15">
        <v>0</v>
      </c>
      <c r="DZ69" s="14"/>
      <c r="EA69" s="15">
        <v>0</v>
      </c>
      <c r="EB69" s="14"/>
      <c r="EC69" s="15">
        <v>0</v>
      </c>
      <c r="ED69" s="14"/>
      <c r="EE69" s="15">
        <v>0</v>
      </c>
      <c r="EF69" s="14"/>
      <c r="EG69" s="15">
        <v>0</v>
      </c>
      <c r="EH69" s="14"/>
      <c r="EI69" s="15">
        <v>0</v>
      </c>
      <c r="EJ69" s="14"/>
      <c r="EK69" s="15">
        <v>0</v>
      </c>
      <c r="EL69" s="14"/>
      <c r="EM69" s="15">
        <v>0</v>
      </c>
      <c r="EN69" s="16">
        <f t="shared" si="118"/>
        <v>0</v>
      </c>
      <c r="EO69" s="16">
        <f t="shared" si="119"/>
        <v>0</v>
      </c>
      <c r="EP69" s="68">
        <f t="shared" si="120"/>
        <v>0</v>
      </c>
      <c r="EQ69" s="294">
        <f t="shared" si="121"/>
        <v>0</v>
      </c>
      <c r="ER69" s="517"/>
      <c r="ES69" s="88">
        <v>0</v>
      </c>
      <c r="ET69" s="89" t="e">
        <v>#DIV/0!</v>
      </c>
      <c r="EU69" s="89">
        <v>-100</v>
      </c>
      <c r="EZ69" s="71">
        <f t="shared" si="122"/>
        <v>0</v>
      </c>
    </row>
    <row r="70" spans="1:156" hidden="1">
      <c r="A70" s="7">
        <v>120</v>
      </c>
      <c r="B70" s="20" t="s">
        <v>58</v>
      </c>
      <c r="C70" s="20" t="s">
        <v>14</v>
      </c>
      <c r="D70" s="7">
        <v>0.7</v>
      </c>
      <c r="E70" s="30" t="s">
        <v>59</v>
      </c>
      <c r="F70" s="21"/>
      <c r="G70" s="9"/>
      <c r="H70" s="10">
        <v>0</v>
      </c>
      <c r="I70" s="9"/>
      <c r="J70" s="10">
        <v>0</v>
      </c>
      <c r="K70" s="9"/>
      <c r="L70" s="10">
        <v>0</v>
      </c>
      <c r="M70" s="9"/>
      <c r="N70" s="10">
        <v>0</v>
      </c>
      <c r="O70" s="9"/>
      <c r="P70" s="10">
        <v>0</v>
      </c>
      <c r="Q70" s="9"/>
      <c r="R70" s="10">
        <v>0</v>
      </c>
      <c r="S70" s="9"/>
      <c r="T70" s="10">
        <v>0</v>
      </c>
      <c r="U70" s="9"/>
      <c r="V70" s="10">
        <v>0</v>
      </c>
      <c r="W70" s="9"/>
      <c r="X70" s="10">
        <v>0</v>
      </c>
      <c r="Y70" s="9"/>
      <c r="Z70" s="10">
        <v>0</v>
      </c>
      <c r="AA70" s="9"/>
      <c r="AB70" s="10">
        <v>0</v>
      </c>
      <c r="AC70" s="9"/>
      <c r="AD70" s="10">
        <v>0</v>
      </c>
      <c r="AE70" s="11">
        <v>0</v>
      </c>
      <c r="AF70" s="12">
        <v>0</v>
      </c>
      <c r="AG70" s="9"/>
      <c r="AH70" s="10">
        <v>0</v>
      </c>
      <c r="AI70" s="9"/>
      <c r="AJ70" s="10">
        <v>0</v>
      </c>
      <c r="AK70" s="9"/>
      <c r="AL70" s="10">
        <v>0</v>
      </c>
      <c r="AM70" s="9"/>
      <c r="AN70" s="10">
        <v>0</v>
      </c>
      <c r="AO70" s="9"/>
      <c r="AP70" s="10">
        <v>0</v>
      </c>
      <c r="AQ70" s="9"/>
      <c r="AR70" s="10">
        <v>0</v>
      </c>
      <c r="AS70" s="9"/>
      <c r="AT70" s="10">
        <v>0</v>
      </c>
      <c r="AU70" s="9"/>
      <c r="AV70" s="10">
        <v>0</v>
      </c>
      <c r="AW70" s="9"/>
      <c r="AX70" s="10">
        <v>0</v>
      </c>
      <c r="AY70" s="9"/>
      <c r="AZ70" s="10">
        <v>0</v>
      </c>
      <c r="BA70" s="9"/>
      <c r="BB70" s="10">
        <v>0</v>
      </c>
      <c r="BC70" s="9"/>
      <c r="BD70" s="10">
        <v>0</v>
      </c>
      <c r="BE70" s="11">
        <v>0</v>
      </c>
      <c r="BF70" s="12">
        <v>0</v>
      </c>
      <c r="BG70" s="9"/>
      <c r="BH70" s="10">
        <v>0</v>
      </c>
      <c r="BI70" s="9"/>
      <c r="BJ70" s="10">
        <v>0</v>
      </c>
      <c r="BK70" s="9"/>
      <c r="BL70" s="10">
        <v>0</v>
      </c>
      <c r="BM70" s="9"/>
      <c r="BN70" s="10">
        <v>0</v>
      </c>
      <c r="BO70" s="9"/>
      <c r="BP70" s="10">
        <v>0</v>
      </c>
      <c r="BQ70" s="9"/>
      <c r="BR70" s="10">
        <v>0</v>
      </c>
      <c r="BS70" s="9"/>
      <c r="BT70" s="10">
        <v>0</v>
      </c>
      <c r="BU70" s="9"/>
      <c r="BV70" s="10">
        <v>0</v>
      </c>
      <c r="BW70" s="9"/>
      <c r="BX70" s="10">
        <v>0</v>
      </c>
      <c r="BY70" s="9"/>
      <c r="BZ70" s="10">
        <v>0</v>
      </c>
      <c r="CA70" s="9"/>
      <c r="CB70" s="10">
        <v>0</v>
      </c>
      <c r="CC70" s="9"/>
      <c r="CD70" s="10">
        <v>0</v>
      </c>
      <c r="CE70" s="19">
        <f t="shared" si="15"/>
        <v>0</v>
      </c>
      <c r="CF70" s="10">
        <f t="shared" si="16"/>
        <v>0</v>
      </c>
      <c r="CG70" s="11">
        <v>0</v>
      </c>
      <c r="CH70" s="12">
        <v>0</v>
      </c>
      <c r="CI70" s="10"/>
      <c r="CJ70" s="10"/>
      <c r="CK70" s="9"/>
      <c r="CL70" s="10">
        <v>0</v>
      </c>
      <c r="CM70" s="9"/>
      <c r="CN70" s="10">
        <v>0</v>
      </c>
      <c r="CO70" s="9"/>
      <c r="CP70" s="10">
        <v>0</v>
      </c>
      <c r="CQ70" s="9"/>
      <c r="CR70" s="10">
        <v>0</v>
      </c>
      <c r="CS70" s="9"/>
      <c r="CT70" s="10">
        <v>0</v>
      </c>
      <c r="CU70" s="9"/>
      <c r="CV70" s="10">
        <v>0</v>
      </c>
      <c r="CW70" s="9"/>
      <c r="CX70" s="10">
        <v>0</v>
      </c>
      <c r="CY70" s="9"/>
      <c r="CZ70" s="10">
        <v>0</v>
      </c>
      <c r="DA70" s="9"/>
      <c r="DB70" s="10">
        <v>0</v>
      </c>
      <c r="DC70" s="9"/>
      <c r="DD70" s="10">
        <v>0</v>
      </c>
      <c r="DE70" s="9"/>
      <c r="DF70" s="10">
        <v>0</v>
      </c>
      <c r="DG70" s="9"/>
      <c r="DH70" s="10">
        <v>0</v>
      </c>
      <c r="DI70" s="16">
        <f t="shared" si="114"/>
        <v>0</v>
      </c>
      <c r="DJ70" s="16">
        <f t="shared" si="115"/>
        <v>0</v>
      </c>
      <c r="DK70" s="16"/>
      <c r="DL70" s="16"/>
      <c r="DM70" s="68">
        <f t="shared" si="116"/>
        <v>0</v>
      </c>
      <c r="DN70" s="294">
        <f t="shared" si="117"/>
        <v>0</v>
      </c>
      <c r="DO70" s="69">
        <f t="shared" si="112"/>
        <v>0</v>
      </c>
      <c r="DP70" s="9"/>
      <c r="DQ70" s="10">
        <v>0</v>
      </c>
      <c r="DR70" s="9"/>
      <c r="DS70" s="10">
        <v>0</v>
      </c>
      <c r="DT70" s="9"/>
      <c r="DU70" s="10">
        <v>0</v>
      </c>
      <c r="DV70" s="9"/>
      <c r="DW70" s="10">
        <v>0</v>
      </c>
      <c r="DX70" s="9"/>
      <c r="DY70" s="10">
        <v>0</v>
      </c>
      <c r="DZ70" s="9"/>
      <c r="EA70" s="10">
        <v>0</v>
      </c>
      <c r="EB70" s="9"/>
      <c r="EC70" s="10">
        <v>0</v>
      </c>
      <c r="ED70" s="9"/>
      <c r="EE70" s="10">
        <v>0</v>
      </c>
      <c r="EF70" s="9"/>
      <c r="EG70" s="10">
        <v>0</v>
      </c>
      <c r="EH70" s="9"/>
      <c r="EI70" s="10">
        <v>0</v>
      </c>
      <c r="EJ70" s="9"/>
      <c r="EK70" s="10">
        <v>0</v>
      </c>
      <c r="EL70" s="9"/>
      <c r="EM70" s="10">
        <v>0</v>
      </c>
      <c r="EN70" s="16">
        <f t="shared" si="118"/>
        <v>0</v>
      </c>
      <c r="EO70" s="16">
        <f t="shared" si="119"/>
        <v>0</v>
      </c>
      <c r="EP70" s="68">
        <f t="shared" si="120"/>
        <v>0</v>
      </c>
      <c r="EQ70" s="294">
        <f t="shared" si="121"/>
        <v>0</v>
      </c>
      <c r="ER70" s="517"/>
      <c r="ES70" s="88">
        <v>0</v>
      </c>
      <c r="ET70" s="89" t="e">
        <v>#DIV/0!</v>
      </c>
      <c r="EU70" s="89" t="e">
        <v>#DIV/0!</v>
      </c>
      <c r="EZ70" s="71">
        <f t="shared" si="122"/>
        <v>0</v>
      </c>
    </row>
    <row r="71" spans="1:156" hidden="1">
      <c r="A71" s="32"/>
      <c r="B71" s="33"/>
      <c r="C71" s="33"/>
      <c r="D71" s="33"/>
      <c r="E71" s="34"/>
      <c r="F71" s="34"/>
      <c r="G71" s="9"/>
      <c r="H71" s="10"/>
      <c r="I71" s="9"/>
      <c r="J71" s="10"/>
      <c r="K71" s="9"/>
      <c r="L71" s="10"/>
      <c r="M71" s="9"/>
      <c r="N71" s="10"/>
      <c r="O71" s="9"/>
      <c r="P71" s="10"/>
      <c r="Q71" s="9"/>
      <c r="R71" s="10"/>
      <c r="S71" s="9"/>
      <c r="T71" s="10"/>
      <c r="U71" s="9"/>
      <c r="V71" s="10"/>
      <c r="W71" s="9"/>
      <c r="X71" s="10"/>
      <c r="Y71" s="9"/>
      <c r="Z71" s="10"/>
      <c r="AA71" s="9"/>
      <c r="AB71" s="10"/>
      <c r="AC71" s="9"/>
      <c r="AD71" s="10"/>
      <c r="AE71" s="11"/>
      <c r="AF71" s="12"/>
      <c r="AG71" s="9"/>
      <c r="AH71" s="10"/>
      <c r="AI71" s="9"/>
      <c r="AJ71" s="10"/>
      <c r="AK71" s="9"/>
      <c r="AL71" s="10"/>
      <c r="AM71" s="9"/>
      <c r="AN71" s="10"/>
      <c r="AO71" s="9"/>
      <c r="AP71" s="10"/>
      <c r="AQ71" s="9"/>
      <c r="AR71" s="10"/>
      <c r="AS71" s="9"/>
      <c r="AT71" s="10"/>
      <c r="AU71" s="9"/>
      <c r="AV71" s="10"/>
      <c r="AW71" s="9"/>
      <c r="AX71" s="10"/>
      <c r="AY71" s="9"/>
      <c r="AZ71" s="10"/>
      <c r="BA71" s="9"/>
      <c r="BB71" s="10"/>
      <c r="BC71" s="9"/>
      <c r="BD71" s="10"/>
      <c r="BE71" s="11"/>
      <c r="BF71" s="12"/>
      <c r="BG71" s="9"/>
      <c r="BH71" s="10"/>
      <c r="BI71" s="9"/>
      <c r="BJ71" s="10"/>
      <c r="BK71" s="9"/>
      <c r="BL71" s="10"/>
      <c r="BM71" s="9"/>
      <c r="BN71" s="10"/>
      <c r="BO71" s="9"/>
      <c r="BP71" s="10"/>
      <c r="BQ71" s="9"/>
      <c r="BR71" s="10"/>
      <c r="BS71" s="9"/>
      <c r="BT71" s="10"/>
      <c r="BU71" s="9"/>
      <c r="BV71" s="10"/>
      <c r="BW71" s="9"/>
      <c r="BX71" s="10"/>
      <c r="BY71" s="9"/>
      <c r="BZ71" s="10"/>
      <c r="CA71" s="9"/>
      <c r="CB71" s="10"/>
      <c r="CC71" s="9"/>
      <c r="CD71" s="10"/>
      <c r="CE71" s="19">
        <f t="shared" si="15"/>
        <v>0</v>
      </c>
      <c r="CF71" s="10">
        <f t="shared" si="16"/>
        <v>0</v>
      </c>
      <c r="CG71" s="11"/>
      <c r="CH71" s="12"/>
      <c r="CI71" s="17"/>
      <c r="CJ71" s="17"/>
      <c r="CK71" s="14"/>
      <c r="CL71" s="10"/>
      <c r="CM71" s="14"/>
      <c r="CN71" s="17"/>
      <c r="CO71" s="14"/>
      <c r="CP71" s="17"/>
      <c r="CQ71" s="14"/>
      <c r="CR71" s="17"/>
      <c r="CS71" s="14"/>
      <c r="CT71" s="17"/>
      <c r="CU71" s="14"/>
      <c r="CV71" s="17"/>
      <c r="CW71" s="14"/>
      <c r="CX71" s="17"/>
      <c r="CY71" s="14"/>
      <c r="CZ71" s="17"/>
      <c r="DA71" s="14"/>
      <c r="DB71" s="17"/>
      <c r="DC71" s="14"/>
      <c r="DD71" s="17"/>
      <c r="DE71" s="14"/>
      <c r="DF71" s="17"/>
      <c r="DG71" s="14"/>
      <c r="DH71" s="17"/>
      <c r="DI71" s="16">
        <f t="shared" si="114"/>
        <v>0</v>
      </c>
      <c r="DJ71" s="16">
        <f t="shared" si="115"/>
        <v>0</v>
      </c>
      <c r="DK71" s="16"/>
      <c r="DL71" s="16"/>
      <c r="DM71" s="68">
        <f t="shared" si="116"/>
        <v>0</v>
      </c>
      <c r="DN71" s="294">
        <f t="shared" si="117"/>
        <v>0</v>
      </c>
      <c r="DO71" s="69">
        <f t="shared" si="112"/>
        <v>0</v>
      </c>
      <c r="DP71" s="14"/>
      <c r="DQ71" s="10"/>
      <c r="DR71" s="14"/>
      <c r="DS71" s="17"/>
      <c r="DT71" s="14"/>
      <c r="DU71" s="17"/>
      <c r="DV71" s="14"/>
      <c r="DW71" s="17"/>
      <c r="DX71" s="14"/>
      <c r="DY71" s="17"/>
      <c r="DZ71" s="14"/>
      <c r="EA71" s="17"/>
      <c r="EB71" s="14"/>
      <c r="EC71" s="17"/>
      <c r="ED71" s="14"/>
      <c r="EE71" s="17"/>
      <c r="EF71" s="14"/>
      <c r="EG71" s="17"/>
      <c r="EH71" s="14"/>
      <c r="EI71" s="17"/>
      <c r="EJ71" s="14"/>
      <c r="EK71" s="17"/>
      <c r="EL71" s="14"/>
      <c r="EM71" s="17"/>
      <c r="EN71" s="16">
        <f t="shared" si="118"/>
        <v>0</v>
      </c>
      <c r="EO71" s="16">
        <f t="shared" si="119"/>
        <v>0</v>
      </c>
      <c r="EP71" s="68">
        <f t="shared" si="120"/>
        <v>0</v>
      </c>
      <c r="EQ71" s="294">
        <f t="shared" si="121"/>
        <v>0</v>
      </c>
      <c r="ER71" s="517"/>
      <c r="ES71" s="88">
        <v>0</v>
      </c>
      <c r="ET71" s="89" t="e">
        <v>#DIV/0!</v>
      </c>
      <c r="EU71" s="89" t="e">
        <v>#DIV/0!</v>
      </c>
      <c r="EZ71" s="71">
        <f t="shared" si="122"/>
        <v>0</v>
      </c>
    </row>
    <row r="72" spans="1:156" hidden="1">
      <c r="A72" s="35"/>
      <c r="B72" s="23" t="s">
        <v>60</v>
      </c>
      <c r="C72" s="23"/>
      <c r="D72" s="23"/>
      <c r="E72" s="25"/>
      <c r="F72" s="25"/>
      <c r="G72" s="26">
        <v>19216</v>
      </c>
      <c r="H72" s="27">
        <v>9343.25</v>
      </c>
      <c r="I72" s="26">
        <v>6781</v>
      </c>
      <c r="J72" s="27">
        <v>2927.3999999999996</v>
      </c>
      <c r="K72" s="26">
        <v>7169</v>
      </c>
      <c r="L72" s="27">
        <v>3460.7999999999993</v>
      </c>
      <c r="M72" s="26">
        <v>32435</v>
      </c>
      <c r="N72" s="27">
        <v>11587.274999999998</v>
      </c>
      <c r="O72" s="26">
        <v>5075</v>
      </c>
      <c r="P72" s="27">
        <v>2334.5</v>
      </c>
      <c r="Q72" s="26">
        <v>5630</v>
      </c>
      <c r="R72" s="27">
        <v>2459.1</v>
      </c>
      <c r="S72" s="26">
        <v>6830</v>
      </c>
      <c r="T72" s="27">
        <v>3185.1750000000002</v>
      </c>
      <c r="U72" s="26">
        <v>4334</v>
      </c>
      <c r="V72" s="27">
        <v>2109.0999999999995</v>
      </c>
      <c r="W72" s="26">
        <v>2373</v>
      </c>
      <c r="X72" s="27">
        <v>1114.5749999999998</v>
      </c>
      <c r="Y72" s="26">
        <v>2829</v>
      </c>
      <c r="Z72" s="27">
        <v>1306.375</v>
      </c>
      <c r="AA72" s="26">
        <v>2889</v>
      </c>
      <c r="AB72" s="27">
        <v>1396.5</v>
      </c>
      <c r="AC72" s="26">
        <v>4559</v>
      </c>
      <c r="AD72" s="27">
        <v>2204.1249999999995</v>
      </c>
      <c r="AE72" s="28">
        <v>8343.3333333333339</v>
      </c>
      <c r="AF72" s="29">
        <v>3619.0145833333327</v>
      </c>
      <c r="AG72" s="26">
        <v>4528</v>
      </c>
      <c r="AH72" s="27">
        <v>1975.7499999999998</v>
      </c>
      <c r="AI72" s="26">
        <v>3756</v>
      </c>
      <c r="AJ72" s="27">
        <v>1774.4999999999998</v>
      </c>
      <c r="AK72" s="26">
        <v>2101</v>
      </c>
      <c r="AL72" s="27">
        <v>1064</v>
      </c>
      <c r="AM72" s="26">
        <v>3165</v>
      </c>
      <c r="AN72" s="27">
        <v>1365.7</v>
      </c>
      <c r="AO72" s="26">
        <v>2082</v>
      </c>
      <c r="AP72" s="27">
        <v>1032.675</v>
      </c>
      <c r="AQ72" s="26">
        <v>2096</v>
      </c>
      <c r="AR72" s="27">
        <v>1024.0999999999999</v>
      </c>
      <c r="AS72" s="26">
        <v>1732</v>
      </c>
      <c r="AT72" s="27">
        <v>858.375</v>
      </c>
      <c r="AU72" s="26">
        <v>2122</v>
      </c>
      <c r="AV72" s="27">
        <v>1006.0749999999999</v>
      </c>
      <c r="AW72" s="26">
        <v>2222</v>
      </c>
      <c r="AX72" s="27">
        <v>1019.2</v>
      </c>
      <c r="AY72" s="26">
        <v>2467</v>
      </c>
      <c r="AZ72" s="27">
        <v>941.84999999999991</v>
      </c>
      <c r="BA72" s="26">
        <v>1565</v>
      </c>
      <c r="BB72" s="27">
        <v>766.5</v>
      </c>
      <c r="BC72" s="26">
        <v>5955</v>
      </c>
      <c r="BD72" s="27">
        <v>2243.3249999999998</v>
      </c>
      <c r="BE72" s="28">
        <v>2815.916666666667</v>
      </c>
      <c r="BF72" s="29">
        <v>1256.0041666666666</v>
      </c>
      <c r="BG72" s="26">
        <v>1752</v>
      </c>
      <c r="BH72" s="27">
        <v>907.19999999999993</v>
      </c>
      <c r="BI72" s="26">
        <v>2206</v>
      </c>
      <c r="BJ72" s="27">
        <v>1138.375</v>
      </c>
      <c r="BK72" s="26">
        <v>3341</v>
      </c>
      <c r="BL72" s="27">
        <v>1520.7499999999998</v>
      </c>
      <c r="BM72" s="26">
        <v>1913</v>
      </c>
      <c r="BN72" s="27">
        <v>821.09999999999991</v>
      </c>
      <c r="BO72" s="26">
        <v>1068</v>
      </c>
      <c r="BP72" s="27">
        <v>489.65</v>
      </c>
      <c r="BQ72" s="26">
        <v>1632</v>
      </c>
      <c r="BR72" s="27">
        <v>763.17499999999995</v>
      </c>
      <c r="BS72" s="26">
        <v>2029</v>
      </c>
      <c r="BT72" s="27">
        <v>1096.1999999999998</v>
      </c>
      <c r="BU72" s="26">
        <v>2274</v>
      </c>
      <c r="BV72" s="27">
        <v>942.89999999999986</v>
      </c>
      <c r="BW72" s="26">
        <v>1207</v>
      </c>
      <c r="BX72" s="27">
        <v>451.14999999999992</v>
      </c>
      <c r="BY72" s="26">
        <v>1780</v>
      </c>
      <c r="BZ72" s="27">
        <v>739.375</v>
      </c>
      <c r="CA72" s="26">
        <v>1518</v>
      </c>
      <c r="CB72" s="27">
        <v>572.59999999999991</v>
      </c>
      <c r="CC72" s="26">
        <v>401</v>
      </c>
      <c r="CD72" s="27">
        <v>170.1</v>
      </c>
      <c r="CE72" s="19">
        <f t="shared" si="15"/>
        <v>1883.6363636363637</v>
      </c>
      <c r="CF72" s="10">
        <f t="shared" si="16"/>
        <v>858.40681818181804</v>
      </c>
      <c r="CG72" s="28">
        <v>1760.0833333333333</v>
      </c>
      <c r="CH72" s="29">
        <v>801.04791666666665</v>
      </c>
      <c r="CI72" s="27"/>
      <c r="CJ72" s="27"/>
      <c r="CK72" s="26">
        <v>397</v>
      </c>
      <c r="CL72" s="27">
        <v>118.29999999999998</v>
      </c>
      <c r="CM72" s="26">
        <v>540</v>
      </c>
      <c r="CN72" s="27">
        <v>211.04999999999998</v>
      </c>
      <c r="CO72" s="26">
        <v>180</v>
      </c>
      <c r="CP72" s="27">
        <v>67.199999999999989</v>
      </c>
      <c r="CQ72" s="26">
        <v>320</v>
      </c>
      <c r="CR72" s="27">
        <v>127.04999999999998</v>
      </c>
      <c r="CS72" s="26">
        <v>499</v>
      </c>
      <c r="CT72" s="27">
        <v>152.42500000000001</v>
      </c>
      <c r="CU72" s="26">
        <v>0</v>
      </c>
      <c r="CV72" s="27">
        <v>0</v>
      </c>
      <c r="CW72" s="26">
        <v>0</v>
      </c>
      <c r="CX72" s="27">
        <v>0</v>
      </c>
      <c r="CY72" s="26">
        <v>0</v>
      </c>
      <c r="CZ72" s="27">
        <v>0</v>
      </c>
      <c r="DA72" s="26">
        <v>0</v>
      </c>
      <c r="DB72" s="27">
        <v>0</v>
      </c>
      <c r="DC72" s="26">
        <v>0</v>
      </c>
      <c r="DD72" s="27">
        <v>0</v>
      </c>
      <c r="DE72" s="26">
        <v>0</v>
      </c>
      <c r="DF72" s="27">
        <v>0</v>
      </c>
      <c r="DG72" s="26">
        <v>0</v>
      </c>
      <c r="DH72" s="27">
        <v>0</v>
      </c>
      <c r="DI72" s="16">
        <f t="shared" si="114"/>
        <v>1936</v>
      </c>
      <c r="DJ72" s="16">
        <f t="shared" si="115"/>
        <v>676.02499999999986</v>
      </c>
      <c r="DK72" s="16"/>
      <c r="DL72" s="16"/>
      <c r="DM72" s="68">
        <f t="shared" si="116"/>
        <v>176</v>
      </c>
      <c r="DN72" s="294">
        <f t="shared" si="117"/>
        <v>61.456818181818171</v>
      </c>
      <c r="DO72" s="69">
        <f t="shared" si="112"/>
        <v>1.0387408232212257E-2</v>
      </c>
      <c r="DP72" s="26">
        <v>397</v>
      </c>
      <c r="DQ72" s="27">
        <v>118.29999999999998</v>
      </c>
      <c r="DR72" s="26">
        <v>540</v>
      </c>
      <c r="DS72" s="27">
        <v>211.04999999999998</v>
      </c>
      <c r="DT72" s="26">
        <v>180</v>
      </c>
      <c r="DU72" s="27">
        <v>67.199999999999989</v>
      </c>
      <c r="DV72" s="26">
        <v>320</v>
      </c>
      <c r="DW72" s="27">
        <v>127.04999999999998</v>
      </c>
      <c r="DX72" s="26">
        <v>499</v>
      </c>
      <c r="DY72" s="27">
        <v>152.42500000000001</v>
      </c>
      <c r="DZ72" s="26">
        <v>0</v>
      </c>
      <c r="EA72" s="27">
        <v>0</v>
      </c>
      <c r="EB72" s="26">
        <v>0</v>
      </c>
      <c r="EC72" s="27">
        <v>0</v>
      </c>
      <c r="ED72" s="26">
        <v>0</v>
      </c>
      <c r="EE72" s="27">
        <v>0</v>
      </c>
      <c r="EF72" s="26">
        <v>0</v>
      </c>
      <c r="EG72" s="27">
        <v>0</v>
      </c>
      <c r="EH72" s="26">
        <v>0</v>
      </c>
      <c r="EI72" s="27">
        <v>0</v>
      </c>
      <c r="EJ72" s="26">
        <v>0</v>
      </c>
      <c r="EK72" s="27">
        <v>0</v>
      </c>
      <c r="EL72" s="26">
        <v>0</v>
      </c>
      <c r="EM72" s="27">
        <v>0</v>
      </c>
      <c r="EN72" s="16">
        <f t="shared" si="118"/>
        <v>1936</v>
      </c>
      <c r="EO72" s="16">
        <f t="shared" si="119"/>
        <v>676.02499999999986</v>
      </c>
      <c r="EP72" s="68">
        <f t="shared" si="120"/>
        <v>176</v>
      </c>
      <c r="EQ72" s="294">
        <f t="shared" si="121"/>
        <v>61.456818181818171</v>
      </c>
      <c r="ER72" s="517"/>
      <c r="ES72" s="88">
        <v>0</v>
      </c>
      <c r="ET72" s="89">
        <v>-100</v>
      </c>
      <c r="EU72" s="89">
        <v>-100</v>
      </c>
      <c r="EZ72" s="71">
        <f t="shared" si="122"/>
        <v>0</v>
      </c>
    </row>
    <row r="73" spans="1:156" hidden="1">
      <c r="A73" s="36"/>
      <c r="B73" s="24" t="s">
        <v>61</v>
      </c>
      <c r="C73" s="24"/>
      <c r="D73" s="24"/>
      <c r="E73" s="24"/>
      <c r="F73" s="24"/>
      <c r="G73" s="37">
        <v>673307</v>
      </c>
      <c r="H73" s="38">
        <v>434360.31</v>
      </c>
      <c r="I73" s="37">
        <v>635325</v>
      </c>
      <c r="J73" s="38">
        <v>409965.08000000007</v>
      </c>
      <c r="K73" s="37">
        <v>722475</v>
      </c>
      <c r="L73" s="38">
        <v>469569.64</v>
      </c>
      <c r="M73" s="37">
        <v>565018</v>
      </c>
      <c r="N73" s="38">
        <v>358186.65500000003</v>
      </c>
      <c r="O73" s="37">
        <v>564244</v>
      </c>
      <c r="P73" s="38">
        <v>364154.08000000007</v>
      </c>
      <c r="Q73" s="37">
        <v>652490</v>
      </c>
      <c r="R73" s="38">
        <v>420300.77999999991</v>
      </c>
      <c r="S73" s="37">
        <v>647908</v>
      </c>
      <c r="T73" s="38">
        <v>418437.21500000008</v>
      </c>
      <c r="U73" s="37">
        <v>719553</v>
      </c>
      <c r="V73" s="38">
        <v>466812.68000000005</v>
      </c>
      <c r="W73" s="37">
        <v>633387</v>
      </c>
      <c r="X73" s="38">
        <v>408968.65500000009</v>
      </c>
      <c r="Y73" s="37">
        <v>599383</v>
      </c>
      <c r="Z73" s="38">
        <v>386824.28500000003</v>
      </c>
      <c r="AA73" s="37">
        <v>667503</v>
      </c>
      <c r="AB73" s="38">
        <v>432396.74000000005</v>
      </c>
      <c r="AC73" s="37">
        <v>726650</v>
      </c>
      <c r="AD73" s="38">
        <v>468939.51500000001</v>
      </c>
      <c r="AE73" s="39">
        <v>650603.58333333337</v>
      </c>
      <c r="AF73" s="29">
        <v>419909.63624999998</v>
      </c>
      <c r="AG73" s="37">
        <v>700686</v>
      </c>
      <c r="AH73" s="38">
        <v>452951.16</v>
      </c>
      <c r="AI73" s="37">
        <v>586745</v>
      </c>
      <c r="AJ73" s="38">
        <v>378003.1</v>
      </c>
      <c r="AK73" s="37">
        <v>564026</v>
      </c>
      <c r="AL73" s="38">
        <v>365983.43</v>
      </c>
      <c r="AM73" s="37">
        <v>568040</v>
      </c>
      <c r="AN73" s="38">
        <v>367781.27000000008</v>
      </c>
      <c r="AO73" s="37">
        <v>478139</v>
      </c>
      <c r="AP73" s="38">
        <v>310902.64500000002</v>
      </c>
      <c r="AQ73" s="37">
        <v>602441</v>
      </c>
      <c r="AR73" s="38">
        <v>390590.63999999996</v>
      </c>
      <c r="AS73" s="37">
        <v>656344</v>
      </c>
      <c r="AT73" s="38">
        <v>425742.52500000002</v>
      </c>
      <c r="AU73" s="37">
        <v>629458</v>
      </c>
      <c r="AV73" s="38">
        <v>406654.19500000007</v>
      </c>
      <c r="AW73" s="37">
        <v>616621</v>
      </c>
      <c r="AX73" s="38">
        <v>399341.25000000006</v>
      </c>
      <c r="AY73" s="37">
        <v>665349</v>
      </c>
      <c r="AZ73" s="38">
        <v>429634.99</v>
      </c>
      <c r="BA73" s="37">
        <v>679818</v>
      </c>
      <c r="BB73" s="38">
        <v>441654.64000000007</v>
      </c>
      <c r="BC73" s="37">
        <v>852653</v>
      </c>
      <c r="BD73" s="38">
        <v>550908.30500000005</v>
      </c>
      <c r="BE73" s="39">
        <v>633360.00000000012</v>
      </c>
      <c r="BF73" s="29">
        <v>410012.34583333327</v>
      </c>
      <c r="BG73" s="37">
        <v>950930</v>
      </c>
      <c r="BH73" s="38">
        <v>614419.39999999991</v>
      </c>
      <c r="BI73" s="37">
        <v>775985</v>
      </c>
      <c r="BJ73" s="38">
        <v>501687.05499999993</v>
      </c>
      <c r="BK73" s="37">
        <v>797449</v>
      </c>
      <c r="BL73" s="38">
        <v>514439.88999999996</v>
      </c>
      <c r="BM73" s="37">
        <v>750991</v>
      </c>
      <c r="BN73" s="38">
        <v>487358.1</v>
      </c>
      <c r="BO73" s="37">
        <v>841660</v>
      </c>
      <c r="BP73" s="38">
        <v>541704.71000000008</v>
      </c>
      <c r="BQ73" s="37">
        <v>822028</v>
      </c>
      <c r="BR73" s="38">
        <v>530600.14500000014</v>
      </c>
      <c r="BS73" s="37">
        <v>870166</v>
      </c>
      <c r="BT73" s="38">
        <v>562774.81999999995</v>
      </c>
      <c r="BU73" s="37">
        <v>866931</v>
      </c>
      <c r="BV73" s="38">
        <v>561856.58000000007</v>
      </c>
      <c r="BW73" s="37">
        <v>902848</v>
      </c>
      <c r="BX73" s="38">
        <v>584416.41</v>
      </c>
      <c r="BY73" s="37">
        <v>948196</v>
      </c>
      <c r="BZ73" s="38">
        <v>616091.02500000002</v>
      </c>
      <c r="CA73" s="37">
        <v>918548</v>
      </c>
      <c r="CB73" s="38">
        <v>596407.62</v>
      </c>
      <c r="CC73" s="37">
        <v>1013832</v>
      </c>
      <c r="CD73" s="38">
        <v>662323.54</v>
      </c>
      <c r="CE73" s="19">
        <f t="shared" ref="CE73" si="123">(BG73+BI73+BK73+BM73+BO73+BQ73+BS73+BU73+BW73+BY73+CA73)/11</f>
        <v>858702.90909090906</v>
      </c>
      <c r="CF73" s="10">
        <f t="shared" ref="CF73" si="124">(BH73+BJ73+BL73+BN73+BP73+BR73+BT73+BV73+BX73+BZ73+CB73)/11</f>
        <v>555614.15954545455</v>
      </c>
      <c r="CG73" s="39">
        <v>871630.33333333337</v>
      </c>
      <c r="CH73" s="29">
        <v>564506.60791666666</v>
      </c>
      <c r="CI73" s="38"/>
      <c r="CJ73" s="38"/>
      <c r="CK73" s="37">
        <v>966149</v>
      </c>
      <c r="CL73" s="38">
        <v>631951.18000000005</v>
      </c>
      <c r="CM73" s="37">
        <v>819391</v>
      </c>
      <c r="CN73" s="38">
        <v>533039.53</v>
      </c>
      <c r="CO73" s="37">
        <v>1020734</v>
      </c>
      <c r="CP73" s="38">
        <v>677415.91999999993</v>
      </c>
      <c r="CQ73" s="37">
        <v>803419</v>
      </c>
      <c r="CR73" s="38">
        <v>524739.30000000005</v>
      </c>
      <c r="CS73" s="37">
        <v>889239</v>
      </c>
      <c r="CT73" s="38">
        <v>583333.91500000015</v>
      </c>
      <c r="CU73" s="37">
        <v>884247</v>
      </c>
      <c r="CV73" s="38">
        <v>578612.40000000014</v>
      </c>
      <c r="CW73" s="37">
        <v>0</v>
      </c>
      <c r="CX73" s="38">
        <v>0</v>
      </c>
      <c r="CY73" s="37">
        <v>0</v>
      </c>
      <c r="CZ73" s="38">
        <v>0</v>
      </c>
      <c r="DA73" s="37">
        <v>0</v>
      </c>
      <c r="DB73" s="38">
        <v>0</v>
      </c>
      <c r="DC73" s="37">
        <v>0</v>
      </c>
      <c r="DD73" s="38">
        <v>0</v>
      </c>
      <c r="DE73" s="37">
        <v>0</v>
      </c>
      <c r="DF73" s="38">
        <v>0</v>
      </c>
      <c r="DG73" s="37">
        <v>0</v>
      </c>
      <c r="DH73" s="38">
        <v>0</v>
      </c>
      <c r="DI73" s="16">
        <f t="shared" si="114"/>
        <v>5383179</v>
      </c>
      <c r="DJ73" s="16">
        <f t="shared" si="115"/>
        <v>3529092.2450000001</v>
      </c>
      <c r="DK73" s="16"/>
      <c r="DL73" s="16"/>
      <c r="DM73" s="68">
        <f>DI73/11</f>
        <v>489379.90909090912</v>
      </c>
      <c r="DN73" s="294">
        <f>DJ73/11</f>
        <v>320826.56772727275</v>
      </c>
      <c r="DO73" s="69">
        <f t="shared" si="112"/>
        <v>54.225985485669085</v>
      </c>
      <c r="DP73" s="37">
        <v>966149</v>
      </c>
      <c r="DQ73" s="38">
        <v>631951.18000000005</v>
      </c>
      <c r="DR73" s="37">
        <v>819391</v>
      </c>
      <c r="DS73" s="38">
        <v>533039.53</v>
      </c>
      <c r="DT73" s="37">
        <v>1020734</v>
      </c>
      <c r="DU73" s="38">
        <v>677415.91999999993</v>
      </c>
      <c r="DV73" s="37">
        <v>803419</v>
      </c>
      <c r="DW73" s="38">
        <v>524739.30000000005</v>
      </c>
      <c r="DX73" s="37">
        <v>889239</v>
      </c>
      <c r="DY73" s="38">
        <v>583333.91500000015</v>
      </c>
      <c r="DZ73" s="37">
        <v>884247</v>
      </c>
      <c r="EA73" s="38">
        <v>578612.40000000014</v>
      </c>
      <c r="EB73" s="37">
        <v>0</v>
      </c>
      <c r="EC73" s="38">
        <v>0</v>
      </c>
      <c r="ED73" s="37">
        <v>0</v>
      </c>
      <c r="EE73" s="38">
        <v>0</v>
      </c>
      <c r="EF73" s="37">
        <v>0</v>
      </c>
      <c r="EG73" s="38">
        <v>0</v>
      </c>
      <c r="EH73" s="37">
        <v>0</v>
      </c>
      <c r="EI73" s="38">
        <v>0</v>
      </c>
      <c r="EJ73" s="37">
        <v>0</v>
      </c>
      <c r="EK73" s="38">
        <v>0</v>
      </c>
      <c r="EL73" s="37">
        <v>0</v>
      </c>
      <c r="EM73" s="38">
        <v>0</v>
      </c>
      <c r="EN73" s="16">
        <f t="shared" si="118"/>
        <v>5383179</v>
      </c>
      <c r="EO73" s="16">
        <f t="shared" si="119"/>
        <v>3529092.2450000001</v>
      </c>
      <c r="EP73" s="68">
        <f t="shared" si="120"/>
        <v>489379.90909090912</v>
      </c>
      <c r="EQ73" s="294">
        <f t="shared" si="121"/>
        <v>320826.56772727275</v>
      </c>
      <c r="ER73" s="517"/>
      <c r="ES73" s="88">
        <v>0</v>
      </c>
      <c r="ET73" s="89">
        <v>-100</v>
      </c>
      <c r="EU73" s="89">
        <v>-100</v>
      </c>
      <c r="EZ73" s="71">
        <f t="shared" ref="EZ73" si="125">EY73*11</f>
        <v>0</v>
      </c>
    </row>
    <row r="74" spans="1:156" ht="21.75" customHeight="1">
      <c r="CG74" s="42"/>
      <c r="CH74" s="42"/>
      <c r="CI74" s="1"/>
      <c r="CJ74" s="41"/>
      <c r="CL74" s="42"/>
      <c r="DJ74" s="1"/>
      <c r="DK74" s="1"/>
      <c r="DL74" s="1"/>
      <c r="DM74" s="506"/>
      <c r="DN74" s="506"/>
      <c r="DQ74" s="42"/>
      <c r="EO74" s="1"/>
      <c r="EP74" s="506"/>
      <c r="EQ74" s="506"/>
      <c r="ER74" s="506"/>
      <c r="ET74" s="242"/>
    </row>
    <row r="75" spans="1:156" ht="21.75" customHeight="1">
      <c r="CG75" s="42"/>
      <c r="CH75" s="42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J75" s="1"/>
      <c r="DK75" s="1"/>
      <c r="DL75" s="1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O75" s="1"/>
    </row>
    <row r="76" spans="1:156">
      <c r="CG76" s="42"/>
      <c r="CH76" s="42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J76" s="1"/>
      <c r="DK76" s="1"/>
      <c r="DL76" s="1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O76" s="1"/>
    </row>
    <row r="77" spans="1:156">
      <c r="DC77" s="43"/>
      <c r="DD77" s="44"/>
      <c r="EH77" s="43"/>
      <c r="EI77" s="44"/>
    </row>
    <row r="78" spans="1:156" ht="21.75" customHeight="1"/>
    <row r="79" spans="1:156" ht="21.75" customHeight="1"/>
    <row r="80" spans="1:156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</sheetData>
  <mergeCells count="81">
    <mergeCell ref="ES2:ES3"/>
    <mergeCell ref="EV2:EW2"/>
    <mergeCell ref="DA2:DB2"/>
    <mergeCell ref="DC2:DD2"/>
    <mergeCell ref="DE2:DF2"/>
    <mergeCell ref="DG2:DH2"/>
    <mergeCell ref="DI2:DJ2"/>
    <mergeCell ref="DM2:DN2"/>
    <mergeCell ref="DP2:DQ2"/>
    <mergeCell ref="DR2:DS2"/>
    <mergeCell ref="DT2:DU2"/>
    <mergeCell ref="DV2:DW2"/>
    <mergeCell ref="DX2:DY2"/>
    <mergeCell ref="DZ2:EA2"/>
    <mergeCell ref="EB2:EC2"/>
    <mergeCell ref="ED2:EE2"/>
    <mergeCell ref="CY2:CZ2"/>
    <mergeCell ref="CC2:CD2"/>
    <mergeCell ref="CE2:CF2"/>
    <mergeCell ref="CG2:CH2"/>
    <mergeCell ref="CK2:CL2"/>
    <mergeCell ref="CM2:CN2"/>
    <mergeCell ref="CO2:CP2"/>
    <mergeCell ref="CQ2:CR2"/>
    <mergeCell ref="CS2:CT2"/>
    <mergeCell ref="CU2:CV2"/>
    <mergeCell ref="CW2:CX2"/>
    <mergeCell ref="CA2:CB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AA2:AB2"/>
    <mergeCell ref="AC2:AD2"/>
    <mergeCell ref="BC2:BD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Q2:R2"/>
    <mergeCell ref="S2:T2"/>
    <mergeCell ref="U2:V2"/>
    <mergeCell ref="W2:X2"/>
    <mergeCell ref="Y2:Z2"/>
    <mergeCell ref="A1:F1"/>
    <mergeCell ref="EV1:EY1"/>
    <mergeCell ref="EZ1:EZ3"/>
    <mergeCell ref="A2:A3"/>
    <mergeCell ref="B2:B3"/>
    <mergeCell ref="C2:C3"/>
    <mergeCell ref="D2:D3"/>
    <mergeCell ref="E2:E3"/>
    <mergeCell ref="F2:F3"/>
    <mergeCell ref="G2:H2"/>
    <mergeCell ref="ET1:EU1"/>
    <mergeCell ref="AE2:AF2"/>
    <mergeCell ref="I2:J2"/>
    <mergeCell ref="K2:L2"/>
    <mergeCell ref="M2:N2"/>
    <mergeCell ref="O2:P2"/>
    <mergeCell ref="EP2:EQ2"/>
    <mergeCell ref="DK2:DL2"/>
    <mergeCell ref="EF2:EG2"/>
    <mergeCell ref="EH2:EI2"/>
    <mergeCell ref="EJ2:EK2"/>
    <mergeCell ref="EL2:EM2"/>
    <mergeCell ref="EN2:EO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2DC3-523B-4BA4-AF49-3ABF2D59BF00}">
  <sheetPr>
    <tabColor rgb="FFFF0000"/>
  </sheetPr>
  <dimension ref="A1:CX20"/>
  <sheetViews>
    <sheetView zoomScale="80" zoomScaleNormal="80" workbookViewId="0">
      <pane xSplit="2" ySplit="2" topLeftCell="BH3" activePane="bottomRight" state="frozen"/>
      <selection activeCell="AO5" sqref="AO5"/>
      <selection pane="topRight" activeCell="AO5" sqref="AO5"/>
      <selection pane="bottomLeft" activeCell="AO5" sqref="AO5"/>
      <selection pane="bottomRight" activeCell="CX4" sqref="CX4"/>
    </sheetView>
  </sheetViews>
  <sheetFormatPr defaultColWidth="9.109375" defaultRowHeight="20.399999999999999"/>
  <cols>
    <col min="1" max="1" width="4.109375" style="126" bestFit="1" customWidth="1"/>
    <col min="2" max="2" width="16.44140625" style="126" bestFit="1" customWidth="1"/>
    <col min="3" max="3" width="11.6640625" style="270" hidden="1" customWidth="1"/>
    <col min="4" max="4" width="12.109375" style="270" hidden="1" customWidth="1"/>
    <col min="5" max="24" width="9" style="270" hidden="1" customWidth="1"/>
    <col min="25" max="25" width="11.88671875" style="270" hidden="1" customWidth="1"/>
    <col min="26" max="28" width="11.6640625" style="270" hidden="1" customWidth="1"/>
    <col min="29" max="30" width="9.88671875" style="126" hidden="1" customWidth="1"/>
    <col min="31" max="31" width="10.6640625" style="126" hidden="1" customWidth="1"/>
    <col min="32" max="33" width="10.44140625" style="126" hidden="1" customWidth="1"/>
    <col min="34" max="35" width="10.6640625" style="126" hidden="1" customWidth="1"/>
    <col min="36" max="37" width="10.44140625" style="126" hidden="1" customWidth="1"/>
    <col min="38" max="39" width="10.109375" style="126" hidden="1" customWidth="1"/>
    <col min="40" max="40" width="10.5546875" style="126" hidden="1" customWidth="1"/>
    <col min="41" max="41" width="10.109375" style="126" hidden="1" customWidth="1"/>
    <col min="42" max="47" width="10.44140625" style="126" hidden="1" customWidth="1"/>
    <col min="48" max="49" width="12.6640625" style="126" hidden="1" customWidth="1"/>
    <col min="50" max="51" width="10.44140625" style="126" hidden="1" customWidth="1"/>
    <col min="52" max="53" width="11.5546875" style="126" hidden="1" customWidth="1"/>
    <col min="54" max="55" width="11.33203125" style="126" hidden="1" customWidth="1"/>
    <col min="56" max="56" width="11.44140625" style="126" hidden="1" customWidth="1"/>
    <col min="57" max="57" width="10" style="126" hidden="1" customWidth="1"/>
    <col min="58" max="59" width="10" style="126" customWidth="1"/>
    <col min="60" max="60" width="10.33203125" style="126" customWidth="1"/>
    <col min="61" max="61" width="9.44140625" style="126" customWidth="1"/>
    <col min="62" max="62" width="11.88671875" style="126" customWidth="1"/>
    <col min="63" max="64" width="10.44140625" style="126" hidden="1" customWidth="1"/>
    <col min="65" max="66" width="10.6640625" style="126" hidden="1" customWidth="1"/>
    <col min="67" max="68" width="10.44140625" style="126" hidden="1" customWidth="1"/>
    <col min="69" max="70" width="10.109375" style="126" hidden="1" customWidth="1"/>
    <col min="71" max="71" width="10.5546875" style="126" hidden="1" customWidth="1"/>
    <col min="72" max="72" width="10.109375" style="126" hidden="1" customWidth="1"/>
    <col min="73" max="78" width="10.44140625" style="126" hidden="1" customWidth="1"/>
    <col min="79" max="80" width="12.6640625" style="126" hidden="1" customWidth="1"/>
    <col min="81" max="82" width="10.44140625" style="126" hidden="1" customWidth="1"/>
    <col min="83" max="84" width="11.5546875" style="126" hidden="1" customWidth="1"/>
    <col min="85" max="86" width="11.33203125" style="126" hidden="1" customWidth="1"/>
    <col min="87" max="87" width="11.44140625" style="126" hidden="1" customWidth="1"/>
    <col min="88" max="88" width="10" style="126" hidden="1" customWidth="1"/>
    <col min="89" max="90" width="10" style="126" customWidth="1"/>
    <col min="91" max="91" width="11.44140625" style="126" customWidth="1"/>
    <col min="92" max="92" width="14" style="126" customWidth="1"/>
    <col min="93" max="93" width="19.5546875" style="126" customWidth="1"/>
    <col min="94" max="94" width="19.44140625" style="126" customWidth="1"/>
    <col min="95" max="95" width="17.109375" style="126" customWidth="1"/>
    <col min="96" max="96" width="13.5546875" style="126" customWidth="1"/>
    <col min="97" max="97" width="17.6640625" style="126" customWidth="1"/>
    <col min="98" max="98" width="12.33203125" style="126" customWidth="1"/>
    <col min="99" max="99" width="11" style="126" customWidth="1"/>
    <col min="100" max="100" width="16.6640625" style="126" bestFit="1" customWidth="1"/>
    <col min="101" max="101" width="13.33203125" style="126" customWidth="1"/>
    <col min="102" max="102" width="19.44140625" style="126" bestFit="1" customWidth="1"/>
    <col min="103" max="16384" width="9.109375" style="126"/>
  </cols>
  <sheetData>
    <row r="1" spans="1:102" ht="30" customHeight="1" thickBot="1">
      <c r="A1" s="886" t="s">
        <v>80</v>
      </c>
      <c r="B1" s="888" t="s">
        <v>81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80"/>
      <c r="AB1" s="280"/>
      <c r="AC1" s="274"/>
      <c r="AD1" s="274"/>
      <c r="AE1" s="138"/>
      <c r="AF1" s="890" t="s">
        <v>82</v>
      </c>
      <c r="AG1" s="890"/>
      <c r="AH1" s="890"/>
      <c r="AI1" s="890"/>
      <c r="AJ1" s="890"/>
      <c r="AK1" s="890"/>
      <c r="AL1" s="890"/>
      <c r="AM1" s="890"/>
      <c r="AN1" s="890"/>
      <c r="AO1" s="890"/>
      <c r="AP1" s="890"/>
      <c r="AQ1" s="890"/>
      <c r="AR1" s="890"/>
      <c r="AS1" s="890"/>
      <c r="AT1" s="890"/>
      <c r="AU1" s="890"/>
      <c r="AV1" s="890"/>
      <c r="AW1" s="890"/>
      <c r="AX1" s="890"/>
      <c r="AY1" s="890"/>
      <c r="AZ1" s="890"/>
      <c r="BA1" s="890"/>
      <c r="BB1" s="890"/>
      <c r="BC1" s="890"/>
      <c r="BD1" s="890"/>
      <c r="BE1" s="890"/>
      <c r="BF1" s="890"/>
      <c r="BG1" s="890"/>
      <c r="BH1" s="890"/>
      <c r="BI1" s="890"/>
      <c r="BJ1" s="878" t="s">
        <v>333</v>
      </c>
      <c r="BK1" s="515"/>
      <c r="BL1" s="515"/>
      <c r="BM1" s="515"/>
      <c r="BN1" s="515"/>
      <c r="BO1" s="515"/>
      <c r="BP1" s="515"/>
      <c r="BQ1" s="515"/>
      <c r="BR1" s="515"/>
      <c r="BS1" s="515"/>
      <c r="BT1" s="515"/>
      <c r="BU1" s="515"/>
      <c r="BV1" s="515"/>
      <c r="BW1" s="515"/>
      <c r="BX1" s="515"/>
      <c r="BY1" s="515"/>
      <c r="BZ1" s="515"/>
      <c r="CA1" s="515"/>
      <c r="CB1" s="515"/>
      <c r="CC1" s="515"/>
      <c r="CD1" s="515"/>
      <c r="CE1" s="515"/>
      <c r="CF1" s="515"/>
      <c r="CG1" s="515"/>
      <c r="CH1" s="515"/>
      <c r="CI1" s="515"/>
      <c r="CJ1" s="515"/>
      <c r="CK1" s="515"/>
      <c r="CL1" s="515"/>
      <c r="CM1" s="878" t="s">
        <v>1263</v>
      </c>
      <c r="CN1" s="902" t="s">
        <v>109</v>
      </c>
      <c r="CO1" s="546"/>
      <c r="CP1" s="547"/>
      <c r="CQ1" s="899" t="s">
        <v>70</v>
      </c>
      <c r="CR1" s="899"/>
      <c r="CS1" s="899"/>
      <c r="CT1" s="899"/>
      <c r="CU1" s="900" t="s">
        <v>1265</v>
      </c>
      <c r="CV1" s="435"/>
      <c r="CW1" s="436"/>
      <c r="CX1" s="437"/>
    </row>
    <row r="2" spans="1:102" ht="27" customHeight="1">
      <c r="A2" s="887"/>
      <c r="B2" s="889"/>
      <c r="C2" s="892">
        <v>45292</v>
      </c>
      <c r="D2" s="893"/>
      <c r="E2" s="892">
        <v>45323</v>
      </c>
      <c r="F2" s="893"/>
      <c r="G2" s="892">
        <v>45352</v>
      </c>
      <c r="H2" s="893"/>
      <c r="I2" s="892">
        <v>45383</v>
      </c>
      <c r="J2" s="893"/>
      <c r="K2" s="892">
        <v>45413</v>
      </c>
      <c r="L2" s="893"/>
      <c r="M2" s="892">
        <v>45444</v>
      </c>
      <c r="N2" s="893"/>
      <c r="O2" s="892">
        <v>45474</v>
      </c>
      <c r="P2" s="893"/>
      <c r="Q2" s="892">
        <v>45505</v>
      </c>
      <c r="R2" s="893"/>
      <c r="S2" s="892">
        <v>45536</v>
      </c>
      <c r="T2" s="893"/>
      <c r="U2" s="892">
        <v>45566</v>
      </c>
      <c r="V2" s="893"/>
      <c r="W2" s="892">
        <v>45597</v>
      </c>
      <c r="X2" s="893"/>
      <c r="Y2" s="892">
        <v>45627</v>
      </c>
      <c r="Z2" s="893"/>
      <c r="AA2" s="897" t="s">
        <v>326</v>
      </c>
      <c r="AB2" s="898"/>
      <c r="AC2" s="891" t="s">
        <v>178</v>
      </c>
      <c r="AD2" s="891"/>
      <c r="AE2" s="132" t="s">
        <v>67</v>
      </c>
      <c r="AF2" s="883" t="s">
        <v>83</v>
      </c>
      <c r="AG2" s="883"/>
      <c r="AH2" s="883" t="s">
        <v>84</v>
      </c>
      <c r="AI2" s="883"/>
      <c r="AJ2" s="883" t="s">
        <v>85</v>
      </c>
      <c r="AK2" s="883"/>
      <c r="AL2" s="883" t="s">
        <v>86</v>
      </c>
      <c r="AM2" s="883"/>
      <c r="AN2" s="883" t="s">
        <v>87</v>
      </c>
      <c r="AO2" s="883"/>
      <c r="AP2" s="883" t="s">
        <v>88</v>
      </c>
      <c r="AQ2" s="883"/>
      <c r="AR2" s="883" t="s">
        <v>89</v>
      </c>
      <c r="AS2" s="883"/>
      <c r="AT2" s="883" t="s">
        <v>90</v>
      </c>
      <c r="AU2" s="883"/>
      <c r="AV2" s="883" t="s">
        <v>91</v>
      </c>
      <c r="AW2" s="883"/>
      <c r="AX2" s="884" t="s">
        <v>92</v>
      </c>
      <c r="AY2" s="884"/>
      <c r="AZ2" s="884" t="s">
        <v>93</v>
      </c>
      <c r="BA2" s="884"/>
      <c r="BB2" s="884" t="s">
        <v>94</v>
      </c>
      <c r="BC2" s="884"/>
      <c r="BD2" s="884" t="s">
        <v>331</v>
      </c>
      <c r="BE2" s="884"/>
      <c r="BF2" s="885" t="s">
        <v>1255</v>
      </c>
      <c r="BG2" s="885"/>
      <c r="BH2" s="885" t="s">
        <v>332</v>
      </c>
      <c r="BI2" s="885"/>
      <c r="BJ2" s="879"/>
      <c r="BK2" s="882">
        <v>46023</v>
      </c>
      <c r="BL2" s="883"/>
      <c r="BM2" s="882">
        <v>46054</v>
      </c>
      <c r="BN2" s="883"/>
      <c r="BO2" s="882">
        <v>46082</v>
      </c>
      <c r="BP2" s="883"/>
      <c r="BQ2" s="882">
        <v>46113</v>
      </c>
      <c r="BR2" s="883"/>
      <c r="BS2" s="882">
        <v>46143</v>
      </c>
      <c r="BT2" s="883"/>
      <c r="BU2" s="882">
        <v>46174</v>
      </c>
      <c r="BV2" s="883"/>
      <c r="BW2" s="882">
        <v>46204</v>
      </c>
      <c r="BX2" s="883"/>
      <c r="BY2" s="882">
        <v>46235</v>
      </c>
      <c r="BZ2" s="883"/>
      <c r="CA2" s="882">
        <v>46266</v>
      </c>
      <c r="CB2" s="883"/>
      <c r="CC2" s="882">
        <v>46296</v>
      </c>
      <c r="CD2" s="883"/>
      <c r="CE2" s="882">
        <v>46327</v>
      </c>
      <c r="CF2" s="883"/>
      <c r="CG2" s="882">
        <v>46357</v>
      </c>
      <c r="CH2" s="883"/>
      <c r="CI2" s="884" t="s">
        <v>331</v>
      </c>
      <c r="CJ2" s="884"/>
      <c r="CK2" s="885" t="s">
        <v>1256</v>
      </c>
      <c r="CL2" s="885"/>
      <c r="CM2" s="879"/>
      <c r="CN2" s="903"/>
      <c r="CO2" s="548" t="s">
        <v>1259</v>
      </c>
      <c r="CP2" s="548" t="s">
        <v>335</v>
      </c>
      <c r="CQ2" s="899" t="s">
        <v>75</v>
      </c>
      <c r="CR2" s="899"/>
      <c r="CS2" s="880" t="s">
        <v>76</v>
      </c>
      <c r="CT2" s="881"/>
      <c r="CU2" s="901"/>
      <c r="CV2" s="894" t="s">
        <v>337</v>
      </c>
      <c r="CW2" s="895"/>
      <c r="CX2" s="896"/>
    </row>
    <row r="3" spans="1:102" ht="40.5" customHeight="1" thickBot="1">
      <c r="A3" s="142"/>
      <c r="B3" s="133"/>
      <c r="C3" s="258" t="s">
        <v>96</v>
      </c>
      <c r="D3" s="259" t="s">
        <v>97</v>
      </c>
      <c r="E3" s="258" t="s">
        <v>96</v>
      </c>
      <c r="F3" s="259" t="s">
        <v>97</v>
      </c>
      <c r="G3" s="258" t="s">
        <v>96</v>
      </c>
      <c r="H3" s="259" t="s">
        <v>97</v>
      </c>
      <c r="I3" s="258" t="s">
        <v>96</v>
      </c>
      <c r="J3" s="259" t="s">
        <v>97</v>
      </c>
      <c r="K3" s="258" t="s">
        <v>96</v>
      </c>
      <c r="L3" s="259" t="s">
        <v>97</v>
      </c>
      <c r="M3" s="258" t="s">
        <v>96</v>
      </c>
      <c r="N3" s="259" t="s">
        <v>97</v>
      </c>
      <c r="O3" s="258" t="s">
        <v>96</v>
      </c>
      <c r="P3" s="259" t="s">
        <v>97</v>
      </c>
      <c r="Q3" s="258" t="s">
        <v>96</v>
      </c>
      <c r="R3" s="259" t="s">
        <v>97</v>
      </c>
      <c r="S3" s="258" t="s">
        <v>96</v>
      </c>
      <c r="T3" s="259" t="s">
        <v>97</v>
      </c>
      <c r="U3" s="258" t="s">
        <v>96</v>
      </c>
      <c r="V3" s="259" t="s">
        <v>97</v>
      </c>
      <c r="W3" s="258" t="s">
        <v>96</v>
      </c>
      <c r="X3" s="259" t="s">
        <v>97</v>
      </c>
      <c r="Y3" s="258" t="s">
        <v>96</v>
      </c>
      <c r="Z3" s="259" t="s">
        <v>97</v>
      </c>
      <c r="AA3" s="278" t="s">
        <v>96</v>
      </c>
      <c r="AB3" s="279" t="s">
        <v>97</v>
      </c>
      <c r="AC3" s="275" t="s">
        <v>96</v>
      </c>
      <c r="AD3" s="275" t="s">
        <v>69</v>
      </c>
      <c r="AE3" s="137" t="s">
        <v>69</v>
      </c>
      <c r="AF3" s="134" t="s">
        <v>96</v>
      </c>
      <c r="AG3" s="134" t="s">
        <v>69</v>
      </c>
      <c r="AH3" s="134" t="s">
        <v>96</v>
      </c>
      <c r="AI3" s="134" t="s">
        <v>69</v>
      </c>
      <c r="AJ3" s="134" t="s">
        <v>96</v>
      </c>
      <c r="AK3" s="134" t="s">
        <v>69</v>
      </c>
      <c r="AL3" s="134" t="s">
        <v>96</v>
      </c>
      <c r="AM3" s="134" t="s">
        <v>69</v>
      </c>
      <c r="AN3" s="134" t="s">
        <v>96</v>
      </c>
      <c r="AO3" s="134" t="s">
        <v>69</v>
      </c>
      <c r="AP3" s="134" t="s">
        <v>96</v>
      </c>
      <c r="AQ3" s="134" t="s">
        <v>69</v>
      </c>
      <c r="AR3" s="134" t="s">
        <v>96</v>
      </c>
      <c r="AS3" s="134" t="s">
        <v>69</v>
      </c>
      <c r="AT3" s="134" t="s">
        <v>96</v>
      </c>
      <c r="AU3" s="134" t="s">
        <v>69</v>
      </c>
      <c r="AV3" s="134" t="s">
        <v>96</v>
      </c>
      <c r="AW3" s="134" t="s">
        <v>69</v>
      </c>
      <c r="AX3" s="134" t="s">
        <v>96</v>
      </c>
      <c r="AY3" s="134" t="s">
        <v>69</v>
      </c>
      <c r="AZ3" s="134" t="s">
        <v>96</v>
      </c>
      <c r="BA3" s="134" t="s">
        <v>69</v>
      </c>
      <c r="BB3" s="134" t="s">
        <v>96</v>
      </c>
      <c r="BC3" s="134" t="s">
        <v>69</v>
      </c>
      <c r="BD3" s="135" t="s">
        <v>96</v>
      </c>
      <c r="BE3" s="135" t="s">
        <v>97</v>
      </c>
      <c r="BF3" s="135" t="s">
        <v>96</v>
      </c>
      <c r="BG3" s="135" t="s">
        <v>97</v>
      </c>
      <c r="BH3" s="135" t="s">
        <v>96</v>
      </c>
      <c r="BI3" s="135" t="s">
        <v>97</v>
      </c>
      <c r="BJ3" s="136" t="s">
        <v>69</v>
      </c>
      <c r="BK3" s="134" t="s">
        <v>96</v>
      </c>
      <c r="BL3" s="134" t="s">
        <v>69</v>
      </c>
      <c r="BM3" s="134" t="s">
        <v>96</v>
      </c>
      <c r="BN3" s="134" t="s">
        <v>69</v>
      </c>
      <c r="BO3" s="134" t="s">
        <v>96</v>
      </c>
      <c r="BP3" s="134" t="s">
        <v>69</v>
      </c>
      <c r="BQ3" s="134" t="s">
        <v>96</v>
      </c>
      <c r="BR3" s="134" t="s">
        <v>69</v>
      </c>
      <c r="BS3" s="134" t="s">
        <v>96</v>
      </c>
      <c r="BT3" s="134" t="s">
        <v>69</v>
      </c>
      <c r="BU3" s="134" t="s">
        <v>96</v>
      </c>
      <c r="BV3" s="134" t="s">
        <v>69</v>
      </c>
      <c r="BW3" s="134" t="s">
        <v>96</v>
      </c>
      <c r="BX3" s="134" t="s">
        <v>69</v>
      </c>
      <c r="BY3" s="134" t="s">
        <v>96</v>
      </c>
      <c r="BZ3" s="134" t="s">
        <v>69</v>
      </c>
      <c r="CA3" s="134" t="s">
        <v>96</v>
      </c>
      <c r="CB3" s="134" t="s">
        <v>69</v>
      </c>
      <c r="CC3" s="134" t="s">
        <v>96</v>
      </c>
      <c r="CD3" s="134" t="s">
        <v>69</v>
      </c>
      <c r="CE3" s="134" t="s">
        <v>96</v>
      </c>
      <c r="CF3" s="134" t="s">
        <v>69</v>
      </c>
      <c r="CG3" s="134" t="s">
        <v>96</v>
      </c>
      <c r="CH3" s="134" t="s">
        <v>69</v>
      </c>
      <c r="CI3" s="135" t="s">
        <v>96</v>
      </c>
      <c r="CJ3" s="135" t="s">
        <v>97</v>
      </c>
      <c r="CK3" s="135" t="s">
        <v>96</v>
      </c>
      <c r="CL3" s="135" t="s">
        <v>97</v>
      </c>
      <c r="CM3" s="135" t="s">
        <v>69</v>
      </c>
      <c r="CN3" s="549" t="s">
        <v>69</v>
      </c>
      <c r="CO3" s="548" t="s">
        <v>69</v>
      </c>
      <c r="CP3" s="548" t="s">
        <v>69</v>
      </c>
      <c r="CQ3" s="548" t="s">
        <v>77</v>
      </c>
      <c r="CR3" s="548" t="s">
        <v>1264</v>
      </c>
      <c r="CS3" s="548" t="s">
        <v>77</v>
      </c>
      <c r="CT3" s="548" t="s">
        <v>79</v>
      </c>
      <c r="CU3" s="550"/>
      <c r="CV3" s="438" t="s">
        <v>338</v>
      </c>
      <c r="CW3" s="439" t="s">
        <v>339</v>
      </c>
      <c r="CX3" s="500" t="s">
        <v>1266</v>
      </c>
    </row>
    <row r="4" spans="1:102" s="129" customFormat="1" ht="27" customHeight="1">
      <c r="A4" s="143">
        <v>1</v>
      </c>
      <c r="B4" s="127" t="s">
        <v>98</v>
      </c>
      <c r="C4" s="260">
        <v>363698</v>
      </c>
      <c r="D4" s="261">
        <v>235279.52</v>
      </c>
      <c r="E4" s="262">
        <v>301013</v>
      </c>
      <c r="F4" s="263">
        <v>194658.16000000003</v>
      </c>
      <c r="G4" s="264">
        <v>324304</v>
      </c>
      <c r="H4" s="265">
        <v>209268.28</v>
      </c>
      <c r="I4" s="264">
        <v>288747</v>
      </c>
      <c r="J4" s="265">
        <v>186816.91</v>
      </c>
      <c r="K4" s="266">
        <v>311927</v>
      </c>
      <c r="L4" s="267">
        <v>201597.30000000002</v>
      </c>
      <c r="M4" s="264">
        <v>304753</v>
      </c>
      <c r="N4" s="265">
        <v>197206.79</v>
      </c>
      <c r="O4" s="264">
        <v>335545</v>
      </c>
      <c r="P4" s="265">
        <v>217770.2</v>
      </c>
      <c r="Q4" s="264">
        <v>291699</v>
      </c>
      <c r="R4" s="265">
        <v>189748.86</v>
      </c>
      <c r="S4" s="264">
        <v>338532</v>
      </c>
      <c r="T4" s="265">
        <v>220589.28</v>
      </c>
      <c r="U4" s="264">
        <v>322318</v>
      </c>
      <c r="V4" s="265">
        <v>210903.52000000002</v>
      </c>
      <c r="W4" s="264">
        <v>366052</v>
      </c>
      <c r="X4" s="265">
        <v>237762.48</v>
      </c>
      <c r="Y4" s="264">
        <v>399242</v>
      </c>
      <c r="Z4" s="265">
        <v>260025.92000000004</v>
      </c>
      <c r="AA4" s="272">
        <f>(C4+E4+G4+I4+K4+M4+O4+Q4+S4+U4+W4)/11</f>
        <v>322598.90909090912</v>
      </c>
      <c r="AB4" s="265">
        <f>(D4+F4+H4+J4+L4+N4+P4+R4+T4+V4+X4)/11</f>
        <v>209236.48181818184</v>
      </c>
      <c r="AC4" s="276">
        <f>(C4+E4+G4+I4+K4+M4+O4+Q4+S4+U4+W4+Y4)/12</f>
        <v>328985.83333333331</v>
      </c>
      <c r="AD4" s="281">
        <f>(D4+F4+H4+J4+L4+N4+P4+R4+T4+V4+X4+Z4)/12</f>
        <v>213468.93500000003</v>
      </c>
      <c r="AE4" s="139">
        <f t="shared" ref="AE4:AE14" si="0">AD4/$AD$15%</f>
        <v>37.868871649944346</v>
      </c>
      <c r="AF4" s="128">
        <v>367121</v>
      </c>
      <c r="AG4" s="128">
        <v>240101.3200000003</v>
      </c>
      <c r="AH4" s="128">
        <v>295933</v>
      </c>
      <c r="AI4" s="128">
        <v>191759.08000000007</v>
      </c>
      <c r="AJ4" s="128">
        <v>340823</v>
      </c>
      <c r="AK4" s="128">
        <v>221689.16000000038</v>
      </c>
      <c r="AL4" s="128">
        <v>301632</v>
      </c>
      <c r="AM4" s="128">
        <v>197593.51000000015</v>
      </c>
      <c r="AN4" s="128">
        <v>328803</v>
      </c>
      <c r="AO4" s="128">
        <v>215845.55000000048</v>
      </c>
      <c r="AP4" s="128">
        <v>327493</v>
      </c>
      <c r="AQ4" s="128">
        <v>214991.94000000024</v>
      </c>
      <c r="AR4" s="128">
        <v>363784</v>
      </c>
      <c r="AS4" s="128">
        <v>237539.67000000036</v>
      </c>
      <c r="AT4" s="128">
        <v>316803</v>
      </c>
      <c r="AU4" s="128">
        <v>208645.68000000025</v>
      </c>
      <c r="AV4" s="128">
        <v>362709</v>
      </c>
      <c r="AW4" s="128">
        <v>239448.2399999997</v>
      </c>
      <c r="AX4" s="128">
        <v>355551</v>
      </c>
      <c r="AY4" s="128">
        <v>234021.54000000036</v>
      </c>
      <c r="AZ4" s="128">
        <v>335794</v>
      </c>
      <c r="BA4" s="128">
        <v>220363.84000000026</v>
      </c>
      <c r="BB4" s="128">
        <v>358228</v>
      </c>
      <c r="BC4" s="128">
        <v>235248.88000000032</v>
      </c>
      <c r="BD4" s="128">
        <f>AF4+AH4+AJ4+AL4+AN4+AP4+AR4+AT4+AV4+AX4+AZ4+BB4</f>
        <v>4054674</v>
      </c>
      <c r="BE4" s="128">
        <f>AG4+AI4+AK4+AM4+AO4+AQ4+AS4+AU4+AW4+AY4+BA4+BC4</f>
        <v>2657248.4100000029</v>
      </c>
      <c r="BF4" s="128">
        <f>(AF4+AH4)/2</f>
        <v>331527</v>
      </c>
      <c r="BG4" s="544">
        <f>(AG4+AI4)/2</f>
        <v>215930.20000000019</v>
      </c>
      <c r="BH4" s="140">
        <f>BD4/12</f>
        <v>337889.5</v>
      </c>
      <c r="BI4" s="283">
        <f>BE4/12</f>
        <v>221437.36750000025</v>
      </c>
      <c r="BJ4" s="141">
        <f>BI4/$BI$15%</f>
        <v>37.427260345368957</v>
      </c>
      <c r="BK4" s="128">
        <v>339857</v>
      </c>
      <c r="BL4" s="128">
        <v>225404.48000000027</v>
      </c>
      <c r="BM4" s="128">
        <v>286632</v>
      </c>
      <c r="BN4" s="128">
        <v>188273.52000000011</v>
      </c>
      <c r="BO4" s="128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>
        <f>BK4+BM4+BO4+BQ4+BS4+BU4+BW4+BY4+CA4+CC4+CE4+CG4</f>
        <v>626489</v>
      </c>
      <c r="CJ4" s="128">
        <f>BL4+BN4+BP4+BR4+BT4+BV4+BX4+BZ4+CB4+CD4+CF4+CH4</f>
        <v>413678.00000000035</v>
      </c>
      <c r="CK4" s="128">
        <f>CI4/2</f>
        <v>313244.5</v>
      </c>
      <c r="CL4" s="283">
        <f>CJ4/2</f>
        <v>206839.00000000017</v>
      </c>
      <c r="CM4" s="557">
        <f>CL4/$CL$15%</f>
        <v>39.951830422318636</v>
      </c>
      <c r="CN4" s="556">
        <f>CM4-BJ4</f>
        <v>2.5245700769496793</v>
      </c>
      <c r="CO4" s="551">
        <f>CL4/BG4*100-100</f>
        <v>-4.2102494231932326</v>
      </c>
      <c r="CP4" s="554">
        <f>CL4/BI4*100-100</f>
        <v>-6.5925492453300905</v>
      </c>
      <c r="CQ4" s="554">
        <f t="shared" ref="CQ4" si="1">CL4-BI4</f>
        <v>-14598.36750000008</v>
      </c>
      <c r="CR4" s="554">
        <f t="shared" ref="CR4" si="2">CL4-BG4</f>
        <v>-9091.2000000000116</v>
      </c>
      <c r="CS4" s="554">
        <f>CQ4/14</f>
        <v>-1042.7405357142914</v>
      </c>
      <c r="CT4" s="554">
        <f>CR4/14</f>
        <v>-649.37142857142942</v>
      </c>
      <c r="CU4" s="555">
        <f>CT4*2</f>
        <v>-1298.7428571428588</v>
      </c>
      <c r="CV4" s="552">
        <f>BI4*12*108%</f>
        <v>2869828.2828000034</v>
      </c>
      <c r="CW4" s="552">
        <f>CV4-(CL4*2)</f>
        <v>2456150.282800003</v>
      </c>
      <c r="CX4" s="553">
        <f>CW4/10</f>
        <v>245615.02828000029</v>
      </c>
    </row>
    <row r="5" spans="1:102" s="129" customFormat="1" ht="27" customHeight="1">
      <c r="A5" s="143">
        <v>2</v>
      </c>
      <c r="B5" s="127" t="s">
        <v>99</v>
      </c>
      <c r="C5" s="260">
        <v>13516</v>
      </c>
      <c r="D5" s="261">
        <v>8664.64</v>
      </c>
      <c r="E5" s="264">
        <v>17786</v>
      </c>
      <c r="F5" s="265">
        <v>11458.639999999998</v>
      </c>
      <c r="G5" s="262">
        <v>21047</v>
      </c>
      <c r="H5" s="263">
        <v>13631.960000000001</v>
      </c>
      <c r="I5" s="262">
        <v>24458</v>
      </c>
      <c r="J5" s="263">
        <v>15754.730000000001</v>
      </c>
      <c r="K5" s="262">
        <v>23067</v>
      </c>
      <c r="L5" s="263">
        <v>15080.16</v>
      </c>
      <c r="M5" s="262">
        <v>18267</v>
      </c>
      <c r="N5" s="263">
        <v>11786.640000000001</v>
      </c>
      <c r="O5" s="262">
        <v>22212</v>
      </c>
      <c r="P5" s="263">
        <v>14248.320000000002</v>
      </c>
      <c r="Q5" s="262">
        <v>25245</v>
      </c>
      <c r="R5" s="263">
        <v>16227.720000000001</v>
      </c>
      <c r="S5" s="262">
        <v>25745</v>
      </c>
      <c r="T5" s="263">
        <v>16546.159999999996</v>
      </c>
      <c r="U5" s="262">
        <v>19393</v>
      </c>
      <c r="V5" s="263">
        <v>12463.39</v>
      </c>
      <c r="W5" s="262">
        <v>25490</v>
      </c>
      <c r="X5" s="263">
        <v>16474.879999999997</v>
      </c>
      <c r="Y5" s="262">
        <v>22598</v>
      </c>
      <c r="Z5" s="263">
        <v>15026</v>
      </c>
      <c r="AA5" s="272">
        <f t="shared" ref="AA5:AA15" si="3">(C5+E5+G5+I5+K5+M5+O5+Q5+S5+U5+W5)/11</f>
        <v>21475.090909090908</v>
      </c>
      <c r="AB5" s="265">
        <f t="shared" ref="AB5:AB15" si="4">(D5+F5+H5+J5+L5+N5+P5+R5+T5+V5+X5)/11</f>
        <v>13848.839999999998</v>
      </c>
      <c r="AC5" s="276">
        <f t="shared" ref="AC5:AC15" si="5">(C5+E5+G5+I5+K5+M5+O5+Q5+S5+U5+W5+Y5)/12</f>
        <v>21568.666666666668</v>
      </c>
      <c r="AD5" s="281">
        <f t="shared" ref="AD5:AD15" si="6">(D5+F5+H5+J5+L5+N5+P5+R5+T5+V5+X5+Z5)/12</f>
        <v>13946.936666666666</v>
      </c>
      <c r="AE5" s="139">
        <f t="shared" si="0"/>
        <v>2.4741527592288897</v>
      </c>
      <c r="AF5" s="128">
        <v>26879</v>
      </c>
      <c r="AG5" s="128">
        <v>17997.19999999999</v>
      </c>
      <c r="AH5" s="128">
        <v>20688</v>
      </c>
      <c r="AI5" s="128">
        <v>13724.639999999992</v>
      </c>
      <c r="AJ5" s="128">
        <v>25006</v>
      </c>
      <c r="AK5" s="128">
        <v>16658.319999999992</v>
      </c>
      <c r="AL5" s="128">
        <v>25958</v>
      </c>
      <c r="AM5" s="128">
        <v>17155.039999999972</v>
      </c>
      <c r="AN5" s="128">
        <v>31590</v>
      </c>
      <c r="AO5" s="128">
        <v>20595.599999999973</v>
      </c>
      <c r="AP5" s="128">
        <v>24888</v>
      </c>
      <c r="AQ5" s="128">
        <v>16422.959999999985</v>
      </c>
      <c r="AR5" s="128">
        <v>26869</v>
      </c>
      <c r="AS5" s="128">
        <v>17950.839999999997</v>
      </c>
      <c r="AT5" s="128">
        <v>19814</v>
      </c>
      <c r="AU5" s="128">
        <v>12893.12</v>
      </c>
      <c r="AV5" s="128">
        <v>19787</v>
      </c>
      <c r="AW5" s="128">
        <v>13005.2</v>
      </c>
      <c r="AX5" s="128">
        <v>21474</v>
      </c>
      <c r="AY5" s="128">
        <v>14065.919999999993</v>
      </c>
      <c r="AZ5" s="128">
        <v>17408</v>
      </c>
      <c r="BA5" s="128">
        <v>11460.319999999998</v>
      </c>
      <c r="BB5" s="128">
        <v>16484</v>
      </c>
      <c r="BC5" s="128">
        <v>10877.840000000002</v>
      </c>
      <c r="BD5" s="128">
        <f t="shared" ref="BD5:BD14" si="7">AF5+AH5+AJ5+AL5+AN5+AP5+AR5+AT5+AV5+AX5+AZ5+BB5</f>
        <v>276845</v>
      </c>
      <c r="BE5" s="128">
        <f t="shared" ref="BE5:BE14" si="8">AG5+AI5+AK5+AM5+AO5+AQ5+AS5+AU5+AW5+AY5+BA5+BC5</f>
        <v>182806.99999999988</v>
      </c>
      <c r="BF5" s="128">
        <f t="shared" ref="BF5:BF14" si="9">(AF5+AH5)/2</f>
        <v>23783.5</v>
      </c>
      <c r="BG5" s="544">
        <f t="shared" ref="BG5:BG14" si="10">(AG5+AI5)/2</f>
        <v>15860.919999999991</v>
      </c>
      <c r="BH5" s="140">
        <f t="shared" ref="BH5:BH14" si="11">BD5/12</f>
        <v>23070.416666666668</v>
      </c>
      <c r="BI5" s="283">
        <f t="shared" ref="BI5:BI14" si="12">BE5/12</f>
        <v>15233.916666666657</v>
      </c>
      <c r="BJ5" s="141">
        <f t="shared" ref="BJ5:BJ15" si="13">BI5/$BI$15%</f>
        <v>2.5748308499151009</v>
      </c>
      <c r="BK5" s="128">
        <v>15858</v>
      </c>
      <c r="BL5" s="128">
        <v>10534.560000000003</v>
      </c>
      <c r="BM5" s="128">
        <v>14245</v>
      </c>
      <c r="BN5" s="128">
        <v>9623.2000000000007</v>
      </c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>
        <f t="shared" ref="CI5:CI14" si="14">BK5+BM5+BO5+BQ5+BS5+BU5+BW5+BY5+CA5+CC5+CE5+CG5</f>
        <v>30103</v>
      </c>
      <c r="CJ5" s="128">
        <f t="shared" ref="CJ5:CJ14" si="15">BL5+BN5+BP5+BR5+BT5+BV5+BX5+BZ5+CB5+CD5+CF5+CH5</f>
        <v>20157.760000000002</v>
      </c>
      <c r="CK5" s="128">
        <f t="shared" ref="CK5:CK14" si="16">CI5/2</f>
        <v>15051.5</v>
      </c>
      <c r="CL5" s="283">
        <f t="shared" ref="CL5:CL14" si="17">CJ5/2</f>
        <v>10078.880000000001</v>
      </c>
      <c r="CM5" s="557">
        <f t="shared" ref="CM5:CM15" si="18">CL5/$CL$15%</f>
        <v>1.9467784344678642</v>
      </c>
      <c r="CN5" s="556">
        <f t="shared" ref="CN5:CN15" si="19">CM5-BJ5</f>
        <v>-0.62805241544723667</v>
      </c>
      <c r="CO5" s="551">
        <f t="shared" ref="CO5:CO15" si="20">CL5/BG5*100-100</f>
        <v>-36.454631887683654</v>
      </c>
      <c r="CP5" s="554">
        <f t="shared" ref="CP5:CP15" si="21">CL5/BI5*100-100</f>
        <v>-33.83920747017342</v>
      </c>
      <c r="CQ5" s="554">
        <f t="shared" ref="CQ5:CQ15" si="22">CL5-BI5</f>
        <v>-5155.0366666666559</v>
      </c>
      <c r="CR5" s="554">
        <f t="shared" ref="CR5:CR15" si="23">CL5-BG5</f>
        <v>-5782.03999999999</v>
      </c>
      <c r="CS5" s="554">
        <f t="shared" ref="CS5:CS15" si="24">CQ5/14</f>
        <v>-368.216904761904</v>
      </c>
      <c r="CT5" s="554">
        <f t="shared" ref="CT5:CT15" si="25">CR5/14</f>
        <v>-413.00285714285644</v>
      </c>
      <c r="CU5" s="555">
        <f t="shared" ref="CU5:CU15" si="26">CT5*2</f>
        <v>-826.00571428571288</v>
      </c>
      <c r="CV5" s="552">
        <f t="shared" ref="CV5:CV15" si="27">BI5*12*108%</f>
        <v>197431.55999999988</v>
      </c>
      <c r="CW5" s="552">
        <f t="shared" ref="CW5:CW15" si="28">CV5-(CL5*2)</f>
        <v>177273.79999999987</v>
      </c>
      <c r="CX5" s="553">
        <f t="shared" ref="CX5:CX14" si="29">CW5/10</f>
        <v>17727.379999999986</v>
      </c>
    </row>
    <row r="6" spans="1:102" ht="27" customHeight="1">
      <c r="A6" s="143">
        <v>3</v>
      </c>
      <c r="B6" s="130" t="s">
        <v>100</v>
      </c>
      <c r="C6" s="260">
        <v>170238</v>
      </c>
      <c r="D6" s="261">
        <v>109204.31999999999</v>
      </c>
      <c r="E6" s="264">
        <v>74498</v>
      </c>
      <c r="F6" s="265">
        <v>47794.64</v>
      </c>
      <c r="G6" s="266">
        <v>65554</v>
      </c>
      <c r="H6" s="267">
        <v>42102.880000000005</v>
      </c>
      <c r="I6" s="264">
        <v>67660</v>
      </c>
      <c r="J6" s="265">
        <v>43430.559999999998</v>
      </c>
      <c r="K6" s="264">
        <v>96651</v>
      </c>
      <c r="L6" s="265">
        <v>62046</v>
      </c>
      <c r="M6" s="264">
        <v>90192</v>
      </c>
      <c r="N6" s="265">
        <v>58125.539999999994</v>
      </c>
      <c r="O6" s="264">
        <v>84396</v>
      </c>
      <c r="P6" s="265">
        <v>54019.92</v>
      </c>
      <c r="Q6" s="264">
        <v>101960</v>
      </c>
      <c r="R6" s="265">
        <v>65657.36</v>
      </c>
      <c r="S6" s="264">
        <v>107924</v>
      </c>
      <c r="T6" s="265">
        <v>69214.87999999999</v>
      </c>
      <c r="U6" s="264">
        <v>96135</v>
      </c>
      <c r="V6" s="265">
        <v>61941.74</v>
      </c>
      <c r="W6" s="264">
        <v>120546</v>
      </c>
      <c r="X6" s="265">
        <v>77360.640000000014</v>
      </c>
      <c r="Y6" s="264">
        <v>123764</v>
      </c>
      <c r="Z6" s="265">
        <v>79928.959999999992</v>
      </c>
      <c r="AA6" s="272">
        <f t="shared" si="3"/>
        <v>97795.818181818177</v>
      </c>
      <c r="AB6" s="265">
        <f t="shared" si="4"/>
        <v>62808.952727272728</v>
      </c>
      <c r="AC6" s="276">
        <f t="shared" si="5"/>
        <v>99959.833333333328</v>
      </c>
      <c r="AD6" s="281">
        <f t="shared" si="6"/>
        <v>64235.619999999995</v>
      </c>
      <c r="AE6" s="139">
        <f t="shared" si="0"/>
        <v>11.395243289777023</v>
      </c>
      <c r="AF6" s="128">
        <v>124810</v>
      </c>
      <c r="AG6" s="128">
        <v>80790.400000000038</v>
      </c>
      <c r="AH6" s="128">
        <v>112556</v>
      </c>
      <c r="AI6" s="128">
        <v>72950.72000000003</v>
      </c>
      <c r="AJ6" s="128">
        <v>140474</v>
      </c>
      <c r="AK6" s="128">
        <v>94063.039999999994</v>
      </c>
      <c r="AL6" s="128">
        <v>99650</v>
      </c>
      <c r="AM6" s="128">
        <v>65613.919999999998</v>
      </c>
      <c r="AN6" s="128">
        <v>125493</v>
      </c>
      <c r="AO6" s="128">
        <v>81712.560000000027</v>
      </c>
      <c r="AP6" s="128">
        <v>117388</v>
      </c>
      <c r="AQ6" s="128">
        <v>76063.599999999977</v>
      </c>
      <c r="AR6" s="128">
        <v>102118</v>
      </c>
      <c r="AS6" s="128">
        <v>67226.560000000012</v>
      </c>
      <c r="AT6" s="128">
        <v>103610</v>
      </c>
      <c r="AU6" s="128">
        <v>67743.679999999993</v>
      </c>
      <c r="AV6" s="128">
        <v>88610</v>
      </c>
      <c r="AW6" s="128">
        <v>58556.480000000018</v>
      </c>
      <c r="AX6" s="128">
        <v>122032</v>
      </c>
      <c r="AY6" s="128">
        <v>79956.399999999994</v>
      </c>
      <c r="AZ6" s="128">
        <v>128298</v>
      </c>
      <c r="BA6" s="128">
        <v>83945.520000000019</v>
      </c>
      <c r="BB6" s="128">
        <v>123988</v>
      </c>
      <c r="BC6" s="128">
        <v>81845.440000000017</v>
      </c>
      <c r="BD6" s="128">
        <f t="shared" si="7"/>
        <v>1389027</v>
      </c>
      <c r="BE6" s="128">
        <f t="shared" si="8"/>
        <v>910468.32000000007</v>
      </c>
      <c r="BF6" s="128">
        <f t="shared" si="9"/>
        <v>118683</v>
      </c>
      <c r="BG6" s="544">
        <f t="shared" si="10"/>
        <v>76870.560000000027</v>
      </c>
      <c r="BH6" s="140">
        <f t="shared" si="11"/>
        <v>115752.25</v>
      </c>
      <c r="BI6" s="283">
        <f t="shared" si="12"/>
        <v>75872.36</v>
      </c>
      <c r="BJ6" s="141">
        <f t="shared" si="13"/>
        <v>12.823917673865747</v>
      </c>
      <c r="BK6" s="128">
        <v>103606</v>
      </c>
      <c r="BL6" s="128">
        <v>68727.520000000019</v>
      </c>
      <c r="BM6" s="128">
        <v>88786</v>
      </c>
      <c r="BN6" s="128">
        <v>58781.920000000013</v>
      </c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>
        <f t="shared" si="14"/>
        <v>192392</v>
      </c>
      <c r="CJ6" s="128">
        <f t="shared" si="15"/>
        <v>127509.44000000003</v>
      </c>
      <c r="CK6" s="128">
        <f t="shared" si="16"/>
        <v>96196</v>
      </c>
      <c r="CL6" s="283">
        <f t="shared" si="17"/>
        <v>63754.720000000016</v>
      </c>
      <c r="CM6" s="557">
        <f t="shared" si="18"/>
        <v>12.314494665234337</v>
      </c>
      <c r="CN6" s="556">
        <f t="shared" si="19"/>
        <v>-0.50942300863141021</v>
      </c>
      <c r="CO6" s="551">
        <f t="shared" si="20"/>
        <v>-17.062240732993246</v>
      </c>
      <c r="CP6" s="554">
        <f t="shared" si="21"/>
        <v>-15.971086176836963</v>
      </c>
      <c r="CQ6" s="554">
        <f t="shared" si="22"/>
        <v>-12117.639999999985</v>
      </c>
      <c r="CR6" s="554">
        <f t="shared" si="23"/>
        <v>-13115.840000000011</v>
      </c>
      <c r="CS6" s="554">
        <f t="shared" si="24"/>
        <v>-865.54571428571319</v>
      </c>
      <c r="CT6" s="554">
        <f t="shared" si="25"/>
        <v>-936.84571428571508</v>
      </c>
      <c r="CU6" s="555">
        <f t="shared" si="26"/>
        <v>-1873.6914285714302</v>
      </c>
      <c r="CV6" s="552">
        <f t="shared" si="27"/>
        <v>983305.78560000018</v>
      </c>
      <c r="CW6" s="552">
        <f t="shared" si="28"/>
        <v>855796.34560000012</v>
      </c>
      <c r="CX6" s="553">
        <f t="shared" si="29"/>
        <v>85579.634560000006</v>
      </c>
    </row>
    <row r="7" spans="1:102" ht="27" customHeight="1">
      <c r="A7" s="143">
        <v>4</v>
      </c>
      <c r="B7" s="674" t="s">
        <v>101</v>
      </c>
      <c r="C7" s="260">
        <v>98895</v>
      </c>
      <c r="D7" s="261">
        <v>64353.72</v>
      </c>
      <c r="E7" s="264">
        <v>88847</v>
      </c>
      <c r="F7" s="265">
        <v>57733.82</v>
      </c>
      <c r="G7" s="266">
        <v>92353</v>
      </c>
      <c r="H7" s="267">
        <v>60208</v>
      </c>
      <c r="I7" s="266">
        <v>84002</v>
      </c>
      <c r="J7" s="267">
        <v>54657.919999999998</v>
      </c>
      <c r="K7" s="266">
        <v>97640</v>
      </c>
      <c r="L7" s="267">
        <v>63293.359999999993</v>
      </c>
      <c r="M7" s="266">
        <v>79718</v>
      </c>
      <c r="N7" s="267">
        <v>51793.52</v>
      </c>
      <c r="O7" s="266">
        <v>106356</v>
      </c>
      <c r="P7" s="267">
        <v>68766.48000000001</v>
      </c>
      <c r="Q7" s="266">
        <v>98519</v>
      </c>
      <c r="R7" s="267">
        <v>64135.519999999997</v>
      </c>
      <c r="S7" s="266">
        <v>92194</v>
      </c>
      <c r="T7" s="267">
        <v>59668.600000000006</v>
      </c>
      <c r="U7" s="266">
        <v>122816</v>
      </c>
      <c r="V7" s="267">
        <v>79750.260000000024</v>
      </c>
      <c r="W7" s="266">
        <v>123596</v>
      </c>
      <c r="X7" s="267">
        <v>80606.48</v>
      </c>
      <c r="Y7" s="266">
        <v>133710</v>
      </c>
      <c r="Z7" s="267">
        <v>86996.87999999999</v>
      </c>
      <c r="AA7" s="272">
        <f t="shared" si="3"/>
        <v>98630.545454545456</v>
      </c>
      <c r="AB7" s="265">
        <f t="shared" si="4"/>
        <v>64087.970909090916</v>
      </c>
      <c r="AC7" s="276">
        <f t="shared" si="5"/>
        <v>101553.83333333333</v>
      </c>
      <c r="AD7" s="281">
        <f t="shared" si="6"/>
        <v>65997.046666666676</v>
      </c>
      <c r="AE7" s="139">
        <f t="shared" si="0"/>
        <v>11.707716110990047</v>
      </c>
      <c r="AF7" s="128">
        <v>121257</v>
      </c>
      <c r="AG7" s="128">
        <v>79375.320000000007</v>
      </c>
      <c r="AH7" s="128">
        <v>102976</v>
      </c>
      <c r="AI7" s="128">
        <v>67630.720000000045</v>
      </c>
      <c r="AJ7" s="128">
        <v>172705</v>
      </c>
      <c r="AK7" s="128">
        <v>112072.60000000005</v>
      </c>
      <c r="AL7" s="131">
        <v>98169</v>
      </c>
      <c r="AM7" s="131">
        <v>64360.139999999985</v>
      </c>
      <c r="AN7" s="131">
        <v>109072</v>
      </c>
      <c r="AO7" s="131">
        <v>71152.29999999993</v>
      </c>
      <c r="AP7" s="131">
        <v>104102</v>
      </c>
      <c r="AQ7" s="131">
        <v>68080.880000000019</v>
      </c>
      <c r="AR7" s="131">
        <v>111468</v>
      </c>
      <c r="AS7" s="131">
        <v>73472.400000000067</v>
      </c>
      <c r="AT7" s="131">
        <v>115998</v>
      </c>
      <c r="AU7" s="131">
        <v>76069.439999999959</v>
      </c>
      <c r="AV7" s="131">
        <v>101637</v>
      </c>
      <c r="AW7" s="131">
        <v>67569.719999999987</v>
      </c>
      <c r="AX7" s="131">
        <v>106609</v>
      </c>
      <c r="AY7" s="131">
        <v>70354.959999999977</v>
      </c>
      <c r="AZ7" s="131">
        <v>98541</v>
      </c>
      <c r="BA7" s="131">
        <v>65446.200000000019</v>
      </c>
      <c r="BB7" s="131">
        <v>117214</v>
      </c>
      <c r="BC7" s="131">
        <v>77714.560000000041</v>
      </c>
      <c r="BD7" s="128">
        <f t="shared" si="7"/>
        <v>1359748</v>
      </c>
      <c r="BE7" s="128">
        <f t="shared" si="8"/>
        <v>893299.24</v>
      </c>
      <c r="BF7" s="128">
        <f t="shared" si="9"/>
        <v>112116.5</v>
      </c>
      <c r="BG7" s="544">
        <f t="shared" si="10"/>
        <v>73503.020000000019</v>
      </c>
      <c r="BH7" s="140">
        <f t="shared" si="11"/>
        <v>113312.33333333333</v>
      </c>
      <c r="BI7" s="283">
        <f t="shared" si="12"/>
        <v>74441.603333333333</v>
      </c>
      <c r="BJ7" s="141">
        <f t="shared" si="13"/>
        <v>12.582091721639298</v>
      </c>
      <c r="BK7" s="128">
        <v>98732</v>
      </c>
      <c r="BL7" s="128">
        <v>67023.679999999949</v>
      </c>
      <c r="BM7" s="128">
        <v>107762</v>
      </c>
      <c r="BN7" s="128">
        <v>71280.800000000076</v>
      </c>
      <c r="BO7" s="128"/>
      <c r="BP7" s="128"/>
      <c r="BQ7" s="131"/>
      <c r="BR7" s="131"/>
      <c r="BS7" s="131"/>
      <c r="BT7" s="131"/>
      <c r="BU7" s="131"/>
      <c r="BV7" s="131"/>
      <c r="BW7" s="131"/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28">
        <f t="shared" si="14"/>
        <v>206494</v>
      </c>
      <c r="CJ7" s="128">
        <f t="shared" si="15"/>
        <v>138304.48000000004</v>
      </c>
      <c r="CK7" s="128">
        <f t="shared" si="16"/>
        <v>103247</v>
      </c>
      <c r="CL7" s="283">
        <f t="shared" si="17"/>
        <v>69152.24000000002</v>
      </c>
      <c r="CM7" s="557">
        <f t="shared" si="18"/>
        <v>13.357048553722839</v>
      </c>
      <c r="CN7" s="556">
        <f t="shared" si="19"/>
        <v>0.77495683208354116</v>
      </c>
      <c r="CO7" s="551">
        <f t="shared" si="20"/>
        <v>-5.9191853613633754</v>
      </c>
      <c r="CP7" s="554">
        <f t="shared" si="21"/>
        <v>-7.1053860966007107</v>
      </c>
      <c r="CQ7" s="554">
        <f t="shared" si="22"/>
        <v>-5289.3633333333128</v>
      </c>
      <c r="CR7" s="554">
        <f t="shared" si="23"/>
        <v>-4350.7799999999988</v>
      </c>
      <c r="CS7" s="554">
        <f t="shared" si="24"/>
        <v>-377.81166666666519</v>
      </c>
      <c r="CT7" s="554">
        <f t="shared" si="25"/>
        <v>-310.76999999999992</v>
      </c>
      <c r="CU7" s="555">
        <f t="shared" si="26"/>
        <v>-621.53999999999985</v>
      </c>
      <c r="CV7" s="552">
        <f t="shared" si="27"/>
        <v>964763.17920000001</v>
      </c>
      <c r="CW7" s="552">
        <f t="shared" si="28"/>
        <v>826458.69919999992</v>
      </c>
      <c r="CX7" s="553">
        <f t="shared" si="29"/>
        <v>82645.869919999997</v>
      </c>
    </row>
    <row r="8" spans="1:102" ht="27" customHeight="1">
      <c r="A8" s="143">
        <v>5</v>
      </c>
      <c r="B8" s="674" t="s">
        <v>102</v>
      </c>
      <c r="C8" s="268">
        <v>53257</v>
      </c>
      <c r="D8" s="269">
        <v>34859.199999999997</v>
      </c>
      <c r="E8" s="268">
        <v>57559</v>
      </c>
      <c r="F8" s="269">
        <v>37357.72</v>
      </c>
      <c r="G8" s="268">
        <v>44266</v>
      </c>
      <c r="H8" s="269">
        <v>28882.960000000003</v>
      </c>
      <c r="I8" s="268">
        <v>44376</v>
      </c>
      <c r="J8" s="269">
        <v>29363.279999999999</v>
      </c>
      <c r="K8" s="268">
        <v>47462</v>
      </c>
      <c r="L8" s="269">
        <v>30405.200000000001</v>
      </c>
      <c r="M8" s="268">
        <v>47850</v>
      </c>
      <c r="N8" s="269">
        <v>30863.639999999996</v>
      </c>
      <c r="O8" s="268">
        <v>36940</v>
      </c>
      <c r="P8" s="269">
        <v>24151.360000000001</v>
      </c>
      <c r="Q8" s="268">
        <v>52250</v>
      </c>
      <c r="R8" s="269">
        <v>33931.519999999997</v>
      </c>
      <c r="S8" s="268">
        <v>43494</v>
      </c>
      <c r="T8" s="269">
        <v>28668.839999999997</v>
      </c>
      <c r="U8" s="268">
        <v>40590</v>
      </c>
      <c r="V8" s="269">
        <v>26327.280000000002</v>
      </c>
      <c r="W8" s="268">
        <v>72966</v>
      </c>
      <c r="X8" s="269">
        <v>47547.12</v>
      </c>
      <c r="Y8" s="268">
        <v>84266</v>
      </c>
      <c r="Z8" s="269">
        <v>55449.920000000006</v>
      </c>
      <c r="AA8" s="272">
        <f t="shared" si="3"/>
        <v>49182.727272727272</v>
      </c>
      <c r="AB8" s="265">
        <f t="shared" si="4"/>
        <v>32032.556363636362</v>
      </c>
      <c r="AC8" s="276">
        <f t="shared" si="5"/>
        <v>52106.333333333336</v>
      </c>
      <c r="AD8" s="281">
        <f t="shared" si="6"/>
        <v>33984.003333333334</v>
      </c>
      <c r="AE8" s="139">
        <f t="shared" si="0"/>
        <v>6.0286798188283495</v>
      </c>
      <c r="AF8" s="128">
        <v>72384</v>
      </c>
      <c r="AG8" s="128">
        <v>47186.880000000019</v>
      </c>
      <c r="AH8" s="128">
        <v>73604</v>
      </c>
      <c r="AI8" s="128">
        <v>48058.399999999994</v>
      </c>
      <c r="AJ8" s="128">
        <v>89488</v>
      </c>
      <c r="AK8" s="128">
        <v>59433.520000000004</v>
      </c>
      <c r="AL8" s="128">
        <v>73784</v>
      </c>
      <c r="AM8" s="128">
        <v>47479.399999999994</v>
      </c>
      <c r="AN8" s="128">
        <v>52660</v>
      </c>
      <c r="AO8" s="128">
        <v>33983.199999999997</v>
      </c>
      <c r="AP8" s="128">
        <v>78604</v>
      </c>
      <c r="AQ8" s="128">
        <v>52190.8</v>
      </c>
      <c r="AR8" s="128">
        <v>44890</v>
      </c>
      <c r="AS8" s="128">
        <v>29517.999999999989</v>
      </c>
      <c r="AT8" s="128">
        <v>53780</v>
      </c>
      <c r="AU8" s="128">
        <v>35513.599999999991</v>
      </c>
      <c r="AV8" s="128">
        <v>53268</v>
      </c>
      <c r="AW8" s="128">
        <v>35894.399999999994</v>
      </c>
      <c r="AX8" s="128">
        <v>53598</v>
      </c>
      <c r="AY8" s="128">
        <v>36118.55999999999</v>
      </c>
      <c r="AZ8" s="131">
        <v>75914</v>
      </c>
      <c r="BA8" s="131">
        <v>49677.2</v>
      </c>
      <c r="BB8" s="131">
        <v>59430</v>
      </c>
      <c r="BC8" s="131">
        <v>40238.400000000009</v>
      </c>
      <c r="BD8" s="128">
        <f t="shared" si="7"/>
        <v>781404</v>
      </c>
      <c r="BE8" s="128">
        <f t="shared" si="8"/>
        <v>515292.36</v>
      </c>
      <c r="BF8" s="128">
        <f t="shared" si="9"/>
        <v>72994</v>
      </c>
      <c r="BG8" s="544">
        <f t="shared" si="10"/>
        <v>47622.640000000007</v>
      </c>
      <c r="BH8" s="140">
        <f t="shared" si="11"/>
        <v>65117</v>
      </c>
      <c r="BI8" s="283">
        <f t="shared" si="12"/>
        <v>42941.03</v>
      </c>
      <c r="BJ8" s="141">
        <f t="shared" si="13"/>
        <v>7.2578766964807642</v>
      </c>
      <c r="BK8" s="128">
        <v>65364</v>
      </c>
      <c r="BL8" s="128">
        <v>43015.200000000004</v>
      </c>
      <c r="BM8" s="128">
        <v>65314</v>
      </c>
      <c r="BN8" s="128">
        <v>43141.599999999991</v>
      </c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31"/>
      <c r="CF8" s="131"/>
      <c r="CG8" s="131"/>
      <c r="CH8" s="131"/>
      <c r="CI8" s="128">
        <f t="shared" si="14"/>
        <v>130678</v>
      </c>
      <c r="CJ8" s="128">
        <f t="shared" si="15"/>
        <v>86156.799999999988</v>
      </c>
      <c r="CK8" s="128">
        <f t="shared" si="16"/>
        <v>65339</v>
      </c>
      <c r="CL8" s="283">
        <f t="shared" si="17"/>
        <v>43078.399999999994</v>
      </c>
      <c r="CM8" s="557">
        <f t="shared" si="18"/>
        <v>8.3207757321627422</v>
      </c>
      <c r="CN8" s="556">
        <f t="shared" si="19"/>
        <v>1.0628990356819781</v>
      </c>
      <c r="CO8" s="551">
        <f t="shared" si="20"/>
        <v>-9.5421841376286807</v>
      </c>
      <c r="CP8" s="554">
        <f t="shared" si="21"/>
        <v>0.31990383090483476</v>
      </c>
      <c r="CQ8" s="554">
        <f t="shared" si="22"/>
        <v>137.36999999999534</v>
      </c>
      <c r="CR8" s="554">
        <f t="shared" si="23"/>
        <v>-4544.2400000000125</v>
      </c>
      <c r="CS8" s="554">
        <f t="shared" si="24"/>
        <v>9.8121428571425238</v>
      </c>
      <c r="CT8" s="554">
        <f t="shared" si="25"/>
        <v>-324.58857142857232</v>
      </c>
      <c r="CU8" s="555">
        <f t="shared" si="26"/>
        <v>-649.17714285714464</v>
      </c>
      <c r="CV8" s="552">
        <f t="shared" si="27"/>
        <v>556515.74880000006</v>
      </c>
      <c r="CW8" s="552">
        <f t="shared" si="28"/>
        <v>470358.94880000007</v>
      </c>
      <c r="CX8" s="553">
        <f t="shared" si="29"/>
        <v>47035.894880000007</v>
      </c>
    </row>
    <row r="9" spans="1:102" ht="27" customHeight="1">
      <c r="A9" s="143">
        <v>6</v>
      </c>
      <c r="B9" s="130" t="s">
        <v>103</v>
      </c>
      <c r="C9" s="268">
        <v>88120</v>
      </c>
      <c r="D9" s="269">
        <v>56634.16</v>
      </c>
      <c r="E9" s="268">
        <v>77247</v>
      </c>
      <c r="F9" s="269">
        <v>49585.919999999998</v>
      </c>
      <c r="G9" s="268">
        <v>84128</v>
      </c>
      <c r="H9" s="269">
        <v>53865.679999999993</v>
      </c>
      <c r="I9" s="268">
        <v>73770</v>
      </c>
      <c r="J9" s="269">
        <v>47220</v>
      </c>
      <c r="K9" s="268">
        <v>78481</v>
      </c>
      <c r="L9" s="269">
        <v>50231.12000000001</v>
      </c>
      <c r="M9" s="268">
        <v>83370</v>
      </c>
      <c r="N9" s="269">
        <v>53354.400000000009</v>
      </c>
      <c r="O9" s="268">
        <v>90902</v>
      </c>
      <c r="P9" s="269">
        <v>58124.480000000003</v>
      </c>
      <c r="Q9" s="268">
        <v>89002</v>
      </c>
      <c r="R9" s="269">
        <v>56813.680000000015</v>
      </c>
      <c r="S9" s="268">
        <v>96672</v>
      </c>
      <c r="T9" s="269">
        <v>61837.19999999999</v>
      </c>
      <c r="U9" s="268">
        <v>115257</v>
      </c>
      <c r="V9" s="269">
        <v>73743.87999999999</v>
      </c>
      <c r="W9" s="268">
        <v>19876</v>
      </c>
      <c r="X9" s="269">
        <v>12675.039999999999</v>
      </c>
      <c r="Y9" s="268">
        <v>24829</v>
      </c>
      <c r="Z9" s="269">
        <v>15824.800000000001</v>
      </c>
      <c r="AA9" s="272">
        <f t="shared" si="3"/>
        <v>81529.545454545456</v>
      </c>
      <c r="AB9" s="265">
        <f t="shared" si="4"/>
        <v>52189.596363636367</v>
      </c>
      <c r="AC9" s="276">
        <f t="shared" si="5"/>
        <v>76804.5</v>
      </c>
      <c r="AD9" s="281">
        <f t="shared" si="6"/>
        <v>49159.196666666678</v>
      </c>
      <c r="AE9" s="139">
        <f t="shared" si="0"/>
        <v>8.720722333600305</v>
      </c>
      <c r="AF9" s="128">
        <v>26950</v>
      </c>
      <c r="AG9" s="128">
        <v>17476.96</v>
      </c>
      <c r="AH9" s="128">
        <v>27775</v>
      </c>
      <c r="AI9" s="128">
        <v>17899.959999999995</v>
      </c>
      <c r="AJ9" s="128">
        <v>29226</v>
      </c>
      <c r="AK9" s="128">
        <v>20856.96</v>
      </c>
      <c r="AL9" s="128">
        <v>19738</v>
      </c>
      <c r="AM9" s="128">
        <v>12947.2</v>
      </c>
      <c r="AN9" s="128">
        <v>22802</v>
      </c>
      <c r="AO9" s="128">
        <v>14639.84</v>
      </c>
      <c r="AP9" s="128">
        <v>16112</v>
      </c>
      <c r="AQ9" s="128">
        <v>10622.239999999998</v>
      </c>
      <c r="AR9" s="128">
        <v>24958</v>
      </c>
      <c r="AS9" s="128">
        <v>16215.999999999998</v>
      </c>
      <c r="AT9" s="128">
        <v>18990</v>
      </c>
      <c r="AU9" s="128">
        <v>12657.6</v>
      </c>
      <c r="AV9" s="128">
        <v>25892</v>
      </c>
      <c r="AW9" s="128">
        <v>16641.199999999997</v>
      </c>
      <c r="AX9" s="128">
        <v>22330</v>
      </c>
      <c r="AY9" s="128">
        <v>14778.4</v>
      </c>
      <c r="AZ9" s="131">
        <v>21736</v>
      </c>
      <c r="BA9" s="131">
        <v>14419.599999999999</v>
      </c>
      <c r="BB9" s="131">
        <v>25310</v>
      </c>
      <c r="BC9" s="131">
        <v>16887.440000000002</v>
      </c>
      <c r="BD9" s="128">
        <f t="shared" si="7"/>
        <v>281819</v>
      </c>
      <c r="BE9" s="128">
        <f t="shared" si="8"/>
        <v>186043.40000000002</v>
      </c>
      <c r="BF9" s="128">
        <f t="shared" si="9"/>
        <v>27362.5</v>
      </c>
      <c r="BG9" s="544">
        <f t="shared" si="10"/>
        <v>17688.46</v>
      </c>
      <c r="BH9" s="140">
        <f t="shared" si="11"/>
        <v>23484.916666666668</v>
      </c>
      <c r="BI9" s="283">
        <f t="shared" si="12"/>
        <v>15503.616666666669</v>
      </c>
      <c r="BJ9" s="141">
        <f t="shared" si="13"/>
        <v>2.6204154422045955</v>
      </c>
      <c r="BK9" s="128">
        <v>26618</v>
      </c>
      <c r="BL9" s="128">
        <v>17964.319999999992</v>
      </c>
      <c r="BM9" s="128">
        <v>26738</v>
      </c>
      <c r="BN9" s="128">
        <v>17555.920000000002</v>
      </c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31"/>
      <c r="CF9" s="131"/>
      <c r="CG9" s="131"/>
      <c r="CH9" s="131"/>
      <c r="CI9" s="128">
        <f t="shared" si="14"/>
        <v>53356</v>
      </c>
      <c r="CJ9" s="128">
        <f t="shared" si="15"/>
        <v>35520.239999999991</v>
      </c>
      <c r="CK9" s="128">
        <f t="shared" si="16"/>
        <v>26678</v>
      </c>
      <c r="CL9" s="283">
        <f t="shared" si="17"/>
        <v>17760.119999999995</v>
      </c>
      <c r="CM9" s="557">
        <f t="shared" si="18"/>
        <v>3.4304425302773116</v>
      </c>
      <c r="CN9" s="556">
        <f t="shared" si="19"/>
        <v>0.81002708807271606</v>
      </c>
      <c r="CO9" s="551">
        <f t="shared" si="20"/>
        <v>0.40512288802980834</v>
      </c>
      <c r="CP9" s="554">
        <f t="shared" si="21"/>
        <v>14.554689927188974</v>
      </c>
      <c r="CQ9" s="554">
        <f t="shared" si="22"/>
        <v>2256.5033333333267</v>
      </c>
      <c r="CR9" s="554">
        <f t="shared" si="23"/>
        <v>71.659999999996217</v>
      </c>
      <c r="CS9" s="554">
        <f t="shared" si="24"/>
        <v>161.17880952380906</v>
      </c>
      <c r="CT9" s="554">
        <f t="shared" si="25"/>
        <v>5.1185714285711583</v>
      </c>
      <c r="CU9" s="555">
        <f t="shared" si="26"/>
        <v>10.237142857142317</v>
      </c>
      <c r="CV9" s="552">
        <f t="shared" si="27"/>
        <v>200926.87200000003</v>
      </c>
      <c r="CW9" s="552">
        <f t="shared" si="28"/>
        <v>165406.63200000004</v>
      </c>
      <c r="CX9" s="553">
        <f t="shared" si="29"/>
        <v>16540.663200000003</v>
      </c>
    </row>
    <row r="10" spans="1:102" ht="27" customHeight="1">
      <c r="A10" s="143">
        <v>7</v>
      </c>
      <c r="B10" s="130" t="s">
        <v>104</v>
      </c>
      <c r="C10" s="268">
        <v>92092</v>
      </c>
      <c r="D10" s="269">
        <v>59623.6</v>
      </c>
      <c r="E10" s="268">
        <v>86633</v>
      </c>
      <c r="F10" s="269">
        <v>56032.820000000007</v>
      </c>
      <c r="G10" s="268">
        <v>91326</v>
      </c>
      <c r="H10" s="269">
        <v>58656.240000000005</v>
      </c>
      <c r="I10" s="268">
        <v>99534</v>
      </c>
      <c r="J10" s="269">
        <v>64517.760000000002</v>
      </c>
      <c r="K10" s="268">
        <v>120160</v>
      </c>
      <c r="L10" s="269">
        <v>76779.51999999999</v>
      </c>
      <c r="M10" s="268">
        <v>125112</v>
      </c>
      <c r="N10" s="269">
        <v>80877.040000000037</v>
      </c>
      <c r="O10" s="268">
        <v>107226</v>
      </c>
      <c r="P10" s="269">
        <v>69132.100000000006</v>
      </c>
      <c r="Q10" s="268">
        <v>113915</v>
      </c>
      <c r="R10" s="269">
        <v>73887.28</v>
      </c>
      <c r="S10" s="268">
        <v>116076</v>
      </c>
      <c r="T10" s="269">
        <v>75396.62000000001</v>
      </c>
      <c r="U10" s="268">
        <v>142301</v>
      </c>
      <c r="V10" s="269">
        <v>92219.700000000012</v>
      </c>
      <c r="W10" s="268">
        <v>125839</v>
      </c>
      <c r="X10" s="269">
        <v>81896.14</v>
      </c>
      <c r="Y10" s="268">
        <v>134749</v>
      </c>
      <c r="Z10" s="269">
        <v>89441.680000000008</v>
      </c>
      <c r="AA10" s="272">
        <f t="shared" si="3"/>
        <v>110928.54545454546</v>
      </c>
      <c r="AB10" s="265">
        <f t="shared" si="4"/>
        <v>71728.983636363657</v>
      </c>
      <c r="AC10" s="276">
        <f t="shared" si="5"/>
        <v>112913.58333333333</v>
      </c>
      <c r="AD10" s="281">
        <f t="shared" si="6"/>
        <v>73205.041666666686</v>
      </c>
      <c r="AE10" s="139">
        <f t="shared" si="0"/>
        <v>12.986396952811088</v>
      </c>
      <c r="AF10" s="128">
        <v>140720</v>
      </c>
      <c r="AG10" s="128">
        <v>92830.640000000072</v>
      </c>
      <c r="AH10" s="128">
        <v>119242</v>
      </c>
      <c r="AI10" s="128">
        <v>76066.480000000025</v>
      </c>
      <c r="AJ10" s="128">
        <v>111430</v>
      </c>
      <c r="AK10" s="128">
        <v>75932.799999999988</v>
      </c>
      <c r="AL10" s="128">
        <v>129640</v>
      </c>
      <c r="AM10" s="128">
        <v>83255.680000000022</v>
      </c>
      <c r="AN10" s="128">
        <v>142342</v>
      </c>
      <c r="AO10" s="128">
        <v>94764.84</v>
      </c>
      <c r="AP10" s="128">
        <v>152574</v>
      </c>
      <c r="AQ10" s="128">
        <v>99846.48000000001</v>
      </c>
      <c r="AR10" s="128">
        <v>120600</v>
      </c>
      <c r="AS10" s="128">
        <v>80598.479999999836</v>
      </c>
      <c r="AT10" s="128">
        <v>149447</v>
      </c>
      <c r="AU10" s="128">
        <v>99127.159999999887</v>
      </c>
      <c r="AV10" s="128">
        <v>147026</v>
      </c>
      <c r="AW10" s="128">
        <v>100454.24000000002</v>
      </c>
      <c r="AX10" s="128">
        <v>144199</v>
      </c>
      <c r="AY10" s="128">
        <v>98587.600000000035</v>
      </c>
      <c r="AZ10" s="131">
        <v>181990</v>
      </c>
      <c r="BA10" s="131">
        <v>119403.28000000004</v>
      </c>
      <c r="BB10" s="131">
        <v>160582</v>
      </c>
      <c r="BC10" s="131">
        <v>106776.40000000005</v>
      </c>
      <c r="BD10" s="128">
        <f t="shared" si="7"/>
        <v>1699792</v>
      </c>
      <c r="BE10" s="128">
        <f t="shared" si="8"/>
        <v>1127644.08</v>
      </c>
      <c r="BF10" s="128">
        <f t="shared" si="9"/>
        <v>129981</v>
      </c>
      <c r="BG10" s="544">
        <f t="shared" si="10"/>
        <v>84448.560000000056</v>
      </c>
      <c r="BH10" s="140">
        <f t="shared" si="11"/>
        <v>141649.33333333334</v>
      </c>
      <c r="BI10" s="283">
        <f t="shared" si="12"/>
        <v>93970.340000000011</v>
      </c>
      <c r="BJ10" s="141">
        <f t="shared" si="13"/>
        <v>15.88283142827208</v>
      </c>
      <c r="BK10" s="128">
        <v>128272</v>
      </c>
      <c r="BL10" s="128">
        <v>85297.840000000011</v>
      </c>
      <c r="BM10" s="128">
        <v>100088</v>
      </c>
      <c r="BN10" s="128">
        <v>68544.320000000007</v>
      </c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31"/>
      <c r="CF10" s="131"/>
      <c r="CG10" s="131"/>
      <c r="CH10" s="131"/>
      <c r="CI10" s="128">
        <f t="shared" si="14"/>
        <v>228360</v>
      </c>
      <c r="CJ10" s="128">
        <f t="shared" si="15"/>
        <v>153842.16000000003</v>
      </c>
      <c r="CK10" s="128">
        <f t="shared" si="16"/>
        <v>114180</v>
      </c>
      <c r="CL10" s="283">
        <f t="shared" si="17"/>
        <v>76921.080000000016</v>
      </c>
      <c r="CM10" s="557">
        <f t="shared" si="18"/>
        <v>14.857632961199791</v>
      </c>
      <c r="CN10" s="556">
        <f t="shared" si="19"/>
        <v>-1.0251984670722898</v>
      </c>
      <c r="CO10" s="551">
        <f t="shared" si="20"/>
        <v>-8.9136866276938775</v>
      </c>
      <c r="CP10" s="554">
        <f t="shared" si="21"/>
        <v>-18.143235408108552</v>
      </c>
      <c r="CQ10" s="554">
        <f t="shared" si="22"/>
        <v>-17049.259999999995</v>
      </c>
      <c r="CR10" s="554">
        <f t="shared" si="23"/>
        <v>-7527.4800000000396</v>
      </c>
      <c r="CS10" s="554">
        <f t="shared" si="24"/>
        <v>-1217.8042857142852</v>
      </c>
      <c r="CT10" s="554">
        <f t="shared" si="25"/>
        <v>-537.67714285714567</v>
      </c>
      <c r="CU10" s="555">
        <f t="shared" si="26"/>
        <v>-1075.3542857142913</v>
      </c>
      <c r="CV10" s="552">
        <f t="shared" si="27"/>
        <v>1217855.6064000002</v>
      </c>
      <c r="CW10" s="552">
        <f t="shared" si="28"/>
        <v>1064013.4464000002</v>
      </c>
      <c r="CX10" s="553">
        <f t="shared" si="29"/>
        <v>106401.34464000002</v>
      </c>
    </row>
    <row r="11" spans="1:102" ht="27" customHeight="1">
      <c r="A11" s="143">
        <v>8</v>
      </c>
      <c r="B11" s="130" t="s">
        <v>105</v>
      </c>
      <c r="C11" s="268">
        <v>13020</v>
      </c>
      <c r="D11" s="269">
        <v>8332.7999999999993</v>
      </c>
      <c r="E11" s="268">
        <v>15400</v>
      </c>
      <c r="F11" s="269">
        <v>9856</v>
      </c>
      <c r="G11" s="268">
        <v>14000</v>
      </c>
      <c r="H11" s="269">
        <v>8960</v>
      </c>
      <c r="I11" s="268">
        <v>16156</v>
      </c>
      <c r="J11" s="269">
        <v>10339.84</v>
      </c>
      <c r="K11" s="268">
        <v>13694</v>
      </c>
      <c r="L11" s="269">
        <v>8755.9999999999982</v>
      </c>
      <c r="M11" s="268">
        <v>12640</v>
      </c>
      <c r="N11" s="269">
        <v>8089.6</v>
      </c>
      <c r="O11" s="268">
        <v>12650</v>
      </c>
      <c r="P11" s="269">
        <v>8096</v>
      </c>
      <c r="Q11" s="268">
        <v>11814</v>
      </c>
      <c r="R11" s="269">
        <v>7560.96</v>
      </c>
      <c r="S11" s="268">
        <v>18090</v>
      </c>
      <c r="T11" s="269">
        <v>11616</v>
      </c>
      <c r="U11" s="268">
        <v>19222</v>
      </c>
      <c r="V11" s="269">
        <v>12340.48</v>
      </c>
      <c r="W11" s="268">
        <v>13100</v>
      </c>
      <c r="X11" s="269">
        <v>8384</v>
      </c>
      <c r="Y11" s="268">
        <v>24200</v>
      </c>
      <c r="Z11" s="269">
        <v>15704</v>
      </c>
      <c r="AA11" s="272">
        <f t="shared" si="3"/>
        <v>14526</v>
      </c>
      <c r="AB11" s="265">
        <f t="shared" si="4"/>
        <v>9302.8799999999992</v>
      </c>
      <c r="AC11" s="276">
        <f t="shared" si="5"/>
        <v>15332.166666666666</v>
      </c>
      <c r="AD11" s="281">
        <f t="shared" si="6"/>
        <v>9836.3066666666655</v>
      </c>
      <c r="AE11" s="139">
        <f t="shared" si="0"/>
        <v>1.7449369608251983</v>
      </c>
      <c r="AF11" s="128">
        <v>20980</v>
      </c>
      <c r="AG11" s="128">
        <v>13960</v>
      </c>
      <c r="AH11" s="128">
        <v>18740</v>
      </c>
      <c r="AI11" s="128">
        <v>12512</v>
      </c>
      <c r="AJ11" s="128">
        <v>14700</v>
      </c>
      <c r="AK11" s="128">
        <v>9408</v>
      </c>
      <c r="AL11" s="131">
        <v>15700</v>
      </c>
      <c r="AM11" s="131">
        <v>10048</v>
      </c>
      <c r="AN11" s="131">
        <v>15230</v>
      </c>
      <c r="AO11" s="131">
        <v>9965.6</v>
      </c>
      <c r="AP11" s="131">
        <v>16140</v>
      </c>
      <c r="AQ11" s="131">
        <v>10329.6</v>
      </c>
      <c r="AR11" s="131">
        <v>6300</v>
      </c>
      <c r="AS11" s="131">
        <v>4032</v>
      </c>
      <c r="AT11" s="131">
        <v>17040</v>
      </c>
      <c r="AU11" s="131">
        <v>10992</v>
      </c>
      <c r="AV11" s="131">
        <v>4240</v>
      </c>
      <c r="AW11" s="131">
        <v>2972.8</v>
      </c>
      <c r="AX11" s="131">
        <v>17338</v>
      </c>
      <c r="AY11" s="131">
        <v>12910.720000000001</v>
      </c>
      <c r="AZ11" s="131">
        <v>13960</v>
      </c>
      <c r="BA11" s="131">
        <v>9064</v>
      </c>
      <c r="BB11" s="131">
        <v>34960</v>
      </c>
      <c r="BC11" s="131">
        <v>22916.799999999999</v>
      </c>
      <c r="BD11" s="128">
        <f t="shared" si="7"/>
        <v>195328</v>
      </c>
      <c r="BE11" s="128">
        <f t="shared" si="8"/>
        <v>129111.52</v>
      </c>
      <c r="BF11" s="128">
        <f t="shared" si="9"/>
        <v>19860</v>
      </c>
      <c r="BG11" s="544">
        <f t="shared" si="10"/>
        <v>13236</v>
      </c>
      <c r="BH11" s="140">
        <f t="shared" si="11"/>
        <v>16277.333333333334</v>
      </c>
      <c r="BI11" s="283">
        <f t="shared" si="12"/>
        <v>10759.293333333333</v>
      </c>
      <c r="BJ11" s="141">
        <f t="shared" si="13"/>
        <v>1.8185317016056868</v>
      </c>
      <c r="BK11" s="128">
        <v>1200</v>
      </c>
      <c r="BL11" s="128">
        <v>1200</v>
      </c>
      <c r="BM11" s="128">
        <v>5900</v>
      </c>
      <c r="BN11" s="128">
        <v>4640</v>
      </c>
      <c r="BO11" s="128"/>
      <c r="BP11" s="128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28">
        <f t="shared" si="14"/>
        <v>7100</v>
      </c>
      <c r="CJ11" s="128">
        <f t="shared" si="15"/>
        <v>5840</v>
      </c>
      <c r="CK11" s="128">
        <f t="shared" si="16"/>
        <v>3550</v>
      </c>
      <c r="CL11" s="283">
        <f t="shared" si="17"/>
        <v>2920</v>
      </c>
      <c r="CM11" s="557">
        <f t="shared" si="18"/>
        <v>0.56401038891684019</v>
      </c>
      <c r="CN11" s="556">
        <f t="shared" si="19"/>
        <v>-1.2545213126888466</v>
      </c>
      <c r="CO11" s="551">
        <f t="shared" si="20"/>
        <v>-77.938954366878207</v>
      </c>
      <c r="CP11" s="554">
        <f t="shared" si="21"/>
        <v>-72.860671146927871</v>
      </c>
      <c r="CQ11" s="554">
        <f t="shared" si="22"/>
        <v>-7839.2933333333331</v>
      </c>
      <c r="CR11" s="554">
        <f t="shared" si="23"/>
        <v>-10316</v>
      </c>
      <c r="CS11" s="554">
        <f t="shared" si="24"/>
        <v>-559.94952380952384</v>
      </c>
      <c r="CT11" s="554">
        <f t="shared" si="25"/>
        <v>-736.85714285714289</v>
      </c>
      <c r="CU11" s="555">
        <f t="shared" si="26"/>
        <v>-1473.7142857142858</v>
      </c>
      <c r="CV11" s="552">
        <f t="shared" si="27"/>
        <v>139440.44159999999</v>
      </c>
      <c r="CW11" s="552">
        <f t="shared" si="28"/>
        <v>133600.44159999999</v>
      </c>
      <c r="CX11" s="553">
        <f t="shared" si="29"/>
        <v>13360.044159999999</v>
      </c>
    </row>
    <row r="12" spans="1:102" ht="27" customHeight="1">
      <c r="A12" s="143">
        <v>9</v>
      </c>
      <c r="B12" s="674" t="s">
        <v>106</v>
      </c>
      <c r="C12" s="268">
        <v>10196</v>
      </c>
      <c r="D12" s="269">
        <v>6807.1999999999989</v>
      </c>
      <c r="E12" s="268">
        <v>19916</v>
      </c>
      <c r="F12" s="269">
        <v>12822.559999999998</v>
      </c>
      <c r="G12" s="268">
        <v>22076</v>
      </c>
      <c r="H12" s="269">
        <v>14495.84</v>
      </c>
      <c r="I12" s="268">
        <v>17805</v>
      </c>
      <c r="J12" s="269">
        <v>11431.2</v>
      </c>
      <c r="K12" s="268">
        <v>18322</v>
      </c>
      <c r="L12" s="269">
        <v>11783.68</v>
      </c>
      <c r="M12" s="268">
        <v>10706</v>
      </c>
      <c r="N12" s="269">
        <v>6887.8399999999992</v>
      </c>
      <c r="O12" s="268">
        <v>20292</v>
      </c>
      <c r="P12" s="269">
        <v>13058.88</v>
      </c>
      <c r="Q12" s="268">
        <v>17114</v>
      </c>
      <c r="R12" s="269">
        <v>11300.119999999999</v>
      </c>
      <c r="S12" s="268">
        <v>17650</v>
      </c>
      <c r="T12" s="269">
        <v>11352.399999999998</v>
      </c>
      <c r="U12" s="268">
        <v>14560</v>
      </c>
      <c r="V12" s="269">
        <v>9376.2400000000016</v>
      </c>
      <c r="W12" s="268">
        <v>7736</v>
      </c>
      <c r="X12" s="269">
        <v>5102</v>
      </c>
      <c r="Y12" s="268">
        <v>16628</v>
      </c>
      <c r="Z12" s="269">
        <v>10749.92</v>
      </c>
      <c r="AA12" s="272">
        <f t="shared" si="3"/>
        <v>16033.90909090909</v>
      </c>
      <c r="AB12" s="265">
        <f t="shared" si="4"/>
        <v>10401.632727272725</v>
      </c>
      <c r="AC12" s="276">
        <f t="shared" si="5"/>
        <v>16083.416666666666</v>
      </c>
      <c r="AD12" s="281">
        <f t="shared" si="6"/>
        <v>10430.656666666664</v>
      </c>
      <c r="AE12" s="139">
        <f t="shared" si="0"/>
        <v>1.8503732102033308</v>
      </c>
      <c r="AF12" s="128">
        <v>15360</v>
      </c>
      <c r="AG12" s="128">
        <v>9830.3999999999978</v>
      </c>
      <c r="AH12" s="128">
        <v>10820</v>
      </c>
      <c r="AI12" s="128">
        <v>7032.8</v>
      </c>
      <c r="AJ12" s="128">
        <v>16260</v>
      </c>
      <c r="AK12" s="128">
        <v>10406.4</v>
      </c>
      <c r="AL12" s="128">
        <v>2800</v>
      </c>
      <c r="AM12" s="128">
        <v>1792</v>
      </c>
      <c r="AN12" s="128">
        <v>24748</v>
      </c>
      <c r="AO12" s="128">
        <v>16137.52</v>
      </c>
      <c r="AP12" s="128">
        <v>14390</v>
      </c>
      <c r="AQ12" s="128">
        <v>9227.5999999999985</v>
      </c>
      <c r="AR12" s="128">
        <v>12780</v>
      </c>
      <c r="AS12" s="128">
        <v>8197.2000000000007</v>
      </c>
      <c r="AT12" s="128">
        <v>9066</v>
      </c>
      <c r="AU12" s="128">
        <v>5809.4400000000005</v>
      </c>
      <c r="AV12" s="128">
        <v>7610</v>
      </c>
      <c r="AW12" s="128">
        <v>4924.4000000000005</v>
      </c>
      <c r="AX12" s="128">
        <v>3500</v>
      </c>
      <c r="AY12" s="128">
        <v>2240</v>
      </c>
      <c r="AZ12" s="131">
        <v>5100</v>
      </c>
      <c r="BA12" s="131">
        <v>3336</v>
      </c>
      <c r="BB12" s="131">
        <v>8652</v>
      </c>
      <c r="BC12" s="131">
        <v>5645.28</v>
      </c>
      <c r="BD12" s="128">
        <f t="shared" si="7"/>
        <v>131086</v>
      </c>
      <c r="BE12" s="128">
        <f t="shared" si="8"/>
        <v>84579.04</v>
      </c>
      <c r="BF12" s="128">
        <f t="shared" si="9"/>
        <v>13090</v>
      </c>
      <c r="BG12" s="544">
        <f t="shared" si="10"/>
        <v>8431.5999999999985</v>
      </c>
      <c r="BH12" s="140">
        <f t="shared" si="11"/>
        <v>10923.833333333334</v>
      </c>
      <c r="BI12" s="283">
        <f t="shared" si="12"/>
        <v>7048.2533333333331</v>
      </c>
      <c r="BJ12" s="141">
        <f t="shared" si="13"/>
        <v>1.1912931203302033</v>
      </c>
      <c r="BK12" s="128">
        <v>12430</v>
      </c>
      <c r="BL12" s="128">
        <v>7991.2</v>
      </c>
      <c r="BM12" s="128">
        <v>10600</v>
      </c>
      <c r="BN12" s="128">
        <v>6838</v>
      </c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31"/>
      <c r="CF12" s="131"/>
      <c r="CG12" s="131"/>
      <c r="CH12" s="131"/>
      <c r="CI12" s="128">
        <f t="shared" si="14"/>
        <v>23030</v>
      </c>
      <c r="CJ12" s="128">
        <f t="shared" si="15"/>
        <v>14829.2</v>
      </c>
      <c r="CK12" s="128">
        <f t="shared" si="16"/>
        <v>11515</v>
      </c>
      <c r="CL12" s="283">
        <f t="shared" si="17"/>
        <v>7414.6</v>
      </c>
      <c r="CM12" s="557">
        <f t="shared" si="18"/>
        <v>1.4321614485146588</v>
      </c>
      <c r="CN12" s="556">
        <f t="shared" si="19"/>
        <v>0.24086832818445547</v>
      </c>
      <c r="CO12" s="551">
        <f t="shared" si="20"/>
        <v>-12.061767636035853</v>
      </c>
      <c r="CP12" s="554">
        <f t="shared" si="21"/>
        <v>5.1976943696689091</v>
      </c>
      <c r="CQ12" s="554">
        <f t="shared" si="22"/>
        <v>366.34666666666726</v>
      </c>
      <c r="CR12" s="554">
        <f t="shared" si="23"/>
        <v>-1016.9999999999982</v>
      </c>
      <c r="CS12" s="554">
        <f t="shared" si="24"/>
        <v>26.167619047619091</v>
      </c>
      <c r="CT12" s="554">
        <f t="shared" si="25"/>
        <v>-72.642857142857011</v>
      </c>
      <c r="CU12" s="555">
        <f t="shared" si="26"/>
        <v>-145.28571428571402</v>
      </c>
      <c r="CV12" s="552">
        <f t="shared" si="27"/>
        <v>91345.363199999993</v>
      </c>
      <c r="CW12" s="552">
        <f t="shared" si="28"/>
        <v>76516.163199999995</v>
      </c>
      <c r="CX12" s="553">
        <f t="shared" si="29"/>
        <v>7651.6163199999992</v>
      </c>
    </row>
    <row r="13" spans="1:102" ht="27" customHeight="1">
      <c r="A13" s="143">
        <v>10</v>
      </c>
      <c r="B13" s="130" t="s">
        <v>107</v>
      </c>
      <c r="C13" s="268">
        <v>9746</v>
      </c>
      <c r="D13" s="269">
        <v>6457.04</v>
      </c>
      <c r="E13" s="268">
        <v>15280</v>
      </c>
      <c r="F13" s="269">
        <v>10704.4</v>
      </c>
      <c r="G13" s="268">
        <v>9982</v>
      </c>
      <c r="H13" s="269">
        <v>6737.8</v>
      </c>
      <c r="I13" s="268">
        <v>15880</v>
      </c>
      <c r="J13" s="269">
        <v>12323.2</v>
      </c>
      <c r="K13" s="268">
        <v>17802</v>
      </c>
      <c r="L13" s="269">
        <v>11395.68</v>
      </c>
      <c r="M13" s="268">
        <v>18882</v>
      </c>
      <c r="N13" s="269">
        <v>12352.12</v>
      </c>
      <c r="O13" s="268">
        <v>27586</v>
      </c>
      <c r="P13" s="269">
        <v>18954.400000000001</v>
      </c>
      <c r="Q13" s="268">
        <v>34428</v>
      </c>
      <c r="R13" s="269">
        <v>23240.52</v>
      </c>
      <c r="S13" s="268">
        <v>16298</v>
      </c>
      <c r="T13" s="269">
        <v>10564.880000000001</v>
      </c>
      <c r="U13" s="268">
        <v>32650</v>
      </c>
      <c r="V13" s="269">
        <v>22733.799999999996</v>
      </c>
      <c r="W13" s="268">
        <v>15229</v>
      </c>
      <c r="X13" s="269">
        <v>11002.240000000002</v>
      </c>
      <c r="Y13" s="268">
        <v>27059</v>
      </c>
      <c r="Z13" s="269">
        <v>18678.32</v>
      </c>
      <c r="AA13" s="272">
        <f t="shared" si="3"/>
        <v>19433</v>
      </c>
      <c r="AB13" s="265">
        <f t="shared" si="4"/>
        <v>13315.098181818183</v>
      </c>
      <c r="AC13" s="276">
        <f t="shared" si="5"/>
        <v>20068.5</v>
      </c>
      <c r="AD13" s="281">
        <f t="shared" si="6"/>
        <v>13762.033333333335</v>
      </c>
      <c r="AE13" s="139">
        <f t="shared" si="0"/>
        <v>2.4413513560755606</v>
      </c>
      <c r="AF13" s="128">
        <v>17991</v>
      </c>
      <c r="AG13" s="128">
        <v>11819.759999999993</v>
      </c>
      <c r="AH13" s="128">
        <v>12551</v>
      </c>
      <c r="AI13" s="128">
        <v>8736.56</v>
      </c>
      <c r="AJ13" s="128">
        <v>51722</v>
      </c>
      <c r="AK13" s="128">
        <v>37107.919999999998</v>
      </c>
      <c r="AL13" s="128">
        <v>7248</v>
      </c>
      <c r="AM13" s="128">
        <v>4652.1600000000008</v>
      </c>
      <c r="AN13" s="128">
        <v>13432</v>
      </c>
      <c r="AO13" s="128">
        <v>9081.2799999999952</v>
      </c>
      <c r="AP13" s="128">
        <v>6406</v>
      </c>
      <c r="AQ13" s="128">
        <v>4196.3000000000011</v>
      </c>
      <c r="AR13" s="128">
        <v>30534</v>
      </c>
      <c r="AS13" s="128">
        <v>22794.239999999998</v>
      </c>
      <c r="AT13" s="128">
        <v>19225</v>
      </c>
      <c r="AU13" s="128">
        <v>12910.919999999989</v>
      </c>
      <c r="AV13" s="128">
        <v>27022</v>
      </c>
      <c r="AW13" s="128">
        <v>21013.360000000004</v>
      </c>
      <c r="AX13" s="128">
        <v>32225</v>
      </c>
      <c r="AY13" s="128">
        <v>26940.68</v>
      </c>
      <c r="AZ13" s="131">
        <v>17660</v>
      </c>
      <c r="BA13" s="131">
        <v>14564</v>
      </c>
      <c r="BB13" s="131">
        <v>25332</v>
      </c>
      <c r="BC13" s="131">
        <v>20067.839999999997</v>
      </c>
      <c r="BD13" s="128">
        <f t="shared" si="7"/>
        <v>261348</v>
      </c>
      <c r="BE13" s="128">
        <f t="shared" si="8"/>
        <v>193885.02</v>
      </c>
      <c r="BF13" s="128">
        <f t="shared" si="9"/>
        <v>15271</v>
      </c>
      <c r="BG13" s="544">
        <f t="shared" si="10"/>
        <v>10278.159999999996</v>
      </c>
      <c r="BH13" s="140">
        <f t="shared" si="11"/>
        <v>21779</v>
      </c>
      <c r="BI13" s="283">
        <f t="shared" si="12"/>
        <v>16157.084999999999</v>
      </c>
      <c r="BJ13" s="141">
        <f t="shared" si="13"/>
        <v>2.7308644134656039</v>
      </c>
      <c r="BK13" s="128">
        <v>9450</v>
      </c>
      <c r="BL13" s="128">
        <v>7948.8</v>
      </c>
      <c r="BM13" s="128">
        <v>19816</v>
      </c>
      <c r="BN13" s="128">
        <v>15159.039999999997</v>
      </c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31"/>
      <c r="CF13" s="131"/>
      <c r="CG13" s="131"/>
      <c r="CH13" s="131"/>
      <c r="CI13" s="128">
        <f t="shared" si="14"/>
        <v>29266</v>
      </c>
      <c r="CJ13" s="128">
        <f t="shared" si="15"/>
        <v>23107.839999999997</v>
      </c>
      <c r="CK13" s="128">
        <f t="shared" si="16"/>
        <v>14633</v>
      </c>
      <c r="CL13" s="283">
        <f t="shared" si="17"/>
        <v>11553.919999999998</v>
      </c>
      <c r="CM13" s="557">
        <f t="shared" si="18"/>
        <v>2.2316886687376911</v>
      </c>
      <c r="CN13" s="556">
        <f t="shared" si="19"/>
        <v>-0.49917574472791282</v>
      </c>
      <c r="CO13" s="551">
        <f t="shared" si="20"/>
        <v>12.412338395199171</v>
      </c>
      <c r="CP13" s="554">
        <f t="shared" si="21"/>
        <v>-28.490071074082991</v>
      </c>
      <c r="CQ13" s="554">
        <f t="shared" si="22"/>
        <v>-4603.1650000000009</v>
      </c>
      <c r="CR13" s="554">
        <f t="shared" si="23"/>
        <v>1275.760000000002</v>
      </c>
      <c r="CS13" s="554">
        <f t="shared" si="24"/>
        <v>-328.79750000000007</v>
      </c>
      <c r="CT13" s="554">
        <f t="shared" si="25"/>
        <v>91.125714285714437</v>
      </c>
      <c r="CU13" s="555">
        <f t="shared" si="26"/>
        <v>182.25142857142887</v>
      </c>
      <c r="CV13" s="552">
        <f t="shared" si="27"/>
        <v>209395.8216</v>
      </c>
      <c r="CW13" s="552">
        <f t="shared" si="28"/>
        <v>186287.9816</v>
      </c>
      <c r="CX13" s="553">
        <f t="shared" si="29"/>
        <v>18628.798159999998</v>
      </c>
    </row>
    <row r="14" spans="1:102" ht="27" customHeight="1" thickBot="1">
      <c r="A14" s="223">
        <v>11</v>
      </c>
      <c r="B14" s="224" t="s">
        <v>108</v>
      </c>
      <c r="C14" s="273">
        <v>36400</v>
      </c>
      <c r="D14" s="271">
        <v>23296</v>
      </c>
      <c r="E14" s="273">
        <v>19600</v>
      </c>
      <c r="F14" s="271">
        <v>12544</v>
      </c>
      <c r="G14" s="273">
        <v>25072</v>
      </c>
      <c r="H14" s="271">
        <v>16109.5</v>
      </c>
      <c r="I14" s="273">
        <v>16690</v>
      </c>
      <c r="J14" s="271">
        <v>10681.599999999999</v>
      </c>
      <c r="K14" s="273">
        <v>15386</v>
      </c>
      <c r="L14" s="271">
        <v>9847.0400000000009</v>
      </c>
      <c r="M14" s="273">
        <v>28906</v>
      </c>
      <c r="N14" s="271">
        <v>18499.84</v>
      </c>
      <c r="O14" s="273">
        <v>24032</v>
      </c>
      <c r="P14" s="271">
        <v>15356.480000000003</v>
      </c>
      <c r="Q14" s="273">
        <v>28711</v>
      </c>
      <c r="R14" s="271">
        <v>18410.14</v>
      </c>
      <c r="S14" s="273">
        <v>28966</v>
      </c>
      <c r="T14" s="271">
        <v>18510.399999999998</v>
      </c>
      <c r="U14" s="273">
        <v>21174</v>
      </c>
      <c r="V14" s="271">
        <v>13551.36</v>
      </c>
      <c r="W14" s="273">
        <v>26600</v>
      </c>
      <c r="X14" s="271">
        <v>17024</v>
      </c>
      <c r="Y14" s="273">
        <v>22386</v>
      </c>
      <c r="Z14" s="271">
        <v>14327.04</v>
      </c>
      <c r="AA14" s="491">
        <f t="shared" si="3"/>
        <v>24685.18181818182</v>
      </c>
      <c r="AB14" s="492">
        <f t="shared" si="4"/>
        <v>15802.759999999998</v>
      </c>
      <c r="AC14" s="277">
        <f t="shared" si="5"/>
        <v>24493.583333333332</v>
      </c>
      <c r="AD14" s="282">
        <f t="shared" si="6"/>
        <v>15679.783333333333</v>
      </c>
      <c r="AE14" s="225">
        <f t="shared" si="0"/>
        <v>2.7815555577158633</v>
      </c>
      <c r="AF14" s="226">
        <v>31300</v>
      </c>
      <c r="AG14" s="226">
        <v>20464</v>
      </c>
      <c r="AH14" s="226">
        <v>23966</v>
      </c>
      <c r="AI14" s="226">
        <v>16457.120000000003</v>
      </c>
      <c r="AJ14" s="226">
        <v>28720</v>
      </c>
      <c r="AK14" s="226">
        <v>19720</v>
      </c>
      <c r="AL14" s="226">
        <v>28780</v>
      </c>
      <c r="AM14" s="226">
        <v>19715.199999999997</v>
      </c>
      <c r="AN14" s="226">
        <v>22568</v>
      </c>
      <c r="AO14" s="226">
        <v>15303.2</v>
      </c>
      <c r="AP14" s="226">
        <v>26150</v>
      </c>
      <c r="AQ14" s="226">
        <v>16640</v>
      </c>
      <c r="AR14" s="226">
        <v>19402</v>
      </c>
      <c r="AS14" s="226">
        <v>13712.800000000001</v>
      </c>
      <c r="AT14" s="226">
        <v>24920</v>
      </c>
      <c r="AU14" s="226">
        <v>16371.199999999999</v>
      </c>
      <c r="AV14" s="226">
        <v>28400</v>
      </c>
      <c r="AW14" s="226">
        <v>23360</v>
      </c>
      <c r="AX14" s="226">
        <v>20180</v>
      </c>
      <c r="AY14" s="226">
        <v>13779.2</v>
      </c>
      <c r="AZ14" s="227">
        <v>32280</v>
      </c>
      <c r="BA14" s="227">
        <v>25104</v>
      </c>
      <c r="BB14" s="227">
        <v>26616</v>
      </c>
      <c r="BC14" s="227">
        <v>18762.240000000002</v>
      </c>
      <c r="BD14" s="226">
        <f t="shared" si="7"/>
        <v>313282</v>
      </c>
      <c r="BE14" s="226">
        <f t="shared" si="8"/>
        <v>219388.96000000002</v>
      </c>
      <c r="BF14" s="226">
        <f t="shared" si="9"/>
        <v>27633</v>
      </c>
      <c r="BG14" s="545">
        <f t="shared" si="10"/>
        <v>18460.560000000001</v>
      </c>
      <c r="BH14" s="493">
        <f t="shared" si="11"/>
        <v>26106.833333333332</v>
      </c>
      <c r="BI14" s="494">
        <f t="shared" si="12"/>
        <v>18282.413333333334</v>
      </c>
      <c r="BJ14" s="228">
        <f t="shared" si="13"/>
        <v>3.0900866068519832</v>
      </c>
      <c r="BK14" s="226">
        <v>21600</v>
      </c>
      <c r="BL14" s="226">
        <v>14040</v>
      </c>
      <c r="BM14" s="226">
        <v>3860</v>
      </c>
      <c r="BN14" s="226">
        <v>2456</v>
      </c>
      <c r="BO14" s="226"/>
      <c r="BP14" s="226"/>
      <c r="BQ14" s="226"/>
      <c r="BR14" s="226"/>
      <c r="BS14" s="226"/>
      <c r="BT14" s="226"/>
      <c r="BU14" s="226"/>
      <c r="BV14" s="226"/>
      <c r="BW14" s="226"/>
      <c r="BX14" s="226"/>
      <c r="BY14" s="226"/>
      <c r="BZ14" s="226"/>
      <c r="CA14" s="226"/>
      <c r="CB14" s="226"/>
      <c r="CC14" s="226"/>
      <c r="CD14" s="226"/>
      <c r="CE14" s="227"/>
      <c r="CF14" s="227"/>
      <c r="CG14" s="227"/>
      <c r="CH14" s="227"/>
      <c r="CI14" s="226">
        <f t="shared" si="14"/>
        <v>25460</v>
      </c>
      <c r="CJ14" s="226">
        <f t="shared" si="15"/>
        <v>16496</v>
      </c>
      <c r="CK14" s="226">
        <f t="shared" si="16"/>
        <v>12730</v>
      </c>
      <c r="CL14" s="494">
        <f t="shared" si="17"/>
        <v>8248</v>
      </c>
      <c r="CM14" s="559">
        <f t="shared" si="18"/>
        <v>1.5931361944472939</v>
      </c>
      <c r="CN14" s="560">
        <f t="shared" si="19"/>
        <v>-1.4969504124046893</v>
      </c>
      <c r="CO14" s="561">
        <f t="shared" si="20"/>
        <v>-55.320965344496592</v>
      </c>
      <c r="CP14" s="562">
        <f t="shared" si="21"/>
        <v>-54.885605911983902</v>
      </c>
      <c r="CQ14" s="562">
        <f t="shared" si="22"/>
        <v>-10034.413333333334</v>
      </c>
      <c r="CR14" s="562">
        <f t="shared" si="23"/>
        <v>-10212.560000000001</v>
      </c>
      <c r="CS14" s="562">
        <f t="shared" si="24"/>
        <v>-716.74380952380955</v>
      </c>
      <c r="CT14" s="562">
        <f t="shared" si="25"/>
        <v>-729.46857142857152</v>
      </c>
      <c r="CU14" s="563">
        <f t="shared" si="26"/>
        <v>-1458.937142857143</v>
      </c>
      <c r="CV14" s="564">
        <f t="shared" si="27"/>
        <v>236940.07680000004</v>
      </c>
      <c r="CW14" s="564">
        <f t="shared" si="28"/>
        <v>220444.07680000004</v>
      </c>
      <c r="CX14" s="565">
        <f t="shared" si="29"/>
        <v>22044.407680000004</v>
      </c>
    </row>
    <row r="15" spans="1:102" s="558" customFormat="1" ht="27" customHeight="1" thickBot="1">
      <c r="A15" s="440"/>
      <c r="B15" s="441" t="s">
        <v>145</v>
      </c>
      <c r="C15" s="442">
        <f t="shared" ref="C15:Z15" si="30">SUM(C4:C14)</f>
        <v>949178</v>
      </c>
      <c r="D15" s="443">
        <f t="shared" si="30"/>
        <v>613512.19999999995</v>
      </c>
      <c r="E15" s="444">
        <f t="shared" si="30"/>
        <v>773779</v>
      </c>
      <c r="F15" s="445">
        <f t="shared" si="30"/>
        <v>500548.68</v>
      </c>
      <c r="G15" s="442">
        <f t="shared" si="30"/>
        <v>794108</v>
      </c>
      <c r="H15" s="443">
        <f t="shared" si="30"/>
        <v>512919.14</v>
      </c>
      <c r="I15" s="444">
        <f t="shared" si="30"/>
        <v>749078</v>
      </c>
      <c r="J15" s="443">
        <f t="shared" si="30"/>
        <v>486537.00000000006</v>
      </c>
      <c r="K15" s="444">
        <f t="shared" si="30"/>
        <v>840592</v>
      </c>
      <c r="L15" s="443">
        <f t="shared" si="30"/>
        <v>541215.06000000006</v>
      </c>
      <c r="M15" s="444">
        <f t="shared" si="30"/>
        <v>820396</v>
      </c>
      <c r="N15" s="443">
        <f t="shared" si="30"/>
        <v>529836.97000000009</v>
      </c>
      <c r="O15" s="444">
        <f t="shared" si="30"/>
        <v>868137</v>
      </c>
      <c r="P15" s="443">
        <f t="shared" si="30"/>
        <v>561678.62</v>
      </c>
      <c r="Q15" s="444">
        <f t="shared" si="30"/>
        <v>864657</v>
      </c>
      <c r="R15" s="443">
        <f t="shared" si="30"/>
        <v>560913.68000000005</v>
      </c>
      <c r="S15" s="444">
        <f t="shared" si="30"/>
        <v>901641</v>
      </c>
      <c r="T15" s="443">
        <f t="shared" si="30"/>
        <v>583965.26000000013</v>
      </c>
      <c r="U15" s="444">
        <f t="shared" si="30"/>
        <v>946416</v>
      </c>
      <c r="V15" s="443">
        <f t="shared" si="30"/>
        <v>615351.65</v>
      </c>
      <c r="W15" s="444">
        <f t="shared" si="30"/>
        <v>917030</v>
      </c>
      <c r="X15" s="443">
        <f t="shared" si="30"/>
        <v>595835.0199999999</v>
      </c>
      <c r="Y15" s="444">
        <f t="shared" si="30"/>
        <v>1013431</v>
      </c>
      <c r="Z15" s="443">
        <f t="shared" si="30"/>
        <v>662153.44000000006</v>
      </c>
      <c r="AA15" s="495">
        <f t="shared" si="3"/>
        <v>856819.27272727271</v>
      </c>
      <c r="AB15" s="496">
        <f t="shared" si="4"/>
        <v>554755.7527272728</v>
      </c>
      <c r="AC15" s="511">
        <f t="shared" si="5"/>
        <v>869870.25</v>
      </c>
      <c r="AD15" s="512">
        <f t="shared" si="6"/>
        <v>563705.56000000006</v>
      </c>
      <c r="AE15" s="446">
        <f t="shared" ref="AE15:BI15" si="31">SUM(AE4:AE14)</f>
        <v>100</v>
      </c>
      <c r="AF15" s="447">
        <f t="shared" si="31"/>
        <v>965752</v>
      </c>
      <c r="AG15" s="447">
        <f t="shared" si="31"/>
        <v>631832.88000000047</v>
      </c>
      <c r="AH15" s="447">
        <f>SUM(AH4:AH14)</f>
        <v>818851</v>
      </c>
      <c r="AI15" s="447">
        <f t="shared" si="31"/>
        <v>532828.4800000001</v>
      </c>
      <c r="AJ15" s="447">
        <f t="shared" si="31"/>
        <v>1020554</v>
      </c>
      <c r="AK15" s="447">
        <f t="shared" si="31"/>
        <v>677348.72000000044</v>
      </c>
      <c r="AL15" s="447">
        <f t="shared" si="31"/>
        <v>803099</v>
      </c>
      <c r="AM15" s="447">
        <f t="shared" si="31"/>
        <v>524612.25000000012</v>
      </c>
      <c r="AN15" s="447">
        <f t="shared" si="31"/>
        <v>888740</v>
      </c>
      <c r="AO15" s="447">
        <f t="shared" si="31"/>
        <v>583181.49000000046</v>
      </c>
      <c r="AP15" s="447">
        <f t="shared" si="31"/>
        <v>884247</v>
      </c>
      <c r="AQ15" s="447">
        <f t="shared" si="31"/>
        <v>578612.40000000026</v>
      </c>
      <c r="AR15" s="447">
        <f t="shared" si="31"/>
        <v>863703</v>
      </c>
      <c r="AS15" s="447">
        <f t="shared" si="31"/>
        <v>571258.19000000029</v>
      </c>
      <c r="AT15" s="447">
        <f t="shared" si="31"/>
        <v>848693</v>
      </c>
      <c r="AU15" s="447">
        <f t="shared" si="31"/>
        <v>558733.84</v>
      </c>
      <c r="AV15" s="447">
        <f t="shared" si="31"/>
        <v>866201</v>
      </c>
      <c r="AW15" s="447">
        <f t="shared" si="31"/>
        <v>583840.0399999998</v>
      </c>
      <c r="AX15" s="447">
        <f t="shared" si="31"/>
        <v>899036</v>
      </c>
      <c r="AY15" s="447">
        <f t="shared" si="31"/>
        <v>603753.98000000033</v>
      </c>
      <c r="AZ15" s="447">
        <f t="shared" si="31"/>
        <v>928681</v>
      </c>
      <c r="BA15" s="447">
        <f t="shared" si="31"/>
        <v>616783.96000000031</v>
      </c>
      <c r="BB15" s="447">
        <f t="shared" si="31"/>
        <v>956796</v>
      </c>
      <c r="BC15" s="447">
        <f t="shared" si="31"/>
        <v>636981.12000000046</v>
      </c>
      <c r="BD15" s="447">
        <f t="shared" si="31"/>
        <v>10744353</v>
      </c>
      <c r="BE15" s="447">
        <f t="shared" si="31"/>
        <v>7099767.3500000034</v>
      </c>
      <c r="BF15" s="447">
        <f t="shared" si="31"/>
        <v>892301.5</v>
      </c>
      <c r="BG15" s="672">
        <f>SUM(BG4:BG14)</f>
        <v>582330.6800000004</v>
      </c>
      <c r="BH15" s="447">
        <f t="shared" si="31"/>
        <v>895362.75000000012</v>
      </c>
      <c r="BI15" s="672">
        <f t="shared" si="31"/>
        <v>591647.27916666679</v>
      </c>
      <c r="BJ15" s="448">
        <f t="shared" si="13"/>
        <v>100</v>
      </c>
      <c r="BK15" s="447">
        <f t="shared" ref="BK15:BV15" si="32">SUM(BK4:BK14)</f>
        <v>822987</v>
      </c>
      <c r="BL15" s="447">
        <f t="shared" si="32"/>
        <v>549147.60000000033</v>
      </c>
      <c r="BM15" s="447">
        <f t="shared" si="32"/>
        <v>729741</v>
      </c>
      <c r="BN15" s="447">
        <f t="shared" si="32"/>
        <v>486294.32000000012</v>
      </c>
      <c r="BO15" s="447">
        <f t="shared" si="32"/>
        <v>0</v>
      </c>
      <c r="BP15" s="447">
        <f t="shared" si="32"/>
        <v>0</v>
      </c>
      <c r="BQ15" s="447">
        <f t="shared" si="32"/>
        <v>0</v>
      </c>
      <c r="BR15" s="447">
        <f t="shared" si="32"/>
        <v>0</v>
      </c>
      <c r="BS15" s="447">
        <f t="shared" si="32"/>
        <v>0</v>
      </c>
      <c r="BT15" s="447">
        <f t="shared" si="32"/>
        <v>0</v>
      </c>
      <c r="BU15" s="447">
        <f t="shared" si="32"/>
        <v>0</v>
      </c>
      <c r="BV15" s="447">
        <f t="shared" si="32"/>
        <v>0</v>
      </c>
      <c r="BW15" s="447">
        <f>SUM(BW4:BW14)</f>
        <v>0</v>
      </c>
      <c r="BX15" s="447">
        <f t="shared" ref="BX15" si="33">SUM(BX4:BX14)</f>
        <v>0</v>
      </c>
      <c r="BY15" s="447">
        <f>SUM(BY4:BY14)</f>
        <v>0</v>
      </c>
      <c r="BZ15" s="447">
        <f t="shared" ref="BZ15:CJ15" si="34">SUM(BZ4:BZ14)</f>
        <v>0</v>
      </c>
      <c r="CA15" s="447">
        <f t="shared" si="34"/>
        <v>0</v>
      </c>
      <c r="CB15" s="447">
        <f t="shared" si="34"/>
        <v>0</v>
      </c>
      <c r="CC15" s="447">
        <f t="shared" si="34"/>
        <v>0</v>
      </c>
      <c r="CD15" s="447">
        <f t="shared" si="34"/>
        <v>0</v>
      </c>
      <c r="CE15" s="447">
        <f t="shared" si="34"/>
        <v>0</v>
      </c>
      <c r="CF15" s="447">
        <f t="shared" si="34"/>
        <v>0</v>
      </c>
      <c r="CG15" s="447">
        <f t="shared" si="34"/>
        <v>0</v>
      </c>
      <c r="CH15" s="447">
        <f t="shared" si="34"/>
        <v>0</v>
      </c>
      <c r="CI15" s="447">
        <f>SUM(CI4:CI14)</f>
        <v>1552728</v>
      </c>
      <c r="CJ15" s="447">
        <f t="shared" si="34"/>
        <v>1035441.9200000004</v>
      </c>
      <c r="CK15" s="447">
        <f>SUM(CK4:CK14)</f>
        <v>776364</v>
      </c>
      <c r="CL15" s="672">
        <f>SUM(CL4:CL14)</f>
        <v>517720.9600000002</v>
      </c>
      <c r="CM15" s="511">
        <f t="shared" si="18"/>
        <v>100</v>
      </c>
      <c r="CN15" s="566">
        <f t="shared" si="19"/>
        <v>0</v>
      </c>
      <c r="CO15" s="594">
        <f t="shared" si="20"/>
        <v>-11.095022505082525</v>
      </c>
      <c r="CP15" s="595">
        <f t="shared" si="21"/>
        <v>-12.494998586115628</v>
      </c>
      <c r="CQ15" s="567">
        <f t="shared" si="22"/>
        <v>-73926.319166666595</v>
      </c>
      <c r="CR15" s="567">
        <f t="shared" si="23"/>
        <v>-64609.720000000205</v>
      </c>
      <c r="CS15" s="567">
        <f t="shared" si="24"/>
        <v>-5280.4513690476142</v>
      </c>
      <c r="CT15" s="567">
        <f t="shared" si="25"/>
        <v>-4614.980000000015</v>
      </c>
      <c r="CU15" s="568">
        <f t="shared" si="26"/>
        <v>-9229.96000000003</v>
      </c>
      <c r="CV15" s="569">
        <f t="shared" si="27"/>
        <v>7667748.7380000018</v>
      </c>
      <c r="CW15" s="569">
        <f t="shared" si="28"/>
        <v>6632306.8180000018</v>
      </c>
      <c r="CX15" s="673">
        <f>CW15/10</f>
        <v>663230.68180000014</v>
      </c>
    </row>
    <row r="17" spans="60:61">
      <c r="BH17" s="317"/>
    </row>
    <row r="20" spans="60:61">
      <c r="BH20" s="317"/>
      <c r="BI20" s="317"/>
    </row>
  </sheetData>
  <mergeCells count="54">
    <mergeCell ref="CV2:CX2"/>
    <mergeCell ref="Y2:Z2"/>
    <mergeCell ref="AA2:AB2"/>
    <mergeCell ref="CQ1:CT1"/>
    <mergeCell ref="CU1:CU2"/>
    <mergeCell ref="CQ2:CR2"/>
    <mergeCell ref="CN1:CN2"/>
    <mergeCell ref="AR2:AS2"/>
    <mergeCell ref="AT2:AU2"/>
    <mergeCell ref="AV2:AW2"/>
    <mergeCell ref="BH2:BI2"/>
    <mergeCell ref="BF2:BG2"/>
    <mergeCell ref="BK2:BL2"/>
    <mergeCell ref="BM2:BN2"/>
    <mergeCell ref="BO2:BP2"/>
    <mergeCell ref="BQ2:BR2"/>
    <mergeCell ref="O2:P2"/>
    <mergeCell ref="Q2:R2"/>
    <mergeCell ref="S2:T2"/>
    <mergeCell ref="U2:V2"/>
    <mergeCell ref="W2:X2"/>
    <mergeCell ref="E2:F2"/>
    <mergeCell ref="G2:H2"/>
    <mergeCell ref="I2:J2"/>
    <mergeCell ref="K2:L2"/>
    <mergeCell ref="M2:N2"/>
    <mergeCell ref="A1:A2"/>
    <mergeCell ref="B1:B2"/>
    <mergeCell ref="AF1:BI1"/>
    <mergeCell ref="BJ1:BJ2"/>
    <mergeCell ref="AC2:AD2"/>
    <mergeCell ref="AF2:AG2"/>
    <mergeCell ref="AH2:AI2"/>
    <mergeCell ref="AJ2:AK2"/>
    <mergeCell ref="AX2:AY2"/>
    <mergeCell ref="AZ2:BA2"/>
    <mergeCell ref="BB2:BC2"/>
    <mergeCell ref="BD2:BE2"/>
    <mergeCell ref="AL2:AM2"/>
    <mergeCell ref="AN2:AO2"/>
    <mergeCell ref="AP2:AQ2"/>
    <mergeCell ref="C2:D2"/>
    <mergeCell ref="BS2:BT2"/>
    <mergeCell ref="BU2:BV2"/>
    <mergeCell ref="BW2:BX2"/>
    <mergeCell ref="BY2:BZ2"/>
    <mergeCell ref="CA2:CB2"/>
    <mergeCell ref="CM1:CM2"/>
    <mergeCell ref="CS2:CT2"/>
    <mergeCell ref="CC2:CD2"/>
    <mergeCell ref="CE2:CF2"/>
    <mergeCell ref="CG2:CH2"/>
    <mergeCell ref="CI2:CJ2"/>
    <mergeCell ref="CK2:CL2"/>
  </mergeCells>
  <pageMargins left="0" right="0" top="0" bottom="0" header="0.3" footer="0.3"/>
  <pageSetup paperSize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3E3A-D13A-467F-B4D6-240F4058DDE3}">
  <sheetPr>
    <tabColor rgb="FFFF0000"/>
  </sheetPr>
  <dimension ref="A1:AZ61"/>
  <sheetViews>
    <sheetView zoomScale="80" zoomScaleNormal="80" workbookViewId="0">
      <pane xSplit="4" ySplit="2" topLeftCell="AE47" activePane="bottomRight" state="frozen"/>
      <selection pane="topRight" activeCell="E1" sqref="E1"/>
      <selection pane="bottomLeft" activeCell="A3" sqref="A3"/>
      <selection pane="bottomRight" activeCell="BA71" sqref="BA71"/>
    </sheetView>
  </sheetViews>
  <sheetFormatPr defaultColWidth="9.109375" defaultRowHeight="19.95" customHeight="1"/>
  <cols>
    <col min="1" max="1" width="3" style="229" bestFit="1" customWidth="1"/>
    <col min="2" max="2" width="26.109375" style="229" customWidth="1"/>
    <col min="3" max="3" width="5.5546875" style="229" bestFit="1" customWidth="1"/>
    <col min="4" max="4" width="7.88671875" style="229" bestFit="1" customWidth="1"/>
    <col min="5" max="6" width="9" style="229" customWidth="1"/>
    <col min="7" max="8" width="9" style="291" customWidth="1"/>
    <col min="9" max="10" width="9" style="229" customWidth="1"/>
    <col min="11" max="12" width="9" style="291" customWidth="1"/>
    <col min="13" max="14" width="9" style="229" customWidth="1"/>
    <col min="15" max="16" width="9" style="291" customWidth="1"/>
    <col min="17" max="18" width="9" style="229" customWidth="1"/>
    <col min="19" max="20" width="9" style="291" customWidth="1"/>
    <col min="21" max="22" width="9" style="229" customWidth="1"/>
    <col min="23" max="24" width="9" style="291" customWidth="1"/>
    <col min="25" max="26" width="9" style="229" customWidth="1"/>
    <col min="27" max="28" width="9" style="291" customWidth="1"/>
    <col min="29" max="30" width="9" style="229" customWidth="1"/>
    <col min="31" max="32" width="9" style="291" customWidth="1"/>
    <col min="33" max="33" width="10.44140625" style="229" bestFit="1" customWidth="1"/>
    <col min="34" max="34" width="9" style="229" customWidth="1"/>
    <col min="35" max="36" width="9" style="291" customWidth="1"/>
    <col min="37" max="38" width="9" style="229" customWidth="1"/>
    <col min="39" max="40" width="9" style="291" customWidth="1"/>
    <col min="41" max="42" width="9" style="229" customWidth="1"/>
    <col min="43" max="44" width="9" style="291" customWidth="1"/>
    <col min="45" max="46" width="9" style="229" customWidth="1"/>
    <col min="47" max="48" width="9" style="291" customWidth="1"/>
    <col min="49" max="49" width="9.6640625" style="229" customWidth="1"/>
    <col min="50" max="50" width="9.88671875" style="229" customWidth="1"/>
    <col min="51" max="51" width="10.5546875" style="291" customWidth="1"/>
    <col min="52" max="52" width="12.109375" style="229" bestFit="1" customWidth="1"/>
    <col min="53" max="16384" width="9.109375" style="229"/>
  </cols>
  <sheetData>
    <row r="1" spans="1:52" ht="40.5" customHeight="1" thickBot="1">
      <c r="A1" s="908" t="s">
        <v>111</v>
      </c>
      <c r="B1" s="910" t="s">
        <v>112</v>
      </c>
      <c r="C1" s="910" t="s">
        <v>113</v>
      </c>
      <c r="D1" s="912" t="s">
        <v>114</v>
      </c>
      <c r="E1" s="914" t="s">
        <v>98</v>
      </c>
      <c r="F1" s="907"/>
      <c r="G1" s="904" t="s">
        <v>179</v>
      </c>
      <c r="H1" s="904" t="s">
        <v>350</v>
      </c>
      <c r="I1" s="906" t="s">
        <v>146</v>
      </c>
      <c r="J1" s="907"/>
      <c r="K1" s="904" t="s">
        <v>179</v>
      </c>
      <c r="L1" s="904" t="s">
        <v>350</v>
      </c>
      <c r="M1" s="906" t="s">
        <v>147</v>
      </c>
      <c r="N1" s="907"/>
      <c r="O1" s="904" t="s">
        <v>179</v>
      </c>
      <c r="P1" s="904" t="s">
        <v>350</v>
      </c>
      <c r="Q1" s="906" t="s">
        <v>148</v>
      </c>
      <c r="R1" s="907"/>
      <c r="S1" s="904" t="s">
        <v>179</v>
      </c>
      <c r="T1" s="904" t="s">
        <v>350</v>
      </c>
      <c r="U1" s="906" t="s">
        <v>150</v>
      </c>
      <c r="V1" s="907"/>
      <c r="W1" s="904" t="s">
        <v>179</v>
      </c>
      <c r="X1" s="904" t="s">
        <v>350</v>
      </c>
      <c r="Y1" s="906" t="s">
        <v>151</v>
      </c>
      <c r="Z1" s="907"/>
      <c r="AA1" s="904" t="s">
        <v>179</v>
      </c>
      <c r="AB1" s="904" t="s">
        <v>350</v>
      </c>
      <c r="AC1" s="906" t="s">
        <v>152</v>
      </c>
      <c r="AD1" s="907"/>
      <c r="AE1" s="904" t="s">
        <v>179</v>
      </c>
      <c r="AF1" s="904" t="s">
        <v>350</v>
      </c>
      <c r="AG1" s="906" t="s">
        <v>153</v>
      </c>
      <c r="AH1" s="907"/>
      <c r="AI1" s="904" t="s">
        <v>179</v>
      </c>
      <c r="AJ1" s="904" t="s">
        <v>350</v>
      </c>
      <c r="AK1" s="906" t="s">
        <v>154</v>
      </c>
      <c r="AL1" s="907"/>
      <c r="AM1" s="904" t="s">
        <v>179</v>
      </c>
      <c r="AN1" s="904" t="s">
        <v>350</v>
      </c>
      <c r="AO1" s="906" t="s">
        <v>107</v>
      </c>
      <c r="AP1" s="907"/>
      <c r="AQ1" s="904" t="s">
        <v>179</v>
      </c>
      <c r="AR1" s="904" t="s">
        <v>350</v>
      </c>
      <c r="AS1" s="906" t="s">
        <v>155</v>
      </c>
      <c r="AT1" s="907"/>
      <c r="AU1" s="904" t="s">
        <v>179</v>
      </c>
      <c r="AV1" s="904" t="s">
        <v>350</v>
      </c>
      <c r="AW1" s="906" t="s">
        <v>145</v>
      </c>
      <c r="AX1" s="907"/>
      <c r="AY1" s="904" t="s">
        <v>179</v>
      </c>
      <c r="AZ1" s="230" t="s">
        <v>156</v>
      </c>
    </row>
    <row r="2" spans="1:52" ht="19.95" customHeight="1" thickBot="1">
      <c r="A2" s="909"/>
      <c r="B2" s="911"/>
      <c r="C2" s="911"/>
      <c r="D2" s="913"/>
      <c r="E2" s="470">
        <v>2025</v>
      </c>
      <c r="F2" s="452">
        <v>2026</v>
      </c>
      <c r="G2" s="905"/>
      <c r="H2" s="905"/>
      <c r="I2" s="470">
        <v>2025</v>
      </c>
      <c r="J2" s="452">
        <v>2026</v>
      </c>
      <c r="K2" s="905"/>
      <c r="L2" s="905"/>
      <c r="M2" s="470">
        <v>2025</v>
      </c>
      <c r="N2" s="452">
        <v>2026</v>
      </c>
      <c r="O2" s="905"/>
      <c r="P2" s="905"/>
      <c r="Q2" s="470">
        <v>2025</v>
      </c>
      <c r="R2" s="452">
        <v>2026</v>
      </c>
      <c r="S2" s="905"/>
      <c r="T2" s="905"/>
      <c r="U2" s="470">
        <v>2025</v>
      </c>
      <c r="V2" s="452">
        <v>2026</v>
      </c>
      <c r="W2" s="905"/>
      <c r="X2" s="905"/>
      <c r="Y2" s="470">
        <v>2025</v>
      </c>
      <c r="Z2" s="452">
        <v>2026</v>
      </c>
      <c r="AA2" s="905"/>
      <c r="AB2" s="905"/>
      <c r="AC2" s="470">
        <v>2025</v>
      </c>
      <c r="AD2" s="452">
        <v>2026</v>
      </c>
      <c r="AE2" s="905"/>
      <c r="AF2" s="905"/>
      <c r="AG2" s="470">
        <v>2025</v>
      </c>
      <c r="AH2" s="452">
        <v>2026</v>
      </c>
      <c r="AI2" s="905"/>
      <c r="AJ2" s="905"/>
      <c r="AK2" s="470">
        <v>2025</v>
      </c>
      <c r="AL2" s="452">
        <v>2026</v>
      </c>
      <c r="AM2" s="905"/>
      <c r="AN2" s="905"/>
      <c r="AO2" s="470">
        <v>2025</v>
      </c>
      <c r="AP2" s="452">
        <v>2026</v>
      </c>
      <c r="AQ2" s="905"/>
      <c r="AR2" s="905"/>
      <c r="AS2" s="470">
        <v>2025</v>
      </c>
      <c r="AT2" s="452">
        <v>2026</v>
      </c>
      <c r="AU2" s="905"/>
      <c r="AV2" s="905"/>
      <c r="AW2" s="470">
        <v>2025</v>
      </c>
      <c r="AX2" s="452">
        <v>2026</v>
      </c>
      <c r="AY2" s="905"/>
      <c r="AZ2" s="453" t="s">
        <v>67</v>
      </c>
    </row>
    <row r="3" spans="1:52" ht="19.95" customHeight="1">
      <c r="A3" s="478">
        <v>1</v>
      </c>
      <c r="B3" s="231" t="s">
        <v>13</v>
      </c>
      <c r="C3" s="219">
        <v>0.7</v>
      </c>
      <c r="D3" s="479" t="s">
        <v>15</v>
      </c>
      <c r="E3" s="471"/>
      <c r="F3" s="449"/>
      <c r="G3" s="450"/>
      <c r="H3" s="513">
        <f t="shared" ref="H3:H34" si="0">F3/$F$58%</f>
        <v>0</v>
      </c>
      <c r="I3" s="471"/>
      <c r="J3" s="449"/>
      <c r="K3" s="450"/>
      <c r="L3" s="513">
        <f t="shared" ref="L3:L34" si="1">J3/$J$58%</f>
        <v>0</v>
      </c>
      <c r="M3" s="471"/>
      <c r="N3" s="449"/>
      <c r="O3" s="450"/>
      <c r="P3" s="513">
        <f t="shared" ref="P3:P34" si="2">N3/$N$58%</f>
        <v>0</v>
      </c>
      <c r="Q3" s="471">
        <v>42</v>
      </c>
      <c r="R3" s="449"/>
      <c r="S3" s="450">
        <f>R3/Q3*100-100</f>
        <v>-100</v>
      </c>
      <c r="T3" s="513">
        <f t="shared" ref="T3:T34" si="3">R3/$R$58%</f>
        <v>0</v>
      </c>
      <c r="U3" s="471">
        <v>226.79999999999998</v>
      </c>
      <c r="V3" s="449">
        <v>92.399999999999991</v>
      </c>
      <c r="W3" s="450">
        <f>V3/U3*100-100</f>
        <v>-59.25925925925926</v>
      </c>
      <c r="X3" s="513">
        <f t="shared" ref="X3:X34" si="4">V3/$V$58%</f>
        <v>0.21449264596642392</v>
      </c>
      <c r="Y3" s="471">
        <v>105</v>
      </c>
      <c r="Z3" s="449"/>
      <c r="AA3" s="450">
        <f>Z3/Y3*100-100</f>
        <v>-100</v>
      </c>
      <c r="AB3" s="513">
        <f t="shared" ref="AB3:AB34" si="5">Z3/$Z$58%</f>
        <v>0</v>
      </c>
      <c r="AC3" s="471">
        <v>105</v>
      </c>
      <c r="AD3" s="449">
        <v>125.99999999999999</v>
      </c>
      <c r="AE3" s="450">
        <f>AD3/AC3*100-100</f>
        <v>20</v>
      </c>
      <c r="AF3" s="514">
        <f t="shared" ref="AF3:AF34" si="6">AD3/$AD$58%</f>
        <v>0.16380425235839116</v>
      </c>
      <c r="AG3" s="471"/>
      <c r="AH3" s="449"/>
      <c r="AI3" s="450"/>
      <c r="AJ3" s="513">
        <f t="shared" ref="AJ3:AJ34" si="7">AH3/$AH$58%</f>
        <v>0</v>
      </c>
      <c r="AK3" s="471">
        <v>630</v>
      </c>
      <c r="AL3" s="449">
        <v>525</v>
      </c>
      <c r="AM3" s="450">
        <f>AL3/AK3*100-100</f>
        <v>-16.666666666666657</v>
      </c>
      <c r="AN3" s="513">
        <f t="shared" ref="AN3:AN34" si="8">AL3/$AL$58%</f>
        <v>7.0806247134032851</v>
      </c>
      <c r="AO3" s="471"/>
      <c r="AP3" s="449"/>
      <c r="AQ3" s="450"/>
      <c r="AR3" s="513">
        <f t="shared" ref="AR3:AR34" si="9">AP3/$AP$58%</f>
        <v>0</v>
      </c>
      <c r="AS3" s="471"/>
      <c r="AT3" s="449"/>
      <c r="AU3" s="450"/>
      <c r="AV3" s="513">
        <f t="shared" ref="AV3:AV34" si="10">AT3/$AT$58%</f>
        <v>0</v>
      </c>
      <c r="AW3" s="449">
        <f>E3+I3+M3+Q3+U3+Y3+AC3+AG3+AK3+AO3+AS3</f>
        <v>1108.8</v>
      </c>
      <c r="AX3" s="449">
        <f>F3+J3+N3+R3+V3+Z3+AD3+AH3+AL3+AP3+AT3</f>
        <v>743.4</v>
      </c>
      <c r="AY3" s="450">
        <f t="shared" ref="AY3:AY58" si="11">AX3/AW3*100-100</f>
        <v>-32.954545454545453</v>
      </c>
      <c r="AZ3" s="451">
        <f t="shared" ref="AZ3:AZ34" si="12">AX3/$AX$58%</f>
        <v>0.14359069767154373</v>
      </c>
    </row>
    <row r="4" spans="1:52" s="310" customFormat="1" ht="19.95" customHeight="1">
      <c r="A4" s="480"/>
      <c r="B4" s="315" t="s">
        <v>183</v>
      </c>
      <c r="C4" s="311"/>
      <c r="D4" s="481"/>
      <c r="E4" s="472">
        <f>SUM(E3)</f>
        <v>0</v>
      </c>
      <c r="F4" s="312">
        <f>SUM(F3)</f>
        <v>0</v>
      </c>
      <c r="G4" s="309"/>
      <c r="H4" s="513">
        <f t="shared" si="0"/>
        <v>0</v>
      </c>
      <c r="I4" s="472">
        <f>SUM(I3)</f>
        <v>0</v>
      </c>
      <c r="J4" s="312">
        <f>SUM(J3)</f>
        <v>0</v>
      </c>
      <c r="K4" s="309"/>
      <c r="L4" s="513">
        <f t="shared" si="1"/>
        <v>0</v>
      </c>
      <c r="M4" s="472">
        <f>SUM(M3)</f>
        <v>0</v>
      </c>
      <c r="N4" s="312">
        <f>SUM(N3)</f>
        <v>0</v>
      </c>
      <c r="O4" s="309"/>
      <c r="P4" s="513">
        <f t="shared" si="2"/>
        <v>0</v>
      </c>
      <c r="Q4" s="472">
        <f>SUM(Q3)</f>
        <v>42</v>
      </c>
      <c r="R4" s="312">
        <f>SUM(R3)</f>
        <v>0</v>
      </c>
      <c r="S4" s="309">
        <f t="shared" ref="S4:S57" si="13">R4/Q4*100-100</f>
        <v>-100</v>
      </c>
      <c r="T4" s="513">
        <f t="shared" si="3"/>
        <v>0</v>
      </c>
      <c r="U4" s="472">
        <f>SUM(U3)</f>
        <v>226.79999999999998</v>
      </c>
      <c r="V4" s="312">
        <f>SUM(V3)</f>
        <v>92.399999999999991</v>
      </c>
      <c r="W4" s="309">
        <f t="shared" ref="W4:W57" si="14">V4/U4*100-100</f>
        <v>-59.25925925925926</v>
      </c>
      <c r="X4" s="513">
        <f t="shared" si="4"/>
        <v>0.21449264596642392</v>
      </c>
      <c r="Y4" s="472">
        <f>SUM(Y3)</f>
        <v>105</v>
      </c>
      <c r="Z4" s="312">
        <f>SUM(Z3)</f>
        <v>0</v>
      </c>
      <c r="AA4" s="309">
        <f t="shared" ref="AA4:AA45" si="15">Z4/Y4*100-100</f>
        <v>-100</v>
      </c>
      <c r="AB4" s="513">
        <f t="shared" si="5"/>
        <v>0</v>
      </c>
      <c r="AC4" s="472">
        <f>SUM(AC3)</f>
        <v>105</v>
      </c>
      <c r="AD4" s="312">
        <f>SUM(AD3)</f>
        <v>125.99999999999999</v>
      </c>
      <c r="AE4" s="309">
        <f t="shared" ref="AE4:AE53" si="16">AD4/AC4*100-100</f>
        <v>20</v>
      </c>
      <c r="AF4" s="514">
        <f t="shared" si="6"/>
        <v>0.16380425235839116</v>
      </c>
      <c r="AG4" s="472">
        <f>SUM(AG3)</f>
        <v>0</v>
      </c>
      <c r="AH4" s="312">
        <f>SUM(AH3)</f>
        <v>0</v>
      </c>
      <c r="AI4" s="309"/>
      <c r="AJ4" s="513">
        <f t="shared" si="7"/>
        <v>0</v>
      </c>
      <c r="AK4" s="472">
        <f>SUM(AK3)</f>
        <v>630</v>
      </c>
      <c r="AL4" s="312">
        <f>SUM(AL3)</f>
        <v>525</v>
      </c>
      <c r="AM4" s="309">
        <f t="shared" ref="AM4:AM45" si="17">AL4/AK4*100-100</f>
        <v>-16.666666666666657</v>
      </c>
      <c r="AN4" s="513">
        <f t="shared" si="8"/>
        <v>7.0806247134032851</v>
      </c>
      <c r="AO4" s="472">
        <f>SUM(AO3)</f>
        <v>0</v>
      </c>
      <c r="AP4" s="312">
        <f>SUM(AP3)</f>
        <v>0</v>
      </c>
      <c r="AQ4" s="309"/>
      <c r="AR4" s="513">
        <f t="shared" si="9"/>
        <v>0</v>
      </c>
      <c r="AS4" s="472">
        <f>SUM(AS3)</f>
        <v>0</v>
      </c>
      <c r="AT4" s="312">
        <f>SUM(AT3)</f>
        <v>0</v>
      </c>
      <c r="AU4" s="309"/>
      <c r="AV4" s="513">
        <f t="shared" si="10"/>
        <v>0</v>
      </c>
      <c r="AW4" s="449">
        <f t="shared" ref="AW4:AW57" si="18">E4+I4+M4+Q4+U4+Y4+AC4+AG4+AK4+AO4+AS4</f>
        <v>1108.8</v>
      </c>
      <c r="AX4" s="449">
        <f t="shared" ref="AX4:AX57" si="19">F4+J4+N4+R4+V4+Z4+AD4+AH4+AL4+AP4+AT4</f>
        <v>743.4</v>
      </c>
      <c r="AY4" s="309">
        <f t="shared" si="11"/>
        <v>-32.954545454545453</v>
      </c>
      <c r="AZ4" s="451">
        <f t="shared" si="12"/>
        <v>0.14359069767154373</v>
      </c>
    </row>
    <row r="5" spans="1:52" ht="19.95" customHeight="1">
      <c r="A5" s="478">
        <v>2</v>
      </c>
      <c r="B5" s="231" t="s">
        <v>17</v>
      </c>
      <c r="C5" s="219">
        <v>1</v>
      </c>
      <c r="D5" s="479" t="s">
        <v>15</v>
      </c>
      <c r="E5" s="473"/>
      <c r="F5" s="292"/>
      <c r="G5" s="289"/>
      <c r="H5" s="513">
        <f t="shared" si="0"/>
        <v>0</v>
      </c>
      <c r="I5" s="473"/>
      <c r="J5" s="292"/>
      <c r="K5" s="289"/>
      <c r="L5" s="513">
        <f t="shared" si="1"/>
        <v>0</v>
      </c>
      <c r="M5" s="473"/>
      <c r="N5" s="292"/>
      <c r="O5" s="289"/>
      <c r="P5" s="513">
        <f t="shared" si="2"/>
        <v>0</v>
      </c>
      <c r="Q5" s="473"/>
      <c r="R5" s="292"/>
      <c r="S5" s="289"/>
      <c r="T5" s="513">
        <f t="shared" si="3"/>
        <v>0</v>
      </c>
      <c r="U5" s="473"/>
      <c r="V5" s="292"/>
      <c r="W5" s="289"/>
      <c r="X5" s="513">
        <f t="shared" si="4"/>
        <v>0</v>
      </c>
      <c r="Y5" s="473"/>
      <c r="Z5" s="292"/>
      <c r="AA5" s="289"/>
      <c r="AB5" s="513">
        <f t="shared" si="5"/>
        <v>0</v>
      </c>
      <c r="AC5" s="473"/>
      <c r="AD5" s="292"/>
      <c r="AE5" s="289"/>
      <c r="AF5" s="514">
        <f t="shared" si="6"/>
        <v>0</v>
      </c>
      <c r="AG5" s="473"/>
      <c r="AH5" s="292"/>
      <c r="AI5" s="289"/>
      <c r="AJ5" s="513">
        <f t="shared" si="7"/>
        <v>0</v>
      </c>
      <c r="AK5" s="473"/>
      <c r="AL5" s="292"/>
      <c r="AM5" s="289"/>
      <c r="AN5" s="513">
        <f t="shared" si="8"/>
        <v>0</v>
      </c>
      <c r="AO5" s="473"/>
      <c r="AP5" s="292"/>
      <c r="AQ5" s="289"/>
      <c r="AR5" s="513">
        <f t="shared" si="9"/>
        <v>0</v>
      </c>
      <c r="AS5" s="473"/>
      <c r="AT5" s="292"/>
      <c r="AU5" s="289"/>
      <c r="AV5" s="513">
        <f t="shared" si="10"/>
        <v>0</v>
      </c>
      <c r="AW5" s="449">
        <f t="shared" si="18"/>
        <v>0</v>
      </c>
      <c r="AX5" s="449">
        <f t="shared" si="19"/>
        <v>0</v>
      </c>
      <c r="AY5" s="289"/>
      <c r="AZ5" s="451">
        <f t="shared" si="12"/>
        <v>0</v>
      </c>
    </row>
    <row r="6" spans="1:52" ht="19.95" customHeight="1">
      <c r="A6" s="478">
        <v>3</v>
      </c>
      <c r="B6" s="164" t="s">
        <v>125</v>
      </c>
      <c r="C6" s="152">
        <v>0.64</v>
      </c>
      <c r="D6" s="482" t="s">
        <v>20</v>
      </c>
      <c r="E6" s="473">
        <v>21975.359999999997</v>
      </c>
      <c r="F6" s="292">
        <v>18620.480000000003</v>
      </c>
      <c r="G6" s="289">
        <f t="shared" ref="G6:G58" si="20">F6/E6*100-100</f>
        <v>-15.266553084909617</v>
      </c>
      <c r="H6" s="513">
        <f t="shared" si="0"/>
        <v>9.0024028350552818</v>
      </c>
      <c r="I6" s="473">
        <v>492.80000000000007</v>
      </c>
      <c r="J6" s="292">
        <v>313.60000000000002</v>
      </c>
      <c r="K6" s="289">
        <f t="shared" ref="K6:K53" si="21">J6/I6*100-100</f>
        <v>-36.363636363636367</v>
      </c>
      <c r="L6" s="513">
        <f t="shared" si="1"/>
        <v>3.1114568285365043</v>
      </c>
      <c r="M6" s="473">
        <v>4.4800000000000004</v>
      </c>
      <c r="N6" s="292">
        <v>448</v>
      </c>
      <c r="O6" s="289">
        <f t="shared" ref="O6:O53" si="22">N6/M6*100-100</f>
        <v>9899.9999999999982</v>
      </c>
      <c r="P6" s="513">
        <f t="shared" si="2"/>
        <v>0.70269307119535607</v>
      </c>
      <c r="Q6" s="473">
        <v>4968.32</v>
      </c>
      <c r="R6" s="292">
        <v>5093.76</v>
      </c>
      <c r="S6" s="289">
        <f t="shared" si="13"/>
        <v>2.5247971145175825</v>
      </c>
      <c r="T6" s="513">
        <f t="shared" si="3"/>
        <v>7.3659447681396752</v>
      </c>
      <c r="U6" s="473">
        <v>9072</v>
      </c>
      <c r="V6" s="292">
        <v>8870.4000000000015</v>
      </c>
      <c r="W6" s="289">
        <f t="shared" si="14"/>
        <v>-2.2222222222222001</v>
      </c>
      <c r="X6" s="513">
        <f t="shared" si="4"/>
        <v>20.591294012776704</v>
      </c>
      <c r="Y6" s="473">
        <v>3041.92</v>
      </c>
      <c r="Z6" s="292">
        <v>2817.92</v>
      </c>
      <c r="AA6" s="289">
        <f t="shared" si="15"/>
        <v>-7.3637702503681908</v>
      </c>
      <c r="AB6" s="513">
        <f t="shared" si="5"/>
        <v>15.866559460183826</v>
      </c>
      <c r="AC6" s="473">
        <v>42201.599999999999</v>
      </c>
      <c r="AD6" s="292">
        <v>33219.200000000004</v>
      </c>
      <c r="AE6" s="289">
        <f t="shared" si="16"/>
        <v>-21.28450106157112</v>
      </c>
      <c r="AF6" s="514">
        <f t="shared" si="6"/>
        <v>43.186081110665626</v>
      </c>
      <c r="AG6" s="473">
        <v>4032</v>
      </c>
      <c r="AH6" s="292"/>
      <c r="AI6" s="289">
        <f t="shared" ref="AI6:AI45" si="23">AH6/AG6*100-100</f>
        <v>-100</v>
      </c>
      <c r="AJ6" s="513">
        <f t="shared" si="7"/>
        <v>0</v>
      </c>
      <c r="AK6" s="473">
        <v>5846.4</v>
      </c>
      <c r="AL6" s="292">
        <v>2777.6000000000004</v>
      </c>
      <c r="AM6" s="289">
        <f t="shared" si="17"/>
        <v>-52.490421455938687</v>
      </c>
      <c r="AN6" s="513">
        <f t="shared" si="8"/>
        <v>37.461225150378986</v>
      </c>
      <c r="AO6" s="473">
        <v>5469.8200000000006</v>
      </c>
      <c r="AP6" s="292">
        <v>4161.92</v>
      </c>
      <c r="AQ6" s="289">
        <f t="shared" ref="AQ6:AQ48" si="24">AP6/AO6*100-100</f>
        <v>-23.911207315780047</v>
      </c>
      <c r="AR6" s="513">
        <f t="shared" si="9"/>
        <v>36.021713842574641</v>
      </c>
      <c r="AS6" s="473">
        <v>10393.5</v>
      </c>
      <c r="AT6" s="292">
        <v>3897.6</v>
      </c>
      <c r="AU6" s="289">
        <f t="shared" ref="AU6:AU45" si="25">AT6/AS6*100-100</f>
        <v>-62.499639197575405</v>
      </c>
      <c r="AV6" s="513">
        <f t="shared" si="10"/>
        <v>47.255092143549945</v>
      </c>
      <c r="AW6" s="449">
        <f t="shared" si="18"/>
        <v>107498.19999999998</v>
      </c>
      <c r="AX6" s="449">
        <f t="shared" si="19"/>
        <v>80220.480000000025</v>
      </c>
      <c r="AY6" s="289">
        <f t="shared" si="11"/>
        <v>-25.375048140340922</v>
      </c>
      <c r="AZ6" s="451">
        <f t="shared" si="12"/>
        <v>15.494908112383811</v>
      </c>
    </row>
    <row r="7" spans="1:52" s="310" customFormat="1" ht="19.95" customHeight="1">
      <c r="A7" s="480"/>
      <c r="B7" s="313" t="s">
        <v>166</v>
      </c>
      <c r="C7" s="314"/>
      <c r="D7" s="483"/>
      <c r="E7" s="472">
        <f>SUM(E5:E6)</f>
        <v>21975.359999999997</v>
      </c>
      <c r="F7" s="312">
        <f>SUM(F5:F6)</f>
        <v>18620.480000000003</v>
      </c>
      <c r="G7" s="309">
        <f t="shared" si="20"/>
        <v>-15.266553084909617</v>
      </c>
      <c r="H7" s="513">
        <f t="shared" si="0"/>
        <v>9.0024028350552818</v>
      </c>
      <c r="I7" s="472">
        <f>SUM(I5:I6)</f>
        <v>492.80000000000007</v>
      </c>
      <c r="J7" s="312">
        <f>SUM(J5:J6)</f>
        <v>313.60000000000002</v>
      </c>
      <c r="K7" s="309">
        <f t="shared" si="21"/>
        <v>-36.363636363636367</v>
      </c>
      <c r="L7" s="513">
        <f t="shared" si="1"/>
        <v>3.1114568285365043</v>
      </c>
      <c r="M7" s="472">
        <f>SUM(M5:M6)</f>
        <v>4.4800000000000004</v>
      </c>
      <c r="N7" s="312">
        <f>SUM(N5:N6)</f>
        <v>448</v>
      </c>
      <c r="O7" s="309">
        <f t="shared" si="22"/>
        <v>9899.9999999999982</v>
      </c>
      <c r="P7" s="513">
        <f t="shared" si="2"/>
        <v>0.70269307119535607</v>
      </c>
      <c r="Q7" s="472">
        <f>SUM(Q5:Q6)</f>
        <v>4968.32</v>
      </c>
      <c r="R7" s="312">
        <f>SUM(R5:R6)</f>
        <v>5093.76</v>
      </c>
      <c r="S7" s="309">
        <f t="shared" si="13"/>
        <v>2.5247971145175825</v>
      </c>
      <c r="T7" s="513">
        <f t="shared" si="3"/>
        <v>7.3659447681396752</v>
      </c>
      <c r="U7" s="472">
        <f>SUM(U5:U6)</f>
        <v>9072</v>
      </c>
      <c r="V7" s="312">
        <f>SUM(V5:V6)</f>
        <v>8870.4000000000015</v>
      </c>
      <c r="W7" s="309">
        <f t="shared" si="14"/>
        <v>-2.2222222222222001</v>
      </c>
      <c r="X7" s="513">
        <f t="shared" si="4"/>
        <v>20.591294012776704</v>
      </c>
      <c r="Y7" s="472">
        <f>SUM(Y5:Y6)</f>
        <v>3041.92</v>
      </c>
      <c r="Z7" s="312">
        <f>SUM(Z5:Z6)</f>
        <v>2817.92</v>
      </c>
      <c r="AA7" s="309">
        <f t="shared" si="15"/>
        <v>-7.3637702503681908</v>
      </c>
      <c r="AB7" s="513">
        <f t="shared" si="5"/>
        <v>15.866559460183826</v>
      </c>
      <c r="AC7" s="472">
        <f>SUM(AC5:AC6)</f>
        <v>42201.599999999999</v>
      </c>
      <c r="AD7" s="312">
        <f>SUM(AD5:AD6)</f>
        <v>33219.200000000004</v>
      </c>
      <c r="AE7" s="309">
        <f t="shared" si="16"/>
        <v>-21.28450106157112</v>
      </c>
      <c r="AF7" s="514">
        <f t="shared" si="6"/>
        <v>43.186081110665626</v>
      </c>
      <c r="AG7" s="472">
        <f>SUM(AG5:AG6)</f>
        <v>4032</v>
      </c>
      <c r="AH7" s="312">
        <f>SUM(AH5:AH6)</f>
        <v>0</v>
      </c>
      <c r="AI7" s="309">
        <f t="shared" si="23"/>
        <v>-100</v>
      </c>
      <c r="AJ7" s="513">
        <f t="shared" si="7"/>
        <v>0</v>
      </c>
      <c r="AK7" s="472">
        <f>SUM(AK5:AK6)</f>
        <v>5846.4</v>
      </c>
      <c r="AL7" s="312">
        <f>SUM(AL5:AL6)</f>
        <v>2777.6000000000004</v>
      </c>
      <c r="AM7" s="309">
        <f t="shared" si="17"/>
        <v>-52.490421455938687</v>
      </c>
      <c r="AN7" s="513">
        <f t="shared" si="8"/>
        <v>37.461225150378986</v>
      </c>
      <c r="AO7" s="472">
        <f>SUM(AO5:AO6)</f>
        <v>5469.8200000000006</v>
      </c>
      <c r="AP7" s="312">
        <f>SUM(AP5:AP6)</f>
        <v>4161.92</v>
      </c>
      <c r="AQ7" s="309">
        <f t="shared" si="24"/>
        <v>-23.911207315780047</v>
      </c>
      <c r="AR7" s="513">
        <f t="shared" si="9"/>
        <v>36.021713842574641</v>
      </c>
      <c r="AS7" s="472">
        <f>SUM(AS5:AS6)</f>
        <v>10393.5</v>
      </c>
      <c r="AT7" s="312">
        <f>SUM(AT5:AT6)</f>
        <v>3897.6</v>
      </c>
      <c r="AU7" s="309">
        <f t="shared" si="25"/>
        <v>-62.499639197575405</v>
      </c>
      <c r="AV7" s="513">
        <f t="shared" si="10"/>
        <v>47.255092143549945</v>
      </c>
      <c r="AW7" s="449">
        <f t="shared" si="18"/>
        <v>107498.19999999998</v>
      </c>
      <c r="AX7" s="449">
        <f t="shared" si="19"/>
        <v>80220.480000000025</v>
      </c>
      <c r="AY7" s="309">
        <f t="shared" si="11"/>
        <v>-25.375048140340922</v>
      </c>
      <c r="AZ7" s="451">
        <f t="shared" si="12"/>
        <v>15.494908112383811</v>
      </c>
    </row>
    <row r="8" spans="1:52" ht="19.95" customHeight="1">
      <c r="A8" s="478">
        <v>4</v>
      </c>
      <c r="B8" s="164" t="s">
        <v>21</v>
      </c>
      <c r="C8" s="152">
        <v>1</v>
      </c>
      <c r="D8" s="482" t="s">
        <v>15</v>
      </c>
      <c r="E8" s="473">
        <v>10302</v>
      </c>
      <c r="F8" s="292">
        <v>17290</v>
      </c>
      <c r="G8" s="289">
        <f t="shared" si="20"/>
        <v>67.831489031256069</v>
      </c>
      <c r="H8" s="513">
        <f t="shared" si="0"/>
        <v>8.3591585726096103</v>
      </c>
      <c r="I8" s="473">
        <v>1146</v>
      </c>
      <c r="J8" s="292">
        <v>804</v>
      </c>
      <c r="K8" s="289">
        <f t="shared" si="21"/>
        <v>-29.842931937172779</v>
      </c>
      <c r="L8" s="513">
        <f t="shared" si="1"/>
        <v>7.9770768180591496</v>
      </c>
      <c r="M8" s="473">
        <v>1290</v>
      </c>
      <c r="N8" s="292">
        <v>4464</v>
      </c>
      <c r="O8" s="289">
        <f t="shared" si="22"/>
        <v>246.04651162790697</v>
      </c>
      <c r="P8" s="513">
        <f t="shared" si="2"/>
        <v>7.0018345308394414</v>
      </c>
      <c r="Q8" s="473">
        <v>3930</v>
      </c>
      <c r="R8" s="292">
        <v>7398</v>
      </c>
      <c r="S8" s="289">
        <f t="shared" si="13"/>
        <v>88.244274809160316</v>
      </c>
      <c r="T8" s="513">
        <f t="shared" si="3"/>
        <v>10.698042191759587</v>
      </c>
      <c r="U8" s="473">
        <v>2250</v>
      </c>
      <c r="V8" s="292">
        <v>3480</v>
      </c>
      <c r="W8" s="289">
        <f t="shared" si="14"/>
        <v>54.666666666666657</v>
      </c>
      <c r="X8" s="513">
        <f t="shared" si="4"/>
        <v>8.0782944584757068</v>
      </c>
      <c r="Y8" s="473">
        <v>180</v>
      </c>
      <c r="Z8" s="292">
        <v>1035</v>
      </c>
      <c r="AA8" s="289">
        <f t="shared" si="15"/>
        <v>475</v>
      </c>
      <c r="AB8" s="513">
        <f t="shared" si="5"/>
        <v>5.8276633265991435</v>
      </c>
      <c r="AC8" s="473">
        <v>5001</v>
      </c>
      <c r="AD8" s="292">
        <v>9708</v>
      </c>
      <c r="AE8" s="289">
        <f t="shared" si="16"/>
        <v>94.12117576484701</v>
      </c>
      <c r="AF8" s="514">
        <f t="shared" si="6"/>
        <v>12.620727634089379</v>
      </c>
      <c r="AG8" s="473">
        <v>1260</v>
      </c>
      <c r="AH8" s="292">
        <v>1800</v>
      </c>
      <c r="AI8" s="289">
        <f t="shared" si="23"/>
        <v>42.857142857142861</v>
      </c>
      <c r="AJ8" s="513">
        <f t="shared" si="7"/>
        <v>61.643835616438359</v>
      </c>
      <c r="AK8" s="473"/>
      <c r="AL8" s="292"/>
      <c r="AM8" s="289"/>
      <c r="AN8" s="513">
        <f t="shared" si="8"/>
        <v>0</v>
      </c>
      <c r="AO8" s="473">
        <v>1296</v>
      </c>
      <c r="AP8" s="292">
        <v>1050</v>
      </c>
      <c r="AQ8" s="289">
        <f t="shared" si="24"/>
        <v>-18.981481481481481</v>
      </c>
      <c r="AR8" s="513">
        <f t="shared" si="9"/>
        <v>9.0878247382706476</v>
      </c>
      <c r="AS8" s="473">
        <v>360</v>
      </c>
      <c r="AT8" s="292"/>
      <c r="AU8" s="289"/>
      <c r="AV8" s="513">
        <f t="shared" si="10"/>
        <v>0</v>
      </c>
      <c r="AW8" s="449">
        <f t="shared" si="18"/>
        <v>27015</v>
      </c>
      <c r="AX8" s="449">
        <f t="shared" si="19"/>
        <v>47029</v>
      </c>
      <c r="AY8" s="289">
        <f t="shared" si="11"/>
        <v>74.084767721636126</v>
      </c>
      <c r="AZ8" s="451">
        <f t="shared" si="12"/>
        <v>9.0838403561945533</v>
      </c>
    </row>
    <row r="9" spans="1:52" ht="19.95" customHeight="1">
      <c r="A9" s="478">
        <v>5</v>
      </c>
      <c r="B9" s="164" t="s">
        <v>22</v>
      </c>
      <c r="C9" s="152">
        <v>0.6</v>
      </c>
      <c r="D9" s="482" t="s">
        <v>15</v>
      </c>
      <c r="E9" s="473">
        <v>201.6</v>
      </c>
      <c r="F9" s="292"/>
      <c r="G9" s="289">
        <f t="shared" si="20"/>
        <v>-100</v>
      </c>
      <c r="H9" s="513">
        <f t="shared" si="0"/>
        <v>0</v>
      </c>
      <c r="I9" s="473"/>
      <c r="J9" s="292"/>
      <c r="K9" s="289"/>
      <c r="L9" s="513">
        <f t="shared" si="1"/>
        <v>0</v>
      </c>
      <c r="M9" s="473"/>
      <c r="N9" s="292"/>
      <c r="O9" s="289"/>
      <c r="P9" s="513">
        <f t="shared" si="2"/>
        <v>0</v>
      </c>
      <c r="Q9" s="473">
        <v>226.8</v>
      </c>
      <c r="R9" s="292">
        <v>64.8</v>
      </c>
      <c r="S9" s="289">
        <f t="shared" si="13"/>
        <v>-71.428571428571431</v>
      </c>
      <c r="T9" s="513">
        <f t="shared" si="3"/>
        <v>9.3705479051908791E-2</v>
      </c>
      <c r="U9" s="473"/>
      <c r="V9" s="292"/>
      <c r="W9" s="289"/>
      <c r="X9" s="513">
        <f t="shared" si="4"/>
        <v>0</v>
      </c>
      <c r="Y9" s="473"/>
      <c r="Z9" s="292"/>
      <c r="AA9" s="289"/>
      <c r="AB9" s="513">
        <f t="shared" si="5"/>
        <v>0</v>
      </c>
      <c r="AC9" s="473"/>
      <c r="AD9" s="292"/>
      <c r="AE9" s="289"/>
      <c r="AF9" s="514">
        <f t="shared" si="6"/>
        <v>0</v>
      </c>
      <c r="AG9" s="473"/>
      <c r="AH9" s="292"/>
      <c r="AI9" s="289"/>
      <c r="AJ9" s="513">
        <f t="shared" si="7"/>
        <v>0</v>
      </c>
      <c r="AK9" s="473"/>
      <c r="AL9" s="292"/>
      <c r="AM9" s="289"/>
      <c r="AN9" s="513">
        <f t="shared" si="8"/>
        <v>0</v>
      </c>
      <c r="AO9" s="473"/>
      <c r="AP9" s="292"/>
      <c r="AQ9" s="289"/>
      <c r="AR9" s="513">
        <f t="shared" si="9"/>
        <v>0</v>
      </c>
      <c r="AS9" s="473"/>
      <c r="AT9" s="292"/>
      <c r="AU9" s="289"/>
      <c r="AV9" s="513">
        <f t="shared" si="10"/>
        <v>0</v>
      </c>
      <c r="AW9" s="449">
        <f t="shared" si="18"/>
        <v>428.4</v>
      </c>
      <c r="AX9" s="449">
        <f t="shared" si="19"/>
        <v>64.8</v>
      </c>
      <c r="AY9" s="289">
        <f t="shared" si="11"/>
        <v>-84.87394957983193</v>
      </c>
      <c r="AZ9" s="451">
        <f t="shared" si="12"/>
        <v>1.2516380426575241E-2</v>
      </c>
    </row>
    <row r="10" spans="1:52" ht="19.95" customHeight="1">
      <c r="A10" s="478">
        <v>6</v>
      </c>
      <c r="B10" s="164" t="s">
        <v>23</v>
      </c>
      <c r="C10" s="152">
        <v>0.64</v>
      </c>
      <c r="D10" s="482" t="s">
        <v>20</v>
      </c>
      <c r="E10" s="473">
        <v>22753.919999999991</v>
      </c>
      <c r="F10" s="292">
        <v>18632.32</v>
      </c>
      <c r="G10" s="289">
        <f t="shared" si="20"/>
        <v>-18.113801929513656</v>
      </c>
      <c r="H10" s="513">
        <f t="shared" si="0"/>
        <v>9.0081270940199829</v>
      </c>
      <c r="I10" s="473">
        <v>478.40000000000009</v>
      </c>
      <c r="J10" s="292">
        <v>318.08000000000004</v>
      </c>
      <c r="K10" s="289">
        <f t="shared" si="21"/>
        <v>-33.511705685618736</v>
      </c>
      <c r="L10" s="513">
        <f t="shared" si="1"/>
        <v>3.1559062118013119</v>
      </c>
      <c r="M10" s="473">
        <v>963.2</v>
      </c>
      <c r="N10" s="292">
        <v>224</v>
      </c>
      <c r="O10" s="289">
        <f t="shared" si="22"/>
        <v>-76.744186046511629</v>
      </c>
      <c r="P10" s="513">
        <f t="shared" si="2"/>
        <v>0.35134653559767803</v>
      </c>
      <c r="Q10" s="473">
        <v>10581.760000000002</v>
      </c>
      <c r="R10" s="292">
        <v>7571.2000000000007</v>
      </c>
      <c r="S10" s="289">
        <f t="shared" si="13"/>
        <v>-28.450465707027945</v>
      </c>
      <c r="T10" s="513">
        <f t="shared" si="3"/>
        <v>10.948501898114381</v>
      </c>
      <c r="U10" s="473">
        <v>2620.8000000000002</v>
      </c>
      <c r="V10" s="292">
        <v>1948.8000000000002</v>
      </c>
      <c r="W10" s="289">
        <f t="shared" si="14"/>
        <v>-25.641025641025635</v>
      </c>
      <c r="X10" s="513">
        <f t="shared" si="4"/>
        <v>4.5238448967463967</v>
      </c>
      <c r="Y10" s="473">
        <v>224</v>
      </c>
      <c r="Z10" s="292"/>
      <c r="AA10" s="289">
        <f t="shared" si="15"/>
        <v>-100</v>
      </c>
      <c r="AB10" s="513">
        <f t="shared" si="5"/>
        <v>0</v>
      </c>
      <c r="AC10" s="473">
        <v>5125.1200000000008</v>
      </c>
      <c r="AD10" s="292">
        <v>6787.2000000000007</v>
      </c>
      <c r="AE10" s="289">
        <f t="shared" si="16"/>
        <v>32.430069930069919</v>
      </c>
      <c r="AF10" s="514">
        <f t="shared" si="6"/>
        <v>8.8235890603720062</v>
      </c>
      <c r="AG10" s="473">
        <v>224</v>
      </c>
      <c r="AH10" s="292">
        <v>224</v>
      </c>
      <c r="AI10" s="289">
        <f t="shared" si="23"/>
        <v>0</v>
      </c>
      <c r="AJ10" s="513">
        <f t="shared" si="7"/>
        <v>7.6712328767123292</v>
      </c>
      <c r="AK10" s="473">
        <v>380.80000000000007</v>
      </c>
      <c r="AL10" s="292">
        <v>694.40000000000009</v>
      </c>
      <c r="AM10" s="289">
        <f t="shared" si="17"/>
        <v>82.35294117647058</v>
      </c>
      <c r="AN10" s="513">
        <f t="shared" si="8"/>
        <v>9.3653062875947466</v>
      </c>
      <c r="AO10" s="473">
        <v>448</v>
      </c>
      <c r="AP10" s="292"/>
      <c r="AQ10" s="289">
        <f t="shared" si="24"/>
        <v>-100</v>
      </c>
      <c r="AR10" s="513">
        <f t="shared" si="9"/>
        <v>0</v>
      </c>
      <c r="AS10" s="473"/>
      <c r="AT10" s="292"/>
      <c r="AU10" s="289"/>
      <c r="AV10" s="513">
        <f t="shared" si="10"/>
        <v>0</v>
      </c>
      <c r="AW10" s="449">
        <f t="shared" si="18"/>
        <v>43800.000000000007</v>
      </c>
      <c r="AX10" s="449">
        <f t="shared" si="19"/>
        <v>36400.000000000007</v>
      </c>
      <c r="AY10" s="289">
        <f t="shared" si="11"/>
        <v>-16.894977168949765</v>
      </c>
      <c r="AZ10" s="451">
        <f t="shared" si="12"/>
        <v>7.0308062890021432</v>
      </c>
    </row>
    <row r="11" spans="1:52" s="310" customFormat="1" ht="19.95" customHeight="1">
      <c r="A11" s="480"/>
      <c r="B11" s="313" t="s">
        <v>167</v>
      </c>
      <c r="C11" s="314"/>
      <c r="D11" s="483"/>
      <c r="E11" s="472">
        <f>SUM(E8:E10)</f>
        <v>33257.51999999999</v>
      </c>
      <c r="F11" s="312">
        <f>SUM(F8:F10)</f>
        <v>35922.32</v>
      </c>
      <c r="G11" s="309">
        <f t="shared" si="20"/>
        <v>8.0126239118250879</v>
      </c>
      <c r="H11" s="513">
        <f t="shared" si="0"/>
        <v>17.367285666629595</v>
      </c>
      <c r="I11" s="472">
        <f>SUM(I8:I10)</f>
        <v>1624.4</v>
      </c>
      <c r="J11" s="312">
        <f>SUM(J8:J10)</f>
        <v>1122.08</v>
      </c>
      <c r="K11" s="309">
        <f t="shared" si="21"/>
        <v>-30.923417877370113</v>
      </c>
      <c r="L11" s="596">
        <f t="shared" si="1"/>
        <v>11.13298302986046</v>
      </c>
      <c r="M11" s="472">
        <f>SUM(M8:M10)</f>
        <v>2253.1999999999998</v>
      </c>
      <c r="N11" s="312">
        <f>SUM(N8:N10)</f>
        <v>4688</v>
      </c>
      <c r="O11" s="309">
        <f t="shared" si="22"/>
        <v>108.05964849991128</v>
      </c>
      <c r="P11" s="513">
        <f t="shared" si="2"/>
        <v>7.3531810664371191</v>
      </c>
      <c r="Q11" s="472">
        <f>SUM(Q8:Q10)</f>
        <v>14738.560000000001</v>
      </c>
      <c r="R11" s="312">
        <f>SUM(R8:R10)</f>
        <v>15034</v>
      </c>
      <c r="S11" s="309">
        <f t="shared" si="13"/>
        <v>2.0045377567414988</v>
      </c>
      <c r="T11" s="513">
        <f t="shared" si="3"/>
        <v>21.740249568925876</v>
      </c>
      <c r="U11" s="472">
        <f>SUM(U8:U10)</f>
        <v>4870.8</v>
      </c>
      <c r="V11" s="312">
        <f>SUM(V8:V10)</f>
        <v>5428.8</v>
      </c>
      <c r="W11" s="309">
        <f t="shared" si="14"/>
        <v>11.4560236511456</v>
      </c>
      <c r="X11" s="513">
        <f t="shared" si="4"/>
        <v>12.602139355222103</v>
      </c>
      <c r="Y11" s="472">
        <f>SUM(Y8:Y10)</f>
        <v>404</v>
      </c>
      <c r="Z11" s="312">
        <f>SUM(Z8:Z10)</f>
        <v>1035</v>
      </c>
      <c r="AA11" s="309">
        <f t="shared" si="15"/>
        <v>156.18811881188117</v>
      </c>
      <c r="AB11" s="513">
        <f t="shared" si="5"/>
        <v>5.8276633265991435</v>
      </c>
      <c r="AC11" s="472">
        <f>SUM(AC8:AC10)</f>
        <v>10126.120000000001</v>
      </c>
      <c r="AD11" s="312">
        <f>SUM(AD8:AD10)</f>
        <v>16495.2</v>
      </c>
      <c r="AE11" s="309">
        <f t="shared" si="16"/>
        <v>62.897536272530829</v>
      </c>
      <c r="AF11" s="514">
        <f t="shared" si="6"/>
        <v>21.444316694461385</v>
      </c>
      <c r="AG11" s="472">
        <f>SUM(AG8:AG10)</f>
        <v>1484</v>
      </c>
      <c r="AH11" s="312">
        <f>SUM(AH8:AH10)</f>
        <v>2024</v>
      </c>
      <c r="AI11" s="309">
        <f t="shared" si="23"/>
        <v>36.388140161725062</v>
      </c>
      <c r="AJ11" s="513">
        <f t="shared" si="7"/>
        <v>69.31506849315069</v>
      </c>
      <c r="AK11" s="472">
        <f>SUM(AK8:AK10)</f>
        <v>380.80000000000007</v>
      </c>
      <c r="AL11" s="312">
        <f>SUM(AL8:AL10)</f>
        <v>694.40000000000009</v>
      </c>
      <c r="AM11" s="309">
        <f t="shared" si="17"/>
        <v>82.35294117647058</v>
      </c>
      <c r="AN11" s="513">
        <f t="shared" si="8"/>
        <v>9.3653062875947466</v>
      </c>
      <c r="AO11" s="472">
        <f>SUM(AO8:AO10)</f>
        <v>1744</v>
      </c>
      <c r="AP11" s="312">
        <f>SUM(AP8:AP10)</f>
        <v>1050</v>
      </c>
      <c r="AQ11" s="309">
        <f t="shared" si="24"/>
        <v>-39.793577981651374</v>
      </c>
      <c r="AR11" s="513">
        <f t="shared" si="9"/>
        <v>9.0878247382706476</v>
      </c>
      <c r="AS11" s="472">
        <f>SUM(AS8:AS10)</f>
        <v>360</v>
      </c>
      <c r="AT11" s="312">
        <f>SUM(AT8:AT10)</f>
        <v>0</v>
      </c>
      <c r="AU11" s="309">
        <f t="shared" si="25"/>
        <v>-100</v>
      </c>
      <c r="AV11" s="513">
        <f t="shared" si="10"/>
        <v>0</v>
      </c>
      <c r="AW11" s="449">
        <f t="shared" si="18"/>
        <v>71243.399999999994</v>
      </c>
      <c r="AX11" s="449">
        <f t="shared" si="19"/>
        <v>83493.8</v>
      </c>
      <c r="AY11" s="309">
        <f t="shared" si="11"/>
        <v>17.195136672309317</v>
      </c>
      <c r="AZ11" s="451">
        <f t="shared" si="12"/>
        <v>16.127163025623272</v>
      </c>
    </row>
    <row r="12" spans="1:52" ht="19.95" customHeight="1">
      <c r="A12" s="478">
        <v>7</v>
      </c>
      <c r="B12" s="164" t="s">
        <v>24</v>
      </c>
      <c r="C12" s="152">
        <v>1</v>
      </c>
      <c r="D12" s="482" t="s">
        <v>15</v>
      </c>
      <c r="E12" s="473"/>
      <c r="F12" s="292"/>
      <c r="G12" s="289"/>
      <c r="H12" s="513">
        <f t="shared" si="0"/>
        <v>0</v>
      </c>
      <c r="I12" s="473"/>
      <c r="J12" s="292"/>
      <c r="K12" s="289"/>
      <c r="L12" s="513">
        <f t="shared" si="1"/>
        <v>0</v>
      </c>
      <c r="M12" s="473">
        <v>0</v>
      </c>
      <c r="N12" s="292">
        <v>18</v>
      </c>
      <c r="O12" s="289"/>
      <c r="P12" s="513">
        <f t="shared" si="2"/>
        <v>2.8233203753384842E-2</v>
      </c>
      <c r="Q12" s="473">
        <v>0</v>
      </c>
      <c r="R12" s="292">
        <v>60</v>
      </c>
      <c r="S12" s="289"/>
      <c r="T12" s="513">
        <f t="shared" si="3"/>
        <v>8.6764332455471105E-2</v>
      </c>
      <c r="U12" s="473"/>
      <c r="V12" s="292"/>
      <c r="W12" s="289"/>
      <c r="X12" s="513">
        <f t="shared" si="4"/>
        <v>0</v>
      </c>
      <c r="Y12" s="473">
        <v>0</v>
      </c>
      <c r="Z12" s="292">
        <v>666</v>
      </c>
      <c r="AA12" s="289"/>
      <c r="AB12" s="513">
        <f t="shared" si="5"/>
        <v>3.7499746623333619</v>
      </c>
      <c r="AC12" s="473">
        <v>0</v>
      </c>
      <c r="AD12" s="292">
        <v>450</v>
      </c>
      <c r="AE12" s="289"/>
      <c r="AF12" s="514">
        <f t="shared" si="6"/>
        <v>0.58501518699425425</v>
      </c>
      <c r="AG12" s="473"/>
      <c r="AH12" s="292"/>
      <c r="AI12" s="289"/>
      <c r="AJ12" s="513">
        <f t="shared" si="7"/>
        <v>0</v>
      </c>
      <c r="AK12" s="473"/>
      <c r="AL12" s="292"/>
      <c r="AM12" s="289"/>
      <c r="AN12" s="513">
        <f t="shared" si="8"/>
        <v>0</v>
      </c>
      <c r="AO12" s="473"/>
      <c r="AP12" s="292"/>
      <c r="AQ12" s="289"/>
      <c r="AR12" s="513">
        <f t="shared" si="9"/>
        <v>0</v>
      </c>
      <c r="AS12" s="473"/>
      <c r="AT12" s="292"/>
      <c r="AU12" s="289"/>
      <c r="AV12" s="513">
        <f t="shared" si="10"/>
        <v>0</v>
      </c>
      <c r="AW12" s="449">
        <f t="shared" si="18"/>
        <v>0</v>
      </c>
      <c r="AX12" s="449">
        <f t="shared" si="19"/>
        <v>1194</v>
      </c>
      <c r="AY12" s="289"/>
      <c r="AZ12" s="451">
        <f t="shared" si="12"/>
        <v>0.23062589860078453</v>
      </c>
    </row>
    <row r="13" spans="1:52" ht="19.95" customHeight="1">
      <c r="A13" s="478">
        <v>8</v>
      </c>
      <c r="B13" s="164" t="s">
        <v>25</v>
      </c>
      <c r="C13" s="152">
        <v>0.64</v>
      </c>
      <c r="D13" s="482" t="s">
        <v>20</v>
      </c>
      <c r="E13" s="473">
        <v>9939.5200000000041</v>
      </c>
      <c r="F13" s="292">
        <v>8369.92</v>
      </c>
      <c r="G13" s="289">
        <f t="shared" si="20"/>
        <v>-15.791507034544964</v>
      </c>
      <c r="H13" s="513">
        <f t="shared" si="0"/>
        <v>4.046586958939077</v>
      </c>
      <c r="I13" s="473">
        <v>784</v>
      </c>
      <c r="J13" s="292">
        <v>555.52</v>
      </c>
      <c r="K13" s="289">
        <f t="shared" si="21"/>
        <v>-29.142857142857153</v>
      </c>
      <c r="L13" s="513">
        <f t="shared" si="1"/>
        <v>5.5117235248360927</v>
      </c>
      <c r="M13" s="473">
        <v>5510.3999999999978</v>
      </c>
      <c r="N13" s="292">
        <v>228.48000000000002</v>
      </c>
      <c r="O13" s="289">
        <f t="shared" si="22"/>
        <v>-95.853658536585357</v>
      </c>
      <c r="P13" s="513">
        <f t="shared" si="2"/>
        <v>0.35837346630963163</v>
      </c>
      <c r="Q13" s="473">
        <v>268.80000000000007</v>
      </c>
      <c r="R13" s="292">
        <v>282.24</v>
      </c>
      <c r="S13" s="289">
        <f t="shared" si="13"/>
        <v>4.9999999999999858</v>
      </c>
      <c r="T13" s="513">
        <f t="shared" si="3"/>
        <v>0.40813941987053609</v>
      </c>
      <c r="U13" s="473">
        <v>1935.3600000000001</v>
      </c>
      <c r="V13" s="292">
        <v>1075.2</v>
      </c>
      <c r="W13" s="289">
        <f t="shared" si="14"/>
        <v>-44.444444444444443</v>
      </c>
      <c r="X13" s="513">
        <f t="shared" si="4"/>
        <v>2.4959144257911152</v>
      </c>
      <c r="Y13" s="473">
        <v>2997.12</v>
      </c>
      <c r="Z13" s="292">
        <v>927.36</v>
      </c>
      <c r="AA13" s="289">
        <f t="shared" si="15"/>
        <v>-69.058295964125563</v>
      </c>
      <c r="AB13" s="513">
        <f t="shared" si="5"/>
        <v>5.2215863406328324</v>
      </c>
      <c r="AC13" s="473">
        <v>14331.519999999997</v>
      </c>
      <c r="AD13" s="292">
        <v>12987.52</v>
      </c>
      <c r="AE13" s="289">
        <f t="shared" si="16"/>
        <v>-9.3779306033135157</v>
      </c>
      <c r="AF13" s="514">
        <f t="shared" si="6"/>
        <v>16.884214314203593</v>
      </c>
      <c r="AG13" s="473">
        <v>672</v>
      </c>
      <c r="AH13" s="292">
        <v>448</v>
      </c>
      <c r="AI13" s="289">
        <f t="shared" si="23"/>
        <v>-33.333333333333343</v>
      </c>
      <c r="AJ13" s="513">
        <f t="shared" si="7"/>
        <v>15.342465753424658</v>
      </c>
      <c r="AK13" s="473"/>
      <c r="AL13" s="292"/>
      <c r="AM13" s="289"/>
      <c r="AN13" s="513">
        <f t="shared" si="8"/>
        <v>0</v>
      </c>
      <c r="AO13" s="473">
        <v>297.84000000000003</v>
      </c>
      <c r="AP13" s="292"/>
      <c r="AQ13" s="289">
        <f t="shared" si="24"/>
        <v>-100</v>
      </c>
      <c r="AR13" s="513">
        <f t="shared" si="9"/>
        <v>0</v>
      </c>
      <c r="AS13" s="473"/>
      <c r="AT13" s="292"/>
      <c r="AU13" s="289"/>
      <c r="AV13" s="513">
        <f t="shared" si="10"/>
        <v>0</v>
      </c>
      <c r="AW13" s="449">
        <f t="shared" si="18"/>
        <v>36736.559999999998</v>
      </c>
      <c r="AX13" s="449">
        <f t="shared" si="19"/>
        <v>24874.240000000002</v>
      </c>
      <c r="AY13" s="289">
        <f t="shared" si="11"/>
        <v>-32.290230767388124</v>
      </c>
      <c r="AZ13" s="451">
        <f t="shared" si="12"/>
        <v>4.8045594237952924</v>
      </c>
    </row>
    <row r="14" spans="1:52" s="310" customFormat="1" ht="19.95" customHeight="1">
      <c r="A14" s="480"/>
      <c r="B14" s="313" t="s">
        <v>25</v>
      </c>
      <c r="C14" s="314"/>
      <c r="D14" s="483"/>
      <c r="E14" s="472">
        <f>SUM(E12:E13)</f>
        <v>9939.5200000000041</v>
      </c>
      <c r="F14" s="312">
        <f>SUM(F12:F13)</f>
        <v>8369.92</v>
      </c>
      <c r="G14" s="309">
        <f t="shared" si="20"/>
        <v>-15.791507034544964</v>
      </c>
      <c r="H14" s="513">
        <f t="shared" si="0"/>
        <v>4.046586958939077</v>
      </c>
      <c r="I14" s="472">
        <f>SUM(I12:I13)</f>
        <v>784</v>
      </c>
      <c r="J14" s="312">
        <f>SUM(J12:J13)</f>
        <v>555.52</v>
      </c>
      <c r="K14" s="309">
        <f t="shared" si="21"/>
        <v>-29.142857142857153</v>
      </c>
      <c r="L14" s="513">
        <f t="shared" si="1"/>
        <v>5.5117235248360927</v>
      </c>
      <c r="M14" s="472">
        <f>SUM(M12:M13)</f>
        <v>5510.3999999999978</v>
      </c>
      <c r="N14" s="312">
        <f>SUM(N12:N13)</f>
        <v>246.48000000000002</v>
      </c>
      <c r="O14" s="309">
        <f t="shared" si="22"/>
        <v>-95.527003484320559</v>
      </c>
      <c r="P14" s="513">
        <f t="shared" si="2"/>
        <v>0.38660667006301647</v>
      </c>
      <c r="Q14" s="472">
        <f>SUM(Q12:Q13)</f>
        <v>268.80000000000007</v>
      </c>
      <c r="R14" s="312">
        <f>SUM(R12:R13)</f>
        <v>342.24</v>
      </c>
      <c r="S14" s="309">
        <f t="shared" si="13"/>
        <v>27.321428571428541</v>
      </c>
      <c r="T14" s="513">
        <f t="shared" si="3"/>
        <v>0.4949037523260072</v>
      </c>
      <c r="U14" s="472">
        <f>SUM(U12:U13)</f>
        <v>1935.3600000000001</v>
      </c>
      <c r="V14" s="312">
        <f>SUM(V12:V13)</f>
        <v>1075.2</v>
      </c>
      <c r="W14" s="309">
        <f t="shared" si="14"/>
        <v>-44.444444444444443</v>
      </c>
      <c r="X14" s="513">
        <f t="shared" si="4"/>
        <v>2.4959144257911152</v>
      </c>
      <c r="Y14" s="472">
        <f>SUM(Y12:Y13)</f>
        <v>2997.12</v>
      </c>
      <c r="Z14" s="312">
        <f>SUM(Z12:Z13)</f>
        <v>1593.3600000000001</v>
      </c>
      <c r="AA14" s="309">
        <f t="shared" si="15"/>
        <v>-46.836963484945535</v>
      </c>
      <c r="AB14" s="513">
        <f t="shared" si="5"/>
        <v>8.9715610029661956</v>
      </c>
      <c r="AC14" s="472">
        <f>SUM(AC12:AC13)</f>
        <v>14331.519999999997</v>
      </c>
      <c r="AD14" s="312">
        <f>SUM(AD12:AD13)</f>
        <v>13437.52</v>
      </c>
      <c r="AE14" s="309">
        <f t="shared" si="16"/>
        <v>-6.237998481668356</v>
      </c>
      <c r="AF14" s="514">
        <f t="shared" si="6"/>
        <v>17.469229501197848</v>
      </c>
      <c r="AG14" s="472">
        <f>SUM(AG12:AG13)</f>
        <v>672</v>
      </c>
      <c r="AH14" s="312">
        <f>SUM(AH12:AH13)</f>
        <v>448</v>
      </c>
      <c r="AI14" s="309">
        <f t="shared" si="23"/>
        <v>-33.333333333333343</v>
      </c>
      <c r="AJ14" s="513">
        <f t="shared" si="7"/>
        <v>15.342465753424658</v>
      </c>
      <c r="AK14" s="472">
        <f>SUM(AK12:AK13)</f>
        <v>0</v>
      </c>
      <c r="AL14" s="312">
        <f>SUM(AL12:AL13)</f>
        <v>0</v>
      </c>
      <c r="AM14" s="309"/>
      <c r="AN14" s="513">
        <f t="shared" si="8"/>
        <v>0</v>
      </c>
      <c r="AO14" s="472">
        <f>SUM(AO12:AO13)</f>
        <v>297.84000000000003</v>
      </c>
      <c r="AP14" s="312">
        <f>SUM(AP12:AP13)</f>
        <v>0</v>
      </c>
      <c r="AQ14" s="309">
        <f t="shared" si="24"/>
        <v>-100</v>
      </c>
      <c r="AR14" s="513">
        <f t="shared" si="9"/>
        <v>0</v>
      </c>
      <c r="AS14" s="472">
        <f>SUM(AS12:AS13)</f>
        <v>0</v>
      </c>
      <c r="AT14" s="312">
        <f>SUM(AT12:AT13)</f>
        <v>0</v>
      </c>
      <c r="AU14" s="309"/>
      <c r="AV14" s="513">
        <f t="shared" si="10"/>
        <v>0</v>
      </c>
      <c r="AW14" s="449">
        <f t="shared" si="18"/>
        <v>36736.559999999998</v>
      </c>
      <c r="AX14" s="449">
        <f t="shared" si="19"/>
        <v>26068.240000000002</v>
      </c>
      <c r="AY14" s="309">
        <f t="shared" si="11"/>
        <v>-29.040062542600609</v>
      </c>
      <c r="AZ14" s="451">
        <f t="shared" si="12"/>
        <v>5.0351853223960772</v>
      </c>
    </row>
    <row r="15" spans="1:52" ht="19.95" customHeight="1">
      <c r="A15" s="478">
        <v>9</v>
      </c>
      <c r="B15" s="164" t="s">
        <v>26</v>
      </c>
      <c r="C15" s="152">
        <v>1</v>
      </c>
      <c r="D15" s="482" t="s">
        <v>15</v>
      </c>
      <c r="E15" s="473"/>
      <c r="F15" s="292"/>
      <c r="G15" s="289"/>
      <c r="H15" s="513">
        <f t="shared" si="0"/>
        <v>0</v>
      </c>
      <c r="I15" s="473"/>
      <c r="J15" s="292"/>
      <c r="K15" s="289"/>
      <c r="L15" s="513">
        <f t="shared" si="1"/>
        <v>0</v>
      </c>
      <c r="M15" s="473"/>
      <c r="N15" s="292"/>
      <c r="O15" s="289"/>
      <c r="P15" s="513">
        <f t="shared" si="2"/>
        <v>0</v>
      </c>
      <c r="Q15" s="473"/>
      <c r="R15" s="292"/>
      <c r="S15" s="289"/>
      <c r="T15" s="513">
        <f t="shared" si="3"/>
        <v>0</v>
      </c>
      <c r="U15" s="473"/>
      <c r="V15" s="292"/>
      <c r="W15" s="289"/>
      <c r="X15" s="513">
        <f t="shared" si="4"/>
        <v>0</v>
      </c>
      <c r="Y15" s="473"/>
      <c r="Z15" s="292"/>
      <c r="AA15" s="289"/>
      <c r="AB15" s="513">
        <f t="shared" si="5"/>
        <v>0</v>
      </c>
      <c r="AC15" s="473"/>
      <c r="AD15" s="292"/>
      <c r="AE15" s="289"/>
      <c r="AF15" s="514">
        <f t="shared" si="6"/>
        <v>0</v>
      </c>
      <c r="AG15" s="473"/>
      <c r="AH15" s="292"/>
      <c r="AI15" s="289"/>
      <c r="AJ15" s="513">
        <f t="shared" si="7"/>
        <v>0</v>
      </c>
      <c r="AK15" s="473"/>
      <c r="AL15" s="292"/>
      <c r="AM15" s="289"/>
      <c r="AN15" s="513">
        <f t="shared" si="8"/>
        <v>0</v>
      </c>
      <c r="AO15" s="473"/>
      <c r="AP15" s="292"/>
      <c r="AQ15" s="289"/>
      <c r="AR15" s="513">
        <f t="shared" si="9"/>
        <v>0</v>
      </c>
      <c r="AS15" s="473"/>
      <c r="AT15" s="292"/>
      <c r="AU15" s="289"/>
      <c r="AV15" s="513">
        <f t="shared" si="10"/>
        <v>0</v>
      </c>
      <c r="AW15" s="449">
        <f t="shared" si="18"/>
        <v>0</v>
      </c>
      <c r="AX15" s="449">
        <f t="shared" si="19"/>
        <v>0</v>
      </c>
      <c r="AY15" s="289"/>
      <c r="AZ15" s="451">
        <f t="shared" si="12"/>
        <v>0</v>
      </c>
    </row>
    <row r="16" spans="1:52" ht="19.95" customHeight="1">
      <c r="A16" s="478">
        <v>10</v>
      </c>
      <c r="B16" s="164" t="s">
        <v>27</v>
      </c>
      <c r="C16" s="152">
        <v>0.7</v>
      </c>
      <c r="D16" s="482" t="s">
        <v>15</v>
      </c>
      <c r="E16" s="473">
        <v>399</v>
      </c>
      <c r="F16" s="292">
        <v>231</v>
      </c>
      <c r="G16" s="289">
        <f t="shared" si="20"/>
        <v>-42.105263157894733</v>
      </c>
      <c r="H16" s="513">
        <f t="shared" si="0"/>
        <v>0.111681065949845</v>
      </c>
      <c r="I16" s="473">
        <v>294</v>
      </c>
      <c r="J16" s="292"/>
      <c r="K16" s="289">
        <f t="shared" si="21"/>
        <v>-100</v>
      </c>
      <c r="L16" s="513">
        <f t="shared" si="1"/>
        <v>0</v>
      </c>
      <c r="M16" s="473">
        <v>2016</v>
      </c>
      <c r="N16" s="292">
        <v>1470</v>
      </c>
      <c r="O16" s="289">
        <f t="shared" si="22"/>
        <v>-27.083333333333343</v>
      </c>
      <c r="P16" s="513">
        <f t="shared" si="2"/>
        <v>2.3057116398597621</v>
      </c>
      <c r="Q16" s="473">
        <v>0</v>
      </c>
      <c r="R16" s="292">
        <v>21</v>
      </c>
      <c r="S16" s="289"/>
      <c r="T16" s="513">
        <f t="shared" si="3"/>
        <v>3.0367516359414887E-2</v>
      </c>
      <c r="U16" s="473">
        <v>16.799999999999997</v>
      </c>
      <c r="V16" s="292">
        <v>8.3999999999999986</v>
      </c>
      <c r="W16" s="289">
        <f t="shared" si="14"/>
        <v>-50</v>
      </c>
      <c r="X16" s="513">
        <f t="shared" si="4"/>
        <v>1.9499331451493084E-2</v>
      </c>
      <c r="Y16" s="473">
        <v>4.1999999999999993</v>
      </c>
      <c r="Z16" s="292"/>
      <c r="AA16" s="289">
        <f t="shared" si="15"/>
        <v>-100</v>
      </c>
      <c r="AB16" s="513">
        <f t="shared" si="5"/>
        <v>0</v>
      </c>
      <c r="AC16" s="473">
        <v>336</v>
      </c>
      <c r="AD16" s="292">
        <v>441</v>
      </c>
      <c r="AE16" s="289">
        <f t="shared" si="16"/>
        <v>31.25</v>
      </c>
      <c r="AF16" s="514">
        <f t="shared" si="6"/>
        <v>0.57331488325436919</v>
      </c>
      <c r="AG16" s="473"/>
      <c r="AH16" s="292"/>
      <c r="AI16" s="289"/>
      <c r="AJ16" s="513">
        <f t="shared" si="7"/>
        <v>0</v>
      </c>
      <c r="AK16" s="473"/>
      <c r="AL16" s="292"/>
      <c r="AM16" s="289"/>
      <c r="AN16" s="513">
        <f t="shared" si="8"/>
        <v>0</v>
      </c>
      <c r="AO16" s="473"/>
      <c r="AP16" s="292"/>
      <c r="AQ16" s="289"/>
      <c r="AR16" s="513">
        <f t="shared" si="9"/>
        <v>0</v>
      </c>
      <c r="AS16" s="473"/>
      <c r="AT16" s="292"/>
      <c r="AU16" s="289"/>
      <c r="AV16" s="513">
        <f t="shared" si="10"/>
        <v>0</v>
      </c>
      <c r="AW16" s="449">
        <f t="shared" si="18"/>
        <v>3066</v>
      </c>
      <c r="AX16" s="449">
        <f t="shared" si="19"/>
        <v>2171.4</v>
      </c>
      <c r="AY16" s="289">
        <f t="shared" si="11"/>
        <v>-29.178082191780817</v>
      </c>
      <c r="AZ16" s="451">
        <f t="shared" si="12"/>
        <v>0.41941463670162776</v>
      </c>
    </row>
    <row r="17" spans="1:52" ht="19.95" customHeight="1">
      <c r="A17" s="478">
        <v>11</v>
      </c>
      <c r="B17" s="164" t="s">
        <v>28</v>
      </c>
      <c r="C17" s="152">
        <v>0.68</v>
      </c>
      <c r="D17" s="482" t="s">
        <v>15</v>
      </c>
      <c r="E17" s="473">
        <v>4.08</v>
      </c>
      <c r="F17" s="292"/>
      <c r="G17" s="289">
        <f t="shared" si="20"/>
        <v>-100</v>
      </c>
      <c r="H17" s="513">
        <f t="shared" si="0"/>
        <v>0</v>
      </c>
      <c r="I17" s="473"/>
      <c r="J17" s="292"/>
      <c r="K17" s="289"/>
      <c r="L17" s="513">
        <f t="shared" si="1"/>
        <v>0</v>
      </c>
      <c r="M17" s="473"/>
      <c r="N17" s="292"/>
      <c r="O17" s="289"/>
      <c r="P17" s="513">
        <f t="shared" si="2"/>
        <v>0</v>
      </c>
      <c r="Q17" s="473">
        <v>0</v>
      </c>
      <c r="R17" s="292">
        <v>32.64</v>
      </c>
      <c r="S17" s="289"/>
      <c r="T17" s="513">
        <f t="shared" si="3"/>
        <v>4.7199796855776285E-2</v>
      </c>
      <c r="U17" s="473"/>
      <c r="V17" s="292"/>
      <c r="W17" s="289"/>
      <c r="X17" s="513">
        <f t="shared" si="4"/>
        <v>0</v>
      </c>
      <c r="Y17" s="473"/>
      <c r="Z17" s="292"/>
      <c r="AA17" s="289"/>
      <c r="AB17" s="513">
        <f t="shared" si="5"/>
        <v>0</v>
      </c>
      <c r="AC17" s="473">
        <v>236.64000000000001</v>
      </c>
      <c r="AD17" s="292"/>
      <c r="AE17" s="289">
        <f t="shared" si="16"/>
        <v>-100</v>
      </c>
      <c r="AF17" s="514">
        <f t="shared" si="6"/>
        <v>0</v>
      </c>
      <c r="AG17" s="473"/>
      <c r="AH17" s="292"/>
      <c r="AI17" s="289"/>
      <c r="AJ17" s="513">
        <f t="shared" si="7"/>
        <v>0</v>
      </c>
      <c r="AK17" s="473"/>
      <c r="AL17" s="292"/>
      <c r="AM17" s="289"/>
      <c r="AN17" s="513">
        <f t="shared" si="8"/>
        <v>0</v>
      </c>
      <c r="AO17" s="473">
        <v>4</v>
      </c>
      <c r="AP17" s="292"/>
      <c r="AQ17" s="289">
        <f t="shared" si="24"/>
        <v>-100</v>
      </c>
      <c r="AR17" s="513">
        <f t="shared" si="9"/>
        <v>0</v>
      </c>
      <c r="AS17" s="473"/>
      <c r="AT17" s="292"/>
      <c r="AU17" s="289"/>
      <c r="AV17" s="513">
        <f t="shared" si="10"/>
        <v>0</v>
      </c>
      <c r="AW17" s="449">
        <f t="shared" si="18"/>
        <v>244.72000000000003</v>
      </c>
      <c r="AX17" s="449">
        <f t="shared" si="19"/>
        <v>32.64</v>
      </c>
      <c r="AY17" s="289">
        <f t="shared" si="11"/>
        <v>-86.662307943772475</v>
      </c>
      <c r="AZ17" s="451">
        <f t="shared" si="12"/>
        <v>6.3045471778304923E-3</v>
      </c>
    </row>
    <row r="18" spans="1:52" ht="19.95" customHeight="1">
      <c r="A18" s="478">
        <v>12</v>
      </c>
      <c r="B18" s="164" t="s">
        <v>27</v>
      </c>
      <c r="C18" s="152">
        <v>0.64</v>
      </c>
      <c r="D18" s="482" t="s">
        <v>20</v>
      </c>
      <c r="E18" s="473">
        <v>10000.320000000002</v>
      </c>
      <c r="F18" s="292">
        <v>9555.84</v>
      </c>
      <c r="G18" s="289">
        <f t="shared" si="20"/>
        <v>-4.4446577709513377</v>
      </c>
      <c r="H18" s="513">
        <f t="shared" si="0"/>
        <v>4.6199411136197703</v>
      </c>
      <c r="I18" s="473">
        <v>2244.4800000000005</v>
      </c>
      <c r="J18" s="292">
        <v>1644.16</v>
      </c>
      <c r="K18" s="289">
        <f t="shared" si="21"/>
        <v>-26.746506986027953</v>
      </c>
      <c r="L18" s="513">
        <f t="shared" si="1"/>
        <v>16.312923658184243</v>
      </c>
      <c r="M18" s="473">
        <v>10648.960000000001</v>
      </c>
      <c r="N18" s="292">
        <v>10796.8</v>
      </c>
      <c r="O18" s="289">
        <f t="shared" si="22"/>
        <v>1.3883045856121043</v>
      </c>
      <c r="P18" s="513">
        <f t="shared" si="2"/>
        <v>16.934903015808082</v>
      </c>
      <c r="Q18" s="473"/>
      <c r="R18" s="292"/>
      <c r="S18" s="289"/>
      <c r="T18" s="513">
        <f t="shared" si="3"/>
        <v>0</v>
      </c>
      <c r="U18" s="473">
        <v>2401.2800000000002</v>
      </c>
      <c r="V18" s="292">
        <v>3046.4</v>
      </c>
      <c r="W18" s="289">
        <f t="shared" si="14"/>
        <v>26.865671641791039</v>
      </c>
      <c r="X18" s="513">
        <f t="shared" si="4"/>
        <v>7.0717575397414931</v>
      </c>
      <c r="Y18" s="473"/>
      <c r="Z18" s="292"/>
      <c r="AA18" s="289"/>
      <c r="AB18" s="513">
        <f t="shared" si="5"/>
        <v>0</v>
      </c>
      <c r="AC18" s="473"/>
      <c r="AD18" s="292"/>
      <c r="AE18" s="289"/>
      <c r="AF18" s="514">
        <f t="shared" si="6"/>
        <v>0</v>
      </c>
      <c r="AG18" s="473">
        <v>5152</v>
      </c>
      <c r="AH18" s="292"/>
      <c r="AI18" s="289">
        <f t="shared" si="23"/>
        <v>-100</v>
      </c>
      <c r="AJ18" s="513">
        <f t="shared" si="7"/>
        <v>0</v>
      </c>
      <c r="AK18" s="473"/>
      <c r="AL18" s="292"/>
      <c r="AM18" s="289"/>
      <c r="AN18" s="513">
        <f t="shared" si="8"/>
        <v>0</v>
      </c>
      <c r="AO18" s="473"/>
      <c r="AP18" s="292"/>
      <c r="AQ18" s="289"/>
      <c r="AR18" s="513">
        <f t="shared" si="9"/>
        <v>0</v>
      </c>
      <c r="AS18" s="473">
        <v>2607.36</v>
      </c>
      <c r="AT18" s="292">
        <v>2240</v>
      </c>
      <c r="AU18" s="289">
        <f t="shared" si="25"/>
        <v>-14.089347079037807</v>
      </c>
      <c r="AV18" s="513">
        <f t="shared" si="10"/>
        <v>27.158098933074683</v>
      </c>
      <c r="AW18" s="449">
        <f t="shared" si="18"/>
        <v>33054.400000000001</v>
      </c>
      <c r="AX18" s="449">
        <f t="shared" si="19"/>
        <v>27283.200000000001</v>
      </c>
      <c r="AY18" s="289">
        <f t="shared" si="11"/>
        <v>-17.459702792971584</v>
      </c>
      <c r="AZ18" s="451">
        <f t="shared" si="12"/>
        <v>5.2698597292336053</v>
      </c>
    </row>
    <row r="19" spans="1:52" ht="19.95" customHeight="1">
      <c r="A19" s="478">
        <v>13</v>
      </c>
      <c r="B19" s="164" t="s">
        <v>29</v>
      </c>
      <c r="C19" s="152">
        <v>0.64</v>
      </c>
      <c r="D19" s="482" t="s">
        <v>20</v>
      </c>
      <c r="E19" s="473"/>
      <c r="F19" s="292"/>
      <c r="G19" s="289"/>
      <c r="H19" s="513">
        <f t="shared" si="0"/>
        <v>0</v>
      </c>
      <c r="I19" s="473"/>
      <c r="J19" s="292"/>
      <c r="K19" s="289"/>
      <c r="L19" s="513">
        <f t="shared" si="1"/>
        <v>0</v>
      </c>
      <c r="M19" s="473"/>
      <c r="N19" s="292"/>
      <c r="O19" s="289"/>
      <c r="P19" s="513">
        <f t="shared" si="2"/>
        <v>0</v>
      </c>
      <c r="Q19" s="473">
        <v>604.79999999999995</v>
      </c>
      <c r="R19" s="292">
        <v>842.24</v>
      </c>
      <c r="S19" s="289">
        <f t="shared" si="13"/>
        <v>39.259259259259267</v>
      </c>
      <c r="T19" s="513">
        <f t="shared" si="3"/>
        <v>1.2179398561215997</v>
      </c>
      <c r="U19" s="473"/>
      <c r="V19" s="292"/>
      <c r="W19" s="289"/>
      <c r="X19" s="513">
        <f t="shared" si="4"/>
        <v>0</v>
      </c>
      <c r="Y19" s="473"/>
      <c r="Z19" s="292"/>
      <c r="AA19" s="289"/>
      <c r="AB19" s="513">
        <f t="shared" si="5"/>
        <v>0</v>
      </c>
      <c r="AC19" s="473">
        <v>232.96</v>
      </c>
      <c r="AD19" s="292">
        <v>246.4</v>
      </c>
      <c r="AE19" s="289">
        <f t="shared" si="16"/>
        <v>5.7692307692307736</v>
      </c>
      <c r="AF19" s="514">
        <f t="shared" si="6"/>
        <v>0.32032831572307613</v>
      </c>
      <c r="AG19" s="473">
        <v>672</v>
      </c>
      <c r="AH19" s="292">
        <v>448</v>
      </c>
      <c r="AI19" s="289">
        <f t="shared" si="23"/>
        <v>-33.333333333333343</v>
      </c>
      <c r="AJ19" s="513">
        <f t="shared" si="7"/>
        <v>15.342465753424658</v>
      </c>
      <c r="AK19" s="473"/>
      <c r="AL19" s="292"/>
      <c r="AM19" s="289"/>
      <c r="AN19" s="513">
        <f t="shared" si="8"/>
        <v>0</v>
      </c>
      <c r="AO19" s="473">
        <v>44.800000000000004</v>
      </c>
      <c r="AP19" s="292"/>
      <c r="AQ19" s="289">
        <f t="shared" si="24"/>
        <v>-100</v>
      </c>
      <c r="AR19" s="513">
        <f t="shared" si="9"/>
        <v>0</v>
      </c>
      <c r="AS19" s="473">
        <v>134.5</v>
      </c>
      <c r="AT19" s="292"/>
      <c r="AU19" s="289">
        <f t="shared" si="25"/>
        <v>-100</v>
      </c>
      <c r="AV19" s="513">
        <f t="shared" si="10"/>
        <v>0</v>
      </c>
      <c r="AW19" s="449">
        <f t="shared" si="18"/>
        <v>1689.06</v>
      </c>
      <c r="AX19" s="449">
        <f t="shared" si="19"/>
        <v>1536.64</v>
      </c>
      <c r="AY19" s="289">
        <f t="shared" si="11"/>
        <v>-9.0239541520135305</v>
      </c>
      <c r="AZ19" s="451">
        <f t="shared" si="12"/>
        <v>0.29680819164649042</v>
      </c>
    </row>
    <row r="20" spans="1:52" s="310" customFormat="1" ht="19.95" customHeight="1">
      <c r="A20" s="480"/>
      <c r="B20" s="313" t="s">
        <v>168</v>
      </c>
      <c r="C20" s="314"/>
      <c r="D20" s="483"/>
      <c r="E20" s="472">
        <f>SUM(E15:E19)</f>
        <v>10403.400000000001</v>
      </c>
      <c r="F20" s="312">
        <f>SUM(F15:F19)</f>
        <v>9786.84</v>
      </c>
      <c r="G20" s="309">
        <f t="shared" si="20"/>
        <v>-5.9265240209931562</v>
      </c>
      <c r="H20" s="513">
        <f t="shared" si="0"/>
        <v>4.7316221795696149</v>
      </c>
      <c r="I20" s="472">
        <f>SUM(I15:I19)</f>
        <v>2538.4800000000005</v>
      </c>
      <c r="J20" s="312">
        <f>SUM(J15:J19)</f>
        <v>1644.16</v>
      </c>
      <c r="K20" s="309">
        <f t="shared" si="21"/>
        <v>-35.230531656739473</v>
      </c>
      <c r="L20" s="513">
        <f t="shared" si="1"/>
        <v>16.312923658184243</v>
      </c>
      <c r="M20" s="472">
        <f>SUM(M15:M19)</f>
        <v>12664.960000000001</v>
      </c>
      <c r="N20" s="312">
        <f>SUM(N15:N19)</f>
        <v>12266.8</v>
      </c>
      <c r="O20" s="309">
        <f t="shared" si="22"/>
        <v>-3.1437920056597193</v>
      </c>
      <c r="P20" s="513">
        <f t="shared" si="2"/>
        <v>19.240614655667844</v>
      </c>
      <c r="Q20" s="472">
        <f>SUM(Q15:Q19)</f>
        <v>604.79999999999995</v>
      </c>
      <c r="R20" s="312">
        <f>SUM(R15:R19)</f>
        <v>895.88</v>
      </c>
      <c r="S20" s="309">
        <f t="shared" si="13"/>
        <v>48.128306878306887</v>
      </c>
      <c r="T20" s="513">
        <f t="shared" si="3"/>
        <v>1.295507169336791</v>
      </c>
      <c r="U20" s="472">
        <f>SUM(U15:U19)</f>
        <v>2418.0800000000004</v>
      </c>
      <c r="V20" s="312">
        <f>SUM(V15:V19)</f>
        <v>3054.8</v>
      </c>
      <c r="W20" s="309">
        <f t="shared" si="14"/>
        <v>26.33163501621118</v>
      </c>
      <c r="X20" s="513">
        <f t="shared" si="4"/>
        <v>7.0912568711929866</v>
      </c>
      <c r="Y20" s="472">
        <f>SUM(Y15:Y19)</f>
        <v>4.1999999999999993</v>
      </c>
      <c r="Z20" s="312">
        <f>SUM(Z15:Z19)</f>
        <v>0</v>
      </c>
      <c r="AA20" s="309">
        <f t="shared" si="15"/>
        <v>-100</v>
      </c>
      <c r="AB20" s="513">
        <f t="shared" si="5"/>
        <v>0</v>
      </c>
      <c r="AC20" s="472">
        <f>SUM(AC15:AC19)</f>
        <v>805.6</v>
      </c>
      <c r="AD20" s="312">
        <f>SUM(AD15:AD19)</f>
        <v>687.4</v>
      </c>
      <c r="AE20" s="309">
        <f t="shared" si="16"/>
        <v>-14.672293942403186</v>
      </c>
      <c r="AF20" s="514">
        <f t="shared" si="6"/>
        <v>0.89364319897744526</v>
      </c>
      <c r="AG20" s="472">
        <f>SUM(AG15:AG19)</f>
        <v>5824</v>
      </c>
      <c r="AH20" s="312">
        <f>SUM(AH15:AH19)</f>
        <v>448</v>
      </c>
      <c r="AI20" s="309">
        <f t="shared" si="23"/>
        <v>-92.307692307692307</v>
      </c>
      <c r="AJ20" s="513">
        <f t="shared" si="7"/>
        <v>15.342465753424658</v>
      </c>
      <c r="AK20" s="472">
        <f>SUM(AK15:AK19)</f>
        <v>0</v>
      </c>
      <c r="AL20" s="312">
        <f>SUM(AL15:AL19)</f>
        <v>0</v>
      </c>
      <c r="AM20" s="309"/>
      <c r="AN20" s="513">
        <f t="shared" si="8"/>
        <v>0</v>
      </c>
      <c r="AO20" s="472">
        <f>SUM(AO15:AO19)</f>
        <v>48.800000000000004</v>
      </c>
      <c r="AP20" s="312">
        <f>SUM(AP15:AP19)</f>
        <v>0</v>
      </c>
      <c r="AQ20" s="309">
        <f t="shared" si="24"/>
        <v>-100</v>
      </c>
      <c r="AR20" s="513">
        <f t="shared" si="9"/>
        <v>0</v>
      </c>
      <c r="AS20" s="472">
        <f>SUM(AS15:AS19)</f>
        <v>2741.86</v>
      </c>
      <c r="AT20" s="312">
        <f>SUM(AT15:AT19)</f>
        <v>2240</v>
      </c>
      <c r="AU20" s="309">
        <f t="shared" si="25"/>
        <v>-18.303633300022611</v>
      </c>
      <c r="AV20" s="513">
        <f t="shared" si="10"/>
        <v>27.158098933074683</v>
      </c>
      <c r="AW20" s="449">
        <f t="shared" si="18"/>
        <v>38054.180000000008</v>
      </c>
      <c r="AX20" s="449">
        <f t="shared" si="19"/>
        <v>31023.88</v>
      </c>
      <c r="AY20" s="309">
        <f t="shared" si="11"/>
        <v>-18.474448799054414</v>
      </c>
      <c r="AZ20" s="451">
        <f t="shared" si="12"/>
        <v>5.9923871047595538</v>
      </c>
    </row>
    <row r="21" spans="1:52" ht="19.95" customHeight="1">
      <c r="A21" s="478">
        <v>14</v>
      </c>
      <c r="B21" s="164" t="s">
        <v>1262</v>
      </c>
      <c r="C21" s="152">
        <v>1</v>
      </c>
      <c r="D21" s="482" t="s">
        <v>15</v>
      </c>
      <c r="E21" s="473">
        <v>0</v>
      </c>
      <c r="F21" s="293"/>
      <c r="G21" s="309"/>
      <c r="H21" s="513">
        <f t="shared" si="0"/>
        <v>0</v>
      </c>
      <c r="I21" s="473">
        <v>0</v>
      </c>
      <c r="J21" s="293"/>
      <c r="K21" s="309"/>
      <c r="L21" s="513">
        <f t="shared" si="1"/>
        <v>0</v>
      </c>
      <c r="M21" s="473">
        <v>0</v>
      </c>
      <c r="N21" s="293">
        <v>198</v>
      </c>
      <c r="O21" s="309"/>
      <c r="P21" s="513">
        <f t="shared" si="2"/>
        <v>0.31056524128723328</v>
      </c>
      <c r="Q21" s="473">
        <v>0</v>
      </c>
      <c r="R21" s="293"/>
      <c r="S21" s="309"/>
      <c r="T21" s="513">
        <f t="shared" si="3"/>
        <v>0</v>
      </c>
      <c r="U21" s="473">
        <v>0</v>
      </c>
      <c r="V21" s="293"/>
      <c r="W21" s="309"/>
      <c r="X21" s="513">
        <f t="shared" si="4"/>
        <v>0</v>
      </c>
      <c r="Y21" s="473">
        <v>0</v>
      </c>
      <c r="Z21" s="293">
        <v>45</v>
      </c>
      <c r="AA21" s="309"/>
      <c r="AB21" s="513">
        <f t="shared" si="5"/>
        <v>0.25337666637387579</v>
      </c>
      <c r="AC21" s="473">
        <v>0</v>
      </c>
      <c r="AD21" s="293"/>
      <c r="AE21" s="309"/>
      <c r="AF21" s="514">
        <f t="shared" si="6"/>
        <v>0</v>
      </c>
      <c r="AG21" s="473">
        <v>0</v>
      </c>
      <c r="AH21" s="293"/>
      <c r="AI21" s="309"/>
      <c r="AJ21" s="513">
        <f t="shared" si="7"/>
        <v>0</v>
      </c>
      <c r="AK21" s="473">
        <v>0</v>
      </c>
      <c r="AL21" s="293"/>
      <c r="AM21" s="309"/>
      <c r="AN21" s="513">
        <f t="shared" si="8"/>
        <v>0</v>
      </c>
      <c r="AO21" s="473">
        <v>0</v>
      </c>
      <c r="AP21" s="293"/>
      <c r="AQ21" s="309"/>
      <c r="AR21" s="513">
        <f t="shared" si="9"/>
        <v>0</v>
      </c>
      <c r="AS21" s="473">
        <v>0</v>
      </c>
      <c r="AT21" s="293"/>
      <c r="AU21" s="309"/>
      <c r="AV21" s="513">
        <f t="shared" si="10"/>
        <v>0</v>
      </c>
      <c r="AW21" s="449">
        <f t="shared" ref="AW21" si="26">E21+I21+M21+Q21+U21+Y21+AC21+AG21+AK21+AO21+AS21</f>
        <v>0</v>
      </c>
      <c r="AX21" s="449">
        <f>F21+J21+N21+R21+V21+Z21+AD21+AH21+AL21+AP21+AT21</f>
        <v>243</v>
      </c>
      <c r="AY21" s="309"/>
      <c r="AZ21" s="451">
        <f t="shared" si="12"/>
        <v>4.6936426599657154E-2</v>
      </c>
    </row>
    <row r="22" spans="1:52" ht="19.95" customHeight="1">
      <c r="A22" s="478">
        <v>15</v>
      </c>
      <c r="B22" s="164" t="s">
        <v>30</v>
      </c>
      <c r="C22" s="152">
        <v>0.64</v>
      </c>
      <c r="D22" s="482" t="s">
        <v>20</v>
      </c>
      <c r="E22" s="473">
        <v>32905.600000000013</v>
      </c>
      <c r="F22" s="292">
        <v>30504.959999999999</v>
      </c>
      <c r="G22" s="289">
        <f t="shared" si="20"/>
        <v>-7.2955363220850415</v>
      </c>
      <c r="H22" s="513">
        <f t="shared" si="0"/>
        <v>14.748166448300363</v>
      </c>
      <c r="I22" s="473">
        <v>403.20000000000005</v>
      </c>
      <c r="J22" s="292">
        <v>134.4</v>
      </c>
      <c r="K22" s="289">
        <f t="shared" si="21"/>
        <v>-66.666666666666671</v>
      </c>
      <c r="L22" s="513">
        <f t="shared" si="1"/>
        <v>1.3334814979442162</v>
      </c>
      <c r="M22" s="473">
        <v>37909.759999999995</v>
      </c>
      <c r="N22" s="292">
        <v>29200.639999999999</v>
      </c>
      <c r="O22" s="289">
        <f t="shared" si="22"/>
        <v>-22.973292365870947</v>
      </c>
      <c r="P22" s="513">
        <f t="shared" si="2"/>
        <v>45.80153438051331</v>
      </c>
      <c r="Q22" s="473">
        <v>16311.68</v>
      </c>
      <c r="R22" s="292">
        <v>14255.36</v>
      </c>
      <c r="S22" s="289">
        <f t="shared" si="13"/>
        <v>-12.606426805822579</v>
      </c>
      <c r="T22" s="513">
        <f t="shared" si="3"/>
        <v>20.614279905207077</v>
      </c>
      <c r="U22" s="473">
        <v>1097.5999999999999</v>
      </c>
      <c r="V22" s="292">
        <v>582.4</v>
      </c>
      <c r="W22" s="289">
        <f t="shared" si="14"/>
        <v>-46.938775510204081</v>
      </c>
      <c r="X22" s="513">
        <f t="shared" si="4"/>
        <v>1.3519536473035207</v>
      </c>
      <c r="Y22" s="473">
        <v>1895.0400000000002</v>
      </c>
      <c r="Z22" s="292">
        <v>2240</v>
      </c>
      <c r="AA22" s="289">
        <f t="shared" si="15"/>
        <v>18.203309692671382</v>
      </c>
      <c r="AB22" s="513">
        <f t="shared" si="5"/>
        <v>12.612527392832929</v>
      </c>
      <c r="AC22" s="473">
        <v>44.800000000000004</v>
      </c>
      <c r="AD22" s="292"/>
      <c r="AE22" s="289">
        <f t="shared" si="16"/>
        <v>-100</v>
      </c>
      <c r="AF22" s="514">
        <f t="shared" si="6"/>
        <v>0</v>
      </c>
      <c r="AG22" s="473"/>
      <c r="AH22" s="292"/>
      <c r="AI22" s="289"/>
      <c r="AJ22" s="513">
        <f t="shared" si="7"/>
        <v>0</v>
      </c>
      <c r="AK22" s="473"/>
      <c r="AL22" s="292"/>
      <c r="AM22" s="289"/>
      <c r="AN22" s="513">
        <f t="shared" si="8"/>
        <v>0</v>
      </c>
      <c r="AO22" s="473"/>
      <c r="AP22" s="292"/>
      <c r="AQ22" s="289"/>
      <c r="AR22" s="513">
        <f t="shared" si="9"/>
        <v>0</v>
      </c>
      <c r="AS22" s="473"/>
      <c r="AT22" s="292"/>
      <c r="AU22" s="289"/>
      <c r="AV22" s="513">
        <f t="shared" si="10"/>
        <v>0</v>
      </c>
      <c r="AW22" s="449">
        <f t="shared" si="18"/>
        <v>90567.679999999993</v>
      </c>
      <c r="AX22" s="449">
        <f t="shared" si="19"/>
        <v>76917.759999999995</v>
      </c>
      <c r="AY22" s="289">
        <f t="shared" si="11"/>
        <v>-15.071513369890894</v>
      </c>
      <c r="AZ22" s="451">
        <f t="shared" si="12"/>
        <v>14.85697447098784</v>
      </c>
    </row>
    <row r="23" spans="1:52" s="310" customFormat="1" ht="19.95" customHeight="1">
      <c r="A23" s="480"/>
      <c r="B23" s="313" t="s">
        <v>187</v>
      </c>
      <c r="C23" s="314"/>
      <c r="D23" s="483"/>
      <c r="E23" s="472">
        <f>SUM(E21:E22)</f>
        <v>32905.600000000013</v>
      </c>
      <c r="F23" s="472">
        <f>SUM(F21:F22)</f>
        <v>30504.959999999999</v>
      </c>
      <c r="G23" s="309">
        <f t="shared" si="20"/>
        <v>-7.2955363220850415</v>
      </c>
      <c r="H23" s="513">
        <f t="shared" si="0"/>
        <v>14.748166448300363</v>
      </c>
      <c r="I23" s="472">
        <f>SUM(I21:I22)</f>
        <v>403.20000000000005</v>
      </c>
      <c r="J23" s="472">
        <f>SUM(J21:J22)</f>
        <v>134.4</v>
      </c>
      <c r="K23" s="309">
        <f t="shared" si="21"/>
        <v>-66.666666666666671</v>
      </c>
      <c r="L23" s="513">
        <f t="shared" si="1"/>
        <v>1.3334814979442162</v>
      </c>
      <c r="M23" s="472">
        <f>SUM(M21:M22)</f>
        <v>37909.759999999995</v>
      </c>
      <c r="N23" s="472">
        <f>SUM(N21:N22)</f>
        <v>29398.639999999999</v>
      </c>
      <c r="O23" s="309">
        <f t="shared" si="22"/>
        <v>-22.450999426005325</v>
      </c>
      <c r="P23" s="513">
        <f t="shared" si="2"/>
        <v>46.112099621800546</v>
      </c>
      <c r="Q23" s="472">
        <f>SUM(Q21:Q22)</f>
        <v>16311.68</v>
      </c>
      <c r="R23" s="472">
        <f>SUM(R21:R22)</f>
        <v>14255.36</v>
      </c>
      <c r="S23" s="309">
        <f t="shared" si="13"/>
        <v>-12.606426805822579</v>
      </c>
      <c r="T23" s="513">
        <f t="shared" si="3"/>
        <v>20.614279905207077</v>
      </c>
      <c r="U23" s="472">
        <f>SUM(U21:U22)</f>
        <v>1097.5999999999999</v>
      </c>
      <c r="V23" s="472">
        <f>SUM(V21:V22)</f>
        <v>582.4</v>
      </c>
      <c r="W23" s="309">
        <f t="shared" si="14"/>
        <v>-46.938775510204081</v>
      </c>
      <c r="X23" s="513">
        <f t="shared" si="4"/>
        <v>1.3519536473035207</v>
      </c>
      <c r="Y23" s="472">
        <f>SUM(Y21:Y22)</f>
        <v>1895.0400000000002</v>
      </c>
      <c r="Z23" s="472">
        <f>SUM(Z21:Z22)</f>
        <v>2285</v>
      </c>
      <c r="AA23" s="309">
        <f t="shared" si="15"/>
        <v>20.57792975346166</v>
      </c>
      <c r="AB23" s="513">
        <f t="shared" si="5"/>
        <v>12.865904059206805</v>
      </c>
      <c r="AC23" s="472">
        <f>SUM(AC21:AC22)</f>
        <v>44.800000000000004</v>
      </c>
      <c r="AD23" s="472">
        <f>SUM(AD21:AD22)</f>
        <v>0</v>
      </c>
      <c r="AE23" s="309">
        <f t="shared" si="16"/>
        <v>-100</v>
      </c>
      <c r="AF23" s="514">
        <f t="shared" si="6"/>
        <v>0</v>
      </c>
      <c r="AG23" s="472">
        <f>SUM(AG21:AG22)</f>
        <v>0</v>
      </c>
      <c r="AH23" s="472">
        <f>SUM(AH21:AH22)</f>
        <v>0</v>
      </c>
      <c r="AI23" s="309"/>
      <c r="AJ23" s="513">
        <f t="shared" si="7"/>
        <v>0</v>
      </c>
      <c r="AK23" s="472">
        <f>SUM(AK21:AK22)</f>
        <v>0</v>
      </c>
      <c r="AL23" s="472">
        <f>SUM(AL21:AL22)</f>
        <v>0</v>
      </c>
      <c r="AM23" s="309"/>
      <c r="AN23" s="513">
        <f t="shared" si="8"/>
        <v>0</v>
      </c>
      <c r="AO23" s="472">
        <f>SUM(AO21:AO22)</f>
        <v>0</v>
      </c>
      <c r="AP23" s="472">
        <f>SUM(AP21:AP22)</f>
        <v>0</v>
      </c>
      <c r="AQ23" s="309"/>
      <c r="AR23" s="513">
        <f t="shared" si="9"/>
        <v>0</v>
      </c>
      <c r="AS23" s="472">
        <f>SUM(AS21:AS22)</f>
        <v>0</v>
      </c>
      <c r="AT23" s="472">
        <f>SUM(AT21:AT22)</f>
        <v>0</v>
      </c>
      <c r="AU23" s="309"/>
      <c r="AV23" s="513">
        <f t="shared" si="10"/>
        <v>0</v>
      </c>
      <c r="AW23" s="449">
        <f t="shared" si="18"/>
        <v>90567.679999999993</v>
      </c>
      <c r="AX23" s="449">
        <f t="shared" si="19"/>
        <v>77160.759999999995</v>
      </c>
      <c r="AY23" s="309">
        <f t="shared" si="11"/>
        <v>-14.803205735202667</v>
      </c>
      <c r="AZ23" s="451">
        <f t="shared" si="12"/>
        <v>14.903910897587496</v>
      </c>
    </row>
    <row r="24" spans="1:52" ht="19.95" customHeight="1">
      <c r="A24" s="478">
        <v>16</v>
      </c>
      <c r="B24" s="164" t="s">
        <v>62</v>
      </c>
      <c r="C24" s="152">
        <v>0.64</v>
      </c>
      <c r="D24" s="482" t="s">
        <v>20</v>
      </c>
      <c r="E24" s="473">
        <v>11120.320000000007</v>
      </c>
      <c r="F24" s="292">
        <v>10482.240000000002</v>
      </c>
      <c r="G24" s="289">
        <f t="shared" si="20"/>
        <v>-5.7379643751259408</v>
      </c>
      <c r="H24" s="513">
        <f t="shared" si="0"/>
        <v>5.067825700182266</v>
      </c>
      <c r="I24" s="473">
        <v>573.44000000000005</v>
      </c>
      <c r="J24" s="292">
        <v>112.00000000000001</v>
      </c>
      <c r="K24" s="289">
        <f t="shared" si="21"/>
        <v>-80.46875</v>
      </c>
      <c r="L24" s="513">
        <f t="shared" si="1"/>
        <v>1.1112345816201803</v>
      </c>
      <c r="M24" s="473">
        <v>4166.3999999999996</v>
      </c>
      <c r="N24" s="292">
        <v>4054.4</v>
      </c>
      <c r="O24" s="289">
        <f t="shared" si="22"/>
        <v>-2.6881720430107379</v>
      </c>
      <c r="P24" s="513">
        <f t="shared" si="2"/>
        <v>6.3593722943179731</v>
      </c>
      <c r="Q24" s="473">
        <v>10814.72</v>
      </c>
      <c r="R24" s="292">
        <v>8928.64</v>
      </c>
      <c r="S24" s="289">
        <f t="shared" si="13"/>
        <v>-17.439933719966859</v>
      </c>
      <c r="T24" s="513">
        <f t="shared" si="3"/>
        <v>12.911458155586958</v>
      </c>
      <c r="U24" s="473">
        <v>8960</v>
      </c>
      <c r="V24" s="292">
        <v>7347.2000000000007</v>
      </c>
      <c r="W24" s="289">
        <f t="shared" si="14"/>
        <v>-18</v>
      </c>
      <c r="X24" s="513">
        <f t="shared" si="4"/>
        <v>17.055415242905955</v>
      </c>
      <c r="Y24" s="473">
        <v>5756.8</v>
      </c>
      <c r="Z24" s="292">
        <v>4614.3999999999996</v>
      </c>
      <c r="AA24" s="289">
        <f t="shared" si="15"/>
        <v>-19.844357976653697</v>
      </c>
      <c r="AB24" s="513">
        <f t="shared" si="5"/>
        <v>25.981806429235832</v>
      </c>
      <c r="AC24" s="473"/>
      <c r="AD24" s="292"/>
      <c r="AE24" s="289"/>
      <c r="AF24" s="514">
        <f t="shared" si="6"/>
        <v>0</v>
      </c>
      <c r="AG24" s="473"/>
      <c r="AH24" s="292"/>
      <c r="AI24" s="289"/>
      <c r="AJ24" s="513">
        <f t="shared" si="7"/>
        <v>0</v>
      </c>
      <c r="AK24" s="473"/>
      <c r="AL24" s="292"/>
      <c r="AM24" s="289"/>
      <c r="AN24" s="513">
        <f t="shared" si="8"/>
        <v>0</v>
      </c>
      <c r="AO24" s="473"/>
      <c r="AP24" s="292"/>
      <c r="AQ24" s="289"/>
      <c r="AR24" s="513">
        <f t="shared" si="9"/>
        <v>0</v>
      </c>
      <c r="AS24" s="473"/>
      <c r="AT24" s="292"/>
      <c r="AU24" s="289"/>
      <c r="AV24" s="513">
        <f t="shared" si="10"/>
        <v>0</v>
      </c>
      <c r="AW24" s="449">
        <f t="shared" si="18"/>
        <v>41391.680000000008</v>
      </c>
      <c r="AX24" s="449">
        <f t="shared" si="19"/>
        <v>35538.879999999997</v>
      </c>
      <c r="AY24" s="289">
        <f t="shared" si="11"/>
        <v>-14.140039737454501</v>
      </c>
      <c r="AZ24" s="451">
        <f t="shared" si="12"/>
        <v>6.8644775002223195</v>
      </c>
    </row>
    <row r="25" spans="1:52" s="310" customFormat="1" ht="19.95" customHeight="1">
      <c r="A25" s="480"/>
      <c r="B25" s="313" t="s">
        <v>181</v>
      </c>
      <c r="C25" s="314"/>
      <c r="D25" s="483"/>
      <c r="E25" s="472">
        <f>SUM(E24)</f>
        <v>11120.320000000007</v>
      </c>
      <c r="F25" s="312">
        <f>SUM(F24)</f>
        <v>10482.240000000002</v>
      </c>
      <c r="G25" s="309">
        <f t="shared" si="20"/>
        <v>-5.7379643751259408</v>
      </c>
      <c r="H25" s="513">
        <f t="shared" si="0"/>
        <v>5.067825700182266</v>
      </c>
      <c r="I25" s="472">
        <f>SUM(I24)</f>
        <v>573.44000000000005</v>
      </c>
      <c r="J25" s="312">
        <f>SUM(J24)</f>
        <v>112.00000000000001</v>
      </c>
      <c r="K25" s="309">
        <f t="shared" si="21"/>
        <v>-80.46875</v>
      </c>
      <c r="L25" s="513">
        <f t="shared" si="1"/>
        <v>1.1112345816201803</v>
      </c>
      <c r="M25" s="472">
        <f>SUM(M24)</f>
        <v>4166.3999999999996</v>
      </c>
      <c r="N25" s="312">
        <f>SUM(N24)</f>
        <v>4054.4</v>
      </c>
      <c r="O25" s="309">
        <f t="shared" si="22"/>
        <v>-2.6881720430107379</v>
      </c>
      <c r="P25" s="513">
        <f t="shared" si="2"/>
        <v>6.3593722943179731</v>
      </c>
      <c r="Q25" s="472">
        <f>SUM(Q24)</f>
        <v>10814.72</v>
      </c>
      <c r="R25" s="312">
        <f>SUM(R24)</f>
        <v>8928.64</v>
      </c>
      <c r="S25" s="309">
        <f t="shared" si="13"/>
        <v>-17.439933719966859</v>
      </c>
      <c r="T25" s="513">
        <f t="shared" si="3"/>
        <v>12.911458155586958</v>
      </c>
      <c r="U25" s="472">
        <f>SUM(U24)</f>
        <v>8960</v>
      </c>
      <c r="V25" s="312">
        <f>SUM(V24)</f>
        <v>7347.2000000000007</v>
      </c>
      <c r="W25" s="309">
        <f t="shared" si="14"/>
        <v>-18</v>
      </c>
      <c r="X25" s="513">
        <f t="shared" si="4"/>
        <v>17.055415242905955</v>
      </c>
      <c r="Y25" s="472">
        <f>SUM(Y24)</f>
        <v>5756.8</v>
      </c>
      <c r="Z25" s="312">
        <f>SUM(Z24)</f>
        <v>4614.3999999999996</v>
      </c>
      <c r="AA25" s="309">
        <f t="shared" si="15"/>
        <v>-19.844357976653697</v>
      </c>
      <c r="AB25" s="513">
        <f t="shared" si="5"/>
        <v>25.981806429235832</v>
      </c>
      <c r="AC25" s="472">
        <f>SUM(AC24)</f>
        <v>0</v>
      </c>
      <c r="AD25" s="312">
        <f>SUM(AD24)</f>
        <v>0</v>
      </c>
      <c r="AE25" s="309"/>
      <c r="AF25" s="514">
        <f t="shared" si="6"/>
        <v>0</v>
      </c>
      <c r="AG25" s="472">
        <f>SUM(AG24)</f>
        <v>0</v>
      </c>
      <c r="AH25" s="312">
        <f>SUM(AH24)</f>
        <v>0</v>
      </c>
      <c r="AI25" s="309"/>
      <c r="AJ25" s="513">
        <f t="shared" si="7"/>
        <v>0</v>
      </c>
      <c r="AK25" s="472">
        <f>SUM(AK24)</f>
        <v>0</v>
      </c>
      <c r="AL25" s="312">
        <f>SUM(AL24)</f>
        <v>0</v>
      </c>
      <c r="AM25" s="309"/>
      <c r="AN25" s="513">
        <f t="shared" si="8"/>
        <v>0</v>
      </c>
      <c r="AO25" s="472">
        <f>SUM(AO24)</f>
        <v>0</v>
      </c>
      <c r="AP25" s="312">
        <f>SUM(AP24)</f>
        <v>0</v>
      </c>
      <c r="AQ25" s="309"/>
      <c r="AR25" s="513">
        <f t="shared" si="9"/>
        <v>0</v>
      </c>
      <c r="AS25" s="472">
        <f>SUM(AS24)</f>
        <v>0</v>
      </c>
      <c r="AT25" s="312">
        <f>SUM(AT24)</f>
        <v>0</v>
      </c>
      <c r="AU25" s="309"/>
      <c r="AV25" s="513">
        <f t="shared" si="10"/>
        <v>0</v>
      </c>
      <c r="AW25" s="449">
        <f t="shared" si="18"/>
        <v>41391.680000000008</v>
      </c>
      <c r="AX25" s="449">
        <f t="shared" si="19"/>
        <v>35538.879999999997</v>
      </c>
      <c r="AY25" s="309">
        <f t="shared" si="11"/>
        <v>-14.140039737454501</v>
      </c>
      <c r="AZ25" s="451">
        <f t="shared" si="12"/>
        <v>6.8644775002223195</v>
      </c>
    </row>
    <row r="26" spans="1:52" ht="19.95" customHeight="1">
      <c r="A26" s="478">
        <v>17</v>
      </c>
      <c r="B26" s="233" t="s">
        <v>31</v>
      </c>
      <c r="C26" s="152">
        <v>0.64</v>
      </c>
      <c r="D26" s="482" t="s">
        <v>20</v>
      </c>
      <c r="E26" s="473"/>
      <c r="F26" s="292"/>
      <c r="G26" s="289"/>
      <c r="H26" s="513">
        <f t="shared" si="0"/>
        <v>0</v>
      </c>
      <c r="I26" s="473"/>
      <c r="J26" s="292"/>
      <c r="K26" s="289"/>
      <c r="L26" s="513">
        <f t="shared" si="1"/>
        <v>0</v>
      </c>
      <c r="M26" s="473"/>
      <c r="N26" s="292"/>
      <c r="O26" s="289"/>
      <c r="P26" s="513">
        <f t="shared" si="2"/>
        <v>0</v>
      </c>
      <c r="Q26" s="473">
        <v>1568</v>
      </c>
      <c r="R26" s="292">
        <v>927.36</v>
      </c>
      <c r="S26" s="289">
        <f t="shared" si="13"/>
        <v>-40.857142857142861</v>
      </c>
      <c r="T26" s="513">
        <f t="shared" si="3"/>
        <v>1.3410295224317614</v>
      </c>
      <c r="U26" s="473"/>
      <c r="V26" s="292"/>
      <c r="W26" s="289"/>
      <c r="X26" s="513">
        <f t="shared" si="4"/>
        <v>0</v>
      </c>
      <c r="Y26" s="473"/>
      <c r="Z26" s="292"/>
      <c r="AA26" s="289"/>
      <c r="AB26" s="513">
        <f t="shared" si="5"/>
        <v>0</v>
      </c>
      <c r="AC26" s="473"/>
      <c r="AD26" s="292"/>
      <c r="AE26" s="289"/>
      <c r="AF26" s="514">
        <f t="shared" si="6"/>
        <v>0</v>
      </c>
      <c r="AG26" s="473"/>
      <c r="AH26" s="292"/>
      <c r="AI26" s="289"/>
      <c r="AJ26" s="513">
        <f t="shared" si="7"/>
        <v>0</v>
      </c>
      <c r="AK26" s="473"/>
      <c r="AL26" s="292"/>
      <c r="AM26" s="289"/>
      <c r="AN26" s="513">
        <f t="shared" si="8"/>
        <v>0</v>
      </c>
      <c r="AO26" s="473">
        <v>537.5</v>
      </c>
      <c r="AP26" s="292">
        <v>268.8</v>
      </c>
      <c r="AQ26" s="289">
        <f t="shared" si="24"/>
        <v>-49.990697674418605</v>
      </c>
      <c r="AR26" s="513">
        <f t="shared" si="9"/>
        <v>2.3264831329972862</v>
      </c>
      <c r="AS26" s="473">
        <v>1142.4000000000001</v>
      </c>
      <c r="AT26" s="292">
        <v>1702.4</v>
      </c>
      <c r="AU26" s="289">
        <f t="shared" si="25"/>
        <v>49.019607843137265</v>
      </c>
      <c r="AV26" s="513">
        <f t="shared" si="10"/>
        <v>20.64015518913676</v>
      </c>
      <c r="AW26" s="449">
        <f t="shared" si="18"/>
        <v>3247.9</v>
      </c>
      <c r="AX26" s="449">
        <f t="shared" si="19"/>
        <v>2898.5600000000004</v>
      </c>
      <c r="AY26" s="289">
        <f t="shared" si="11"/>
        <v>-10.755873025647332</v>
      </c>
      <c r="AZ26" s="451">
        <f t="shared" si="12"/>
        <v>0.55986851310577068</v>
      </c>
    </row>
    <row r="27" spans="1:52" s="310" customFormat="1" ht="19.95" customHeight="1">
      <c r="A27" s="480"/>
      <c r="B27" s="316" t="s">
        <v>188</v>
      </c>
      <c r="C27" s="314"/>
      <c r="D27" s="483"/>
      <c r="E27" s="472">
        <f>SUM(E26)</f>
        <v>0</v>
      </c>
      <c r="F27" s="312">
        <f>SUM(F26)</f>
        <v>0</v>
      </c>
      <c r="G27" s="309"/>
      <c r="H27" s="513">
        <f t="shared" si="0"/>
        <v>0</v>
      </c>
      <c r="I27" s="472">
        <f>SUM(I26)</f>
        <v>0</v>
      </c>
      <c r="J27" s="312">
        <f>SUM(J26)</f>
        <v>0</v>
      </c>
      <c r="K27" s="309"/>
      <c r="L27" s="513">
        <f t="shared" si="1"/>
        <v>0</v>
      </c>
      <c r="M27" s="472">
        <f>SUM(M26)</f>
        <v>0</v>
      </c>
      <c r="N27" s="312">
        <f>SUM(N26)</f>
        <v>0</v>
      </c>
      <c r="O27" s="309"/>
      <c r="P27" s="513">
        <f t="shared" si="2"/>
        <v>0</v>
      </c>
      <c r="Q27" s="472">
        <f>SUM(Q26)</f>
        <v>1568</v>
      </c>
      <c r="R27" s="312">
        <f>SUM(R26)</f>
        <v>927.36</v>
      </c>
      <c r="S27" s="309">
        <f t="shared" si="13"/>
        <v>-40.857142857142861</v>
      </c>
      <c r="T27" s="513">
        <f t="shared" si="3"/>
        <v>1.3410295224317614</v>
      </c>
      <c r="U27" s="472">
        <f>SUM(U26)</f>
        <v>0</v>
      </c>
      <c r="V27" s="312">
        <f>SUM(V26)</f>
        <v>0</v>
      </c>
      <c r="W27" s="309"/>
      <c r="X27" s="513">
        <f t="shared" si="4"/>
        <v>0</v>
      </c>
      <c r="Y27" s="472">
        <f>SUM(Y26)</f>
        <v>0</v>
      </c>
      <c r="Z27" s="312">
        <f>SUM(Z26)</f>
        <v>0</v>
      </c>
      <c r="AA27" s="309"/>
      <c r="AB27" s="513">
        <f t="shared" si="5"/>
        <v>0</v>
      </c>
      <c r="AC27" s="472">
        <f>SUM(AC26)</f>
        <v>0</v>
      </c>
      <c r="AD27" s="312">
        <f>SUM(AD26)</f>
        <v>0</v>
      </c>
      <c r="AE27" s="309"/>
      <c r="AF27" s="514">
        <f t="shared" si="6"/>
        <v>0</v>
      </c>
      <c r="AG27" s="472">
        <f>SUM(AG26)</f>
        <v>0</v>
      </c>
      <c r="AH27" s="312">
        <f>SUM(AH26)</f>
        <v>0</v>
      </c>
      <c r="AI27" s="309"/>
      <c r="AJ27" s="513">
        <f t="shared" si="7"/>
        <v>0</v>
      </c>
      <c r="AK27" s="472">
        <f>SUM(AK26)</f>
        <v>0</v>
      </c>
      <c r="AL27" s="312">
        <f>SUM(AL26)</f>
        <v>0</v>
      </c>
      <c r="AM27" s="309"/>
      <c r="AN27" s="513">
        <f t="shared" si="8"/>
        <v>0</v>
      </c>
      <c r="AO27" s="472">
        <f>SUM(AO26)</f>
        <v>537.5</v>
      </c>
      <c r="AP27" s="312">
        <f>SUM(AP26)</f>
        <v>268.8</v>
      </c>
      <c r="AQ27" s="309">
        <f t="shared" si="24"/>
        <v>-49.990697674418605</v>
      </c>
      <c r="AR27" s="513">
        <f t="shared" si="9"/>
        <v>2.3264831329972862</v>
      </c>
      <c r="AS27" s="472">
        <f>SUM(AS26)</f>
        <v>1142.4000000000001</v>
      </c>
      <c r="AT27" s="312">
        <f>SUM(AT26)</f>
        <v>1702.4</v>
      </c>
      <c r="AU27" s="309">
        <f t="shared" si="25"/>
        <v>49.019607843137265</v>
      </c>
      <c r="AV27" s="513">
        <f t="shared" si="10"/>
        <v>20.64015518913676</v>
      </c>
      <c r="AW27" s="449">
        <f t="shared" si="18"/>
        <v>3247.9</v>
      </c>
      <c r="AX27" s="449">
        <f t="shared" si="19"/>
        <v>2898.5600000000004</v>
      </c>
      <c r="AY27" s="309">
        <f t="shared" si="11"/>
        <v>-10.755873025647332</v>
      </c>
      <c r="AZ27" s="451">
        <f t="shared" si="12"/>
        <v>0.55986851310577068</v>
      </c>
    </row>
    <row r="28" spans="1:52" ht="19.95" customHeight="1">
      <c r="A28" s="478">
        <v>18</v>
      </c>
      <c r="B28" s="164" t="s">
        <v>149</v>
      </c>
      <c r="C28" s="152">
        <v>0.64</v>
      </c>
      <c r="D28" s="482" t="s">
        <v>20</v>
      </c>
      <c r="E28" s="473"/>
      <c r="F28" s="292"/>
      <c r="G28" s="289"/>
      <c r="H28" s="513">
        <f t="shared" si="0"/>
        <v>0</v>
      </c>
      <c r="I28" s="473"/>
      <c r="J28" s="292"/>
      <c r="K28" s="289"/>
      <c r="L28" s="513">
        <f t="shared" si="1"/>
        <v>0</v>
      </c>
      <c r="M28" s="473">
        <v>8.9600000000000009</v>
      </c>
      <c r="N28" s="292"/>
      <c r="O28" s="289">
        <f t="shared" si="22"/>
        <v>-100</v>
      </c>
      <c r="P28" s="513">
        <f t="shared" si="2"/>
        <v>0</v>
      </c>
      <c r="Q28" s="473">
        <v>85.12</v>
      </c>
      <c r="R28" s="292">
        <v>138.88</v>
      </c>
      <c r="S28" s="289">
        <f t="shared" si="13"/>
        <v>63.15789473684211</v>
      </c>
      <c r="T28" s="513">
        <f t="shared" si="3"/>
        <v>0.2008305081902638</v>
      </c>
      <c r="U28" s="473"/>
      <c r="V28" s="292"/>
      <c r="W28" s="289"/>
      <c r="X28" s="513">
        <f t="shared" si="4"/>
        <v>0</v>
      </c>
      <c r="Y28" s="473">
        <v>4.4800000000000004</v>
      </c>
      <c r="Z28" s="292"/>
      <c r="AA28" s="289">
        <f t="shared" si="15"/>
        <v>-100</v>
      </c>
      <c r="AB28" s="513">
        <f t="shared" si="5"/>
        <v>0</v>
      </c>
      <c r="AC28" s="473">
        <v>22.400000000000002</v>
      </c>
      <c r="AD28" s="292"/>
      <c r="AE28" s="289">
        <f t="shared" si="16"/>
        <v>-100</v>
      </c>
      <c r="AF28" s="514">
        <f t="shared" si="6"/>
        <v>0</v>
      </c>
      <c r="AG28" s="473"/>
      <c r="AH28" s="292"/>
      <c r="AI28" s="289"/>
      <c r="AJ28" s="513">
        <f t="shared" si="7"/>
        <v>0</v>
      </c>
      <c r="AK28" s="473"/>
      <c r="AL28" s="292"/>
      <c r="AM28" s="289"/>
      <c r="AN28" s="513">
        <f t="shared" si="8"/>
        <v>0</v>
      </c>
      <c r="AO28" s="473"/>
      <c r="AP28" s="292"/>
      <c r="AQ28" s="289"/>
      <c r="AR28" s="513">
        <f t="shared" si="9"/>
        <v>0</v>
      </c>
      <c r="AS28" s="473"/>
      <c r="AT28" s="292"/>
      <c r="AU28" s="289"/>
      <c r="AV28" s="513">
        <f t="shared" si="10"/>
        <v>0</v>
      </c>
      <c r="AW28" s="449">
        <f t="shared" si="18"/>
        <v>120.96000000000002</v>
      </c>
      <c r="AX28" s="449">
        <f t="shared" si="19"/>
        <v>138.88</v>
      </c>
      <c r="AY28" s="289">
        <f t="shared" si="11"/>
        <v>14.814814814814795</v>
      </c>
      <c r="AZ28" s="451">
        <f t="shared" si="12"/>
        <v>2.6825230148808169E-2</v>
      </c>
    </row>
    <row r="29" spans="1:52" s="310" customFormat="1" ht="19.95" customHeight="1">
      <c r="A29" s="480"/>
      <c r="B29" s="510" t="s">
        <v>149</v>
      </c>
      <c r="C29" s="314"/>
      <c r="D29" s="483"/>
      <c r="E29" s="472">
        <f>SUM(E28)</f>
        <v>0</v>
      </c>
      <c r="F29" s="472">
        <f>SUM(F28)</f>
        <v>0</v>
      </c>
      <c r="G29" s="309"/>
      <c r="H29" s="513">
        <f t="shared" si="0"/>
        <v>0</v>
      </c>
      <c r="I29" s="472">
        <f>SUM(I28)</f>
        <v>0</v>
      </c>
      <c r="J29" s="472">
        <f>SUM(J28)</f>
        <v>0</v>
      </c>
      <c r="K29" s="309"/>
      <c r="L29" s="513">
        <f t="shared" si="1"/>
        <v>0</v>
      </c>
      <c r="M29" s="472">
        <f>SUM(M28)</f>
        <v>8.9600000000000009</v>
      </c>
      <c r="N29" s="472">
        <f>SUM(N28)</f>
        <v>0</v>
      </c>
      <c r="O29" s="309"/>
      <c r="P29" s="513">
        <f t="shared" si="2"/>
        <v>0</v>
      </c>
      <c r="Q29" s="472">
        <f>SUM(Q28)</f>
        <v>85.12</v>
      </c>
      <c r="R29" s="472">
        <f>SUM(R28)</f>
        <v>138.88</v>
      </c>
      <c r="S29" s="309"/>
      <c r="T29" s="513">
        <f t="shared" si="3"/>
        <v>0.2008305081902638</v>
      </c>
      <c r="U29" s="472">
        <f>SUM(U28)</f>
        <v>0</v>
      </c>
      <c r="V29" s="472">
        <f>SUM(V28)</f>
        <v>0</v>
      </c>
      <c r="W29" s="309"/>
      <c r="X29" s="513">
        <f t="shared" si="4"/>
        <v>0</v>
      </c>
      <c r="Y29" s="472">
        <f>SUM(Y28)</f>
        <v>4.4800000000000004</v>
      </c>
      <c r="Z29" s="472">
        <f>SUM(Z28)</f>
        <v>0</v>
      </c>
      <c r="AA29" s="309"/>
      <c r="AB29" s="513">
        <f t="shared" si="5"/>
        <v>0</v>
      </c>
      <c r="AC29" s="472">
        <f>SUM(AC28)</f>
        <v>22.400000000000002</v>
      </c>
      <c r="AD29" s="472">
        <f>SUM(AD28)</f>
        <v>0</v>
      </c>
      <c r="AE29" s="309"/>
      <c r="AF29" s="514">
        <f t="shared" si="6"/>
        <v>0</v>
      </c>
      <c r="AG29" s="472">
        <f>SUM(AG28)</f>
        <v>0</v>
      </c>
      <c r="AH29" s="472">
        <f>SUM(AH28)</f>
        <v>0</v>
      </c>
      <c r="AI29" s="309"/>
      <c r="AJ29" s="513">
        <f t="shared" si="7"/>
        <v>0</v>
      </c>
      <c r="AK29" s="472">
        <f>SUM(AK28)</f>
        <v>0</v>
      </c>
      <c r="AL29" s="472">
        <f>SUM(AL28)</f>
        <v>0</v>
      </c>
      <c r="AM29" s="309"/>
      <c r="AN29" s="513">
        <f t="shared" si="8"/>
        <v>0</v>
      </c>
      <c r="AO29" s="472">
        <f>SUM(AO28)</f>
        <v>0</v>
      </c>
      <c r="AP29" s="472">
        <f>SUM(AP28)</f>
        <v>0</v>
      </c>
      <c r="AQ29" s="309"/>
      <c r="AR29" s="513">
        <f t="shared" si="9"/>
        <v>0</v>
      </c>
      <c r="AS29" s="472">
        <f>SUM(AS28)</f>
        <v>0</v>
      </c>
      <c r="AT29" s="472">
        <f>SUM(AT28)</f>
        <v>0</v>
      </c>
      <c r="AU29" s="309"/>
      <c r="AV29" s="513">
        <f t="shared" si="10"/>
        <v>0</v>
      </c>
      <c r="AW29" s="449">
        <f t="shared" si="18"/>
        <v>120.96000000000002</v>
      </c>
      <c r="AX29" s="449">
        <f t="shared" si="19"/>
        <v>138.88</v>
      </c>
      <c r="AY29" s="309"/>
      <c r="AZ29" s="451">
        <f t="shared" si="12"/>
        <v>2.6825230148808169E-2</v>
      </c>
    </row>
    <row r="30" spans="1:52" ht="19.95" customHeight="1">
      <c r="A30" s="478">
        <v>19</v>
      </c>
      <c r="B30" s="164" t="s">
        <v>33</v>
      </c>
      <c r="C30" s="152">
        <v>0.64</v>
      </c>
      <c r="D30" s="482" t="s">
        <v>18</v>
      </c>
      <c r="E30" s="473">
        <v>483.84000000000003</v>
      </c>
      <c r="F30" s="292">
        <v>844.80000000000007</v>
      </c>
      <c r="G30" s="289">
        <f t="shared" si="20"/>
        <v>74.603174603174608</v>
      </c>
      <c r="H30" s="513">
        <f t="shared" si="0"/>
        <v>0.40843361261657607</v>
      </c>
      <c r="I30" s="473"/>
      <c r="J30" s="292"/>
      <c r="K30" s="289"/>
      <c r="L30" s="513">
        <f t="shared" si="1"/>
        <v>0</v>
      </c>
      <c r="M30" s="473"/>
      <c r="N30" s="292"/>
      <c r="O30" s="289"/>
      <c r="P30" s="513">
        <f t="shared" si="2"/>
        <v>0</v>
      </c>
      <c r="Q30" s="473">
        <v>4715.5200000000004</v>
      </c>
      <c r="R30" s="292">
        <v>3256.32</v>
      </c>
      <c r="S30" s="289">
        <f t="shared" si="13"/>
        <v>-30.944625407166129</v>
      </c>
      <c r="T30" s="513">
        <f t="shared" si="3"/>
        <v>4.7088738510233279</v>
      </c>
      <c r="U30" s="473"/>
      <c r="V30" s="292"/>
      <c r="W30" s="289"/>
      <c r="X30" s="513">
        <f t="shared" si="4"/>
        <v>0</v>
      </c>
      <c r="Y30" s="473">
        <v>230.4</v>
      </c>
      <c r="Z30" s="292">
        <v>268.8</v>
      </c>
      <c r="AA30" s="289">
        <f t="shared" si="15"/>
        <v>16.666666666666671</v>
      </c>
      <c r="AB30" s="513">
        <f t="shared" si="5"/>
        <v>1.5135032871399516</v>
      </c>
      <c r="AC30" s="473"/>
      <c r="AD30" s="292"/>
      <c r="AE30" s="289"/>
      <c r="AF30" s="514">
        <f t="shared" si="6"/>
        <v>0</v>
      </c>
      <c r="AG30" s="473"/>
      <c r="AH30" s="292"/>
      <c r="AI30" s="289"/>
      <c r="AJ30" s="513">
        <f t="shared" si="7"/>
        <v>0</v>
      </c>
      <c r="AK30" s="473">
        <v>1344</v>
      </c>
      <c r="AL30" s="292">
        <v>3264</v>
      </c>
      <c r="AM30" s="289">
        <f t="shared" si="17"/>
        <v>142.85714285714283</v>
      </c>
      <c r="AN30" s="513">
        <f t="shared" si="8"/>
        <v>44.021255361044425</v>
      </c>
      <c r="AO30" s="473"/>
      <c r="AP30" s="292"/>
      <c r="AQ30" s="289"/>
      <c r="AR30" s="513">
        <f t="shared" si="9"/>
        <v>0</v>
      </c>
      <c r="AS30" s="473"/>
      <c r="AT30" s="292"/>
      <c r="AU30" s="289"/>
      <c r="AV30" s="513">
        <f t="shared" si="10"/>
        <v>0</v>
      </c>
      <c r="AW30" s="449">
        <f t="shared" si="18"/>
        <v>6773.76</v>
      </c>
      <c r="AX30" s="449">
        <f t="shared" si="19"/>
        <v>7633.92</v>
      </c>
      <c r="AY30" s="289">
        <f t="shared" si="11"/>
        <v>12.698412698412696</v>
      </c>
      <c r="AZ30" s="451">
        <f t="shared" si="12"/>
        <v>1.4745223281796491</v>
      </c>
    </row>
    <row r="31" spans="1:52" s="310" customFormat="1" ht="19.95" customHeight="1">
      <c r="A31" s="480"/>
      <c r="B31" s="510" t="s">
        <v>33</v>
      </c>
      <c r="C31" s="314"/>
      <c r="D31" s="483"/>
      <c r="E31" s="472">
        <f>SUM(E30)</f>
        <v>483.84000000000003</v>
      </c>
      <c r="F31" s="472">
        <f>SUM(F30)</f>
        <v>844.80000000000007</v>
      </c>
      <c r="G31" s="309">
        <f t="shared" si="20"/>
        <v>74.603174603174608</v>
      </c>
      <c r="H31" s="513">
        <f t="shared" si="0"/>
        <v>0.40843361261657607</v>
      </c>
      <c r="I31" s="472">
        <f>SUM(I30)</f>
        <v>0</v>
      </c>
      <c r="J31" s="472">
        <f>SUM(J30)</f>
        <v>0</v>
      </c>
      <c r="K31" s="309"/>
      <c r="L31" s="513">
        <f t="shared" si="1"/>
        <v>0</v>
      </c>
      <c r="M31" s="472">
        <f>SUM(M30)</f>
        <v>0</v>
      </c>
      <c r="N31" s="472">
        <f>SUM(N30)</f>
        <v>0</v>
      </c>
      <c r="O31" s="309"/>
      <c r="P31" s="513">
        <f t="shared" si="2"/>
        <v>0</v>
      </c>
      <c r="Q31" s="472">
        <f>SUM(Q30)</f>
        <v>4715.5200000000004</v>
      </c>
      <c r="R31" s="472">
        <f>SUM(R30)</f>
        <v>3256.32</v>
      </c>
      <c r="S31" s="309"/>
      <c r="T31" s="513">
        <f t="shared" si="3"/>
        <v>4.7088738510233279</v>
      </c>
      <c r="U31" s="472">
        <f>SUM(U30)</f>
        <v>0</v>
      </c>
      <c r="V31" s="472">
        <f>SUM(V30)</f>
        <v>0</v>
      </c>
      <c r="W31" s="309"/>
      <c r="X31" s="513">
        <f t="shared" si="4"/>
        <v>0</v>
      </c>
      <c r="Y31" s="472">
        <f>SUM(Y30)</f>
        <v>230.4</v>
      </c>
      <c r="Z31" s="472">
        <f>SUM(Z30)</f>
        <v>268.8</v>
      </c>
      <c r="AA31" s="309"/>
      <c r="AB31" s="513">
        <f t="shared" si="5"/>
        <v>1.5135032871399516</v>
      </c>
      <c r="AC31" s="472">
        <f>SUM(AC30)</f>
        <v>0</v>
      </c>
      <c r="AD31" s="472">
        <f>SUM(AD30)</f>
        <v>0</v>
      </c>
      <c r="AE31" s="309"/>
      <c r="AF31" s="514">
        <f t="shared" si="6"/>
        <v>0</v>
      </c>
      <c r="AG31" s="472">
        <f>SUM(AG30)</f>
        <v>0</v>
      </c>
      <c r="AH31" s="472">
        <f>SUM(AH30)</f>
        <v>0</v>
      </c>
      <c r="AI31" s="309"/>
      <c r="AJ31" s="513">
        <f t="shared" si="7"/>
        <v>0</v>
      </c>
      <c r="AK31" s="472">
        <f>SUM(AK30)</f>
        <v>1344</v>
      </c>
      <c r="AL31" s="472">
        <f>SUM(AL30)</f>
        <v>3264</v>
      </c>
      <c r="AM31" s="309"/>
      <c r="AN31" s="513">
        <f t="shared" si="8"/>
        <v>44.021255361044425</v>
      </c>
      <c r="AO31" s="472">
        <f>SUM(AO30)</f>
        <v>0</v>
      </c>
      <c r="AP31" s="472">
        <f>SUM(AP30)</f>
        <v>0</v>
      </c>
      <c r="AQ31" s="309"/>
      <c r="AR31" s="513">
        <f t="shared" si="9"/>
        <v>0</v>
      </c>
      <c r="AS31" s="472">
        <f>SUM(AS30)</f>
        <v>0</v>
      </c>
      <c r="AT31" s="472">
        <f>SUM(AT30)</f>
        <v>0</v>
      </c>
      <c r="AU31" s="309"/>
      <c r="AV31" s="513">
        <f t="shared" si="10"/>
        <v>0</v>
      </c>
      <c r="AW31" s="449">
        <f t="shared" si="18"/>
        <v>6773.76</v>
      </c>
      <c r="AX31" s="449">
        <f t="shared" si="19"/>
        <v>7633.92</v>
      </c>
      <c r="AY31" s="309"/>
      <c r="AZ31" s="451">
        <f t="shared" si="12"/>
        <v>1.4745223281796491</v>
      </c>
    </row>
    <row r="32" spans="1:52" ht="19.95" customHeight="1">
      <c r="A32" s="478">
        <v>20</v>
      </c>
      <c r="B32" s="164" t="s">
        <v>42</v>
      </c>
      <c r="C32" s="152">
        <v>0.64</v>
      </c>
      <c r="D32" s="482" t="s">
        <v>20</v>
      </c>
      <c r="E32" s="473">
        <v>3982.72</v>
      </c>
      <c r="F32" s="292">
        <v>6442.2400000000007</v>
      </c>
      <c r="G32" s="289">
        <f t="shared" si="20"/>
        <v>61.754780652418475</v>
      </c>
      <c r="H32" s="513">
        <f t="shared" si="0"/>
        <v>3.1146157156048897</v>
      </c>
      <c r="I32" s="473">
        <v>1859.2</v>
      </c>
      <c r="J32" s="292">
        <v>268.8</v>
      </c>
      <c r="K32" s="289">
        <f t="shared" si="21"/>
        <v>-85.5421686746988</v>
      </c>
      <c r="L32" s="513">
        <f t="shared" si="1"/>
        <v>2.6669629958884324</v>
      </c>
      <c r="M32" s="473"/>
      <c r="N32" s="292"/>
      <c r="O32" s="289"/>
      <c r="P32" s="513">
        <f t="shared" si="2"/>
        <v>0</v>
      </c>
      <c r="Q32" s="473">
        <v>2244.48</v>
      </c>
      <c r="R32" s="292">
        <v>3095.6800000000003</v>
      </c>
      <c r="S32" s="289">
        <f t="shared" si="13"/>
        <v>37.924151696606799</v>
      </c>
      <c r="T32" s="513">
        <f t="shared" si="3"/>
        <v>4.4765768115958808</v>
      </c>
      <c r="U32" s="473">
        <v>2307.1999999999998</v>
      </c>
      <c r="V32" s="292">
        <v>2105.6000000000004</v>
      </c>
      <c r="W32" s="289">
        <f t="shared" si="14"/>
        <v>-8.737864077669883</v>
      </c>
      <c r="X32" s="513">
        <f t="shared" si="4"/>
        <v>4.887832417174268</v>
      </c>
      <c r="Y32" s="473"/>
      <c r="Z32" s="292"/>
      <c r="AA32" s="289"/>
      <c r="AB32" s="513">
        <f t="shared" si="5"/>
        <v>0</v>
      </c>
      <c r="AC32" s="473"/>
      <c r="AD32" s="292"/>
      <c r="AE32" s="289"/>
      <c r="AF32" s="514">
        <f t="shared" si="6"/>
        <v>0</v>
      </c>
      <c r="AG32" s="473"/>
      <c r="AH32" s="292"/>
      <c r="AI32" s="289"/>
      <c r="AJ32" s="513">
        <f t="shared" si="7"/>
        <v>0</v>
      </c>
      <c r="AK32" s="473"/>
      <c r="AL32" s="292"/>
      <c r="AM32" s="289"/>
      <c r="AN32" s="513">
        <f t="shared" si="8"/>
        <v>0</v>
      </c>
      <c r="AO32" s="473"/>
      <c r="AP32" s="292"/>
      <c r="AQ32" s="289"/>
      <c r="AR32" s="513">
        <f t="shared" si="9"/>
        <v>0</v>
      </c>
      <c r="AS32" s="473"/>
      <c r="AT32" s="292"/>
      <c r="AU32" s="289"/>
      <c r="AV32" s="513">
        <f t="shared" si="10"/>
        <v>0</v>
      </c>
      <c r="AW32" s="449">
        <f t="shared" si="18"/>
        <v>10393.599999999999</v>
      </c>
      <c r="AX32" s="449">
        <f t="shared" si="19"/>
        <v>11912.320000000002</v>
      </c>
      <c r="AY32" s="289">
        <f t="shared" si="11"/>
        <v>14.612068965517281</v>
      </c>
      <c r="AZ32" s="451">
        <f t="shared" si="12"/>
        <v>2.3009124827639011</v>
      </c>
    </row>
    <row r="33" spans="1:52" s="310" customFormat="1" ht="19.95" customHeight="1">
      <c r="A33" s="480"/>
      <c r="B33" s="313" t="s">
        <v>170</v>
      </c>
      <c r="C33" s="314"/>
      <c r="D33" s="483"/>
      <c r="E33" s="472">
        <f>SUM(E32)</f>
        <v>3982.72</v>
      </c>
      <c r="F33" s="472">
        <f>SUM(F32)</f>
        <v>6442.2400000000007</v>
      </c>
      <c r="G33" s="309">
        <f t="shared" si="20"/>
        <v>61.754780652418475</v>
      </c>
      <c r="H33" s="513">
        <f t="shared" si="0"/>
        <v>3.1146157156048897</v>
      </c>
      <c r="I33" s="472">
        <f>SUM(I32)</f>
        <v>1859.2</v>
      </c>
      <c r="J33" s="472">
        <f>SUM(J32)</f>
        <v>268.8</v>
      </c>
      <c r="K33" s="309">
        <f t="shared" si="21"/>
        <v>-85.5421686746988</v>
      </c>
      <c r="L33" s="513">
        <f t="shared" si="1"/>
        <v>2.6669629958884324</v>
      </c>
      <c r="M33" s="472">
        <f>SUM(M32)</f>
        <v>0</v>
      </c>
      <c r="N33" s="472">
        <f>SUM(N32)</f>
        <v>0</v>
      </c>
      <c r="O33" s="309"/>
      <c r="P33" s="513">
        <f t="shared" si="2"/>
        <v>0</v>
      </c>
      <c r="Q33" s="472">
        <f>SUM(Q32)</f>
        <v>2244.48</v>
      </c>
      <c r="R33" s="472">
        <f>SUM(R32)</f>
        <v>3095.6800000000003</v>
      </c>
      <c r="S33" s="309">
        <f t="shared" si="13"/>
        <v>37.924151696606799</v>
      </c>
      <c r="T33" s="513">
        <f t="shared" si="3"/>
        <v>4.4765768115958808</v>
      </c>
      <c r="U33" s="472">
        <f>SUM(U32)</f>
        <v>2307.1999999999998</v>
      </c>
      <c r="V33" s="472">
        <f>SUM(V32)</f>
        <v>2105.6000000000004</v>
      </c>
      <c r="W33" s="309">
        <f t="shared" si="14"/>
        <v>-8.737864077669883</v>
      </c>
      <c r="X33" s="513">
        <f t="shared" si="4"/>
        <v>4.887832417174268</v>
      </c>
      <c r="Y33" s="472">
        <f>SUM(Y32)</f>
        <v>0</v>
      </c>
      <c r="Z33" s="472">
        <f>SUM(Z32)</f>
        <v>0</v>
      </c>
      <c r="AA33" s="309"/>
      <c r="AB33" s="513">
        <f t="shared" si="5"/>
        <v>0</v>
      </c>
      <c r="AC33" s="472">
        <f>SUM(AC32)</f>
        <v>0</v>
      </c>
      <c r="AD33" s="472">
        <f>SUM(AD32)</f>
        <v>0</v>
      </c>
      <c r="AE33" s="309"/>
      <c r="AF33" s="514">
        <f t="shared" si="6"/>
        <v>0</v>
      </c>
      <c r="AG33" s="472">
        <f>SUM(AG32)</f>
        <v>0</v>
      </c>
      <c r="AH33" s="472">
        <f>SUM(AH32)</f>
        <v>0</v>
      </c>
      <c r="AI33" s="309"/>
      <c r="AJ33" s="513">
        <f t="shared" si="7"/>
        <v>0</v>
      </c>
      <c r="AK33" s="472">
        <f>SUM(AK32)</f>
        <v>0</v>
      </c>
      <c r="AL33" s="472">
        <f>SUM(AL32)</f>
        <v>0</v>
      </c>
      <c r="AM33" s="309"/>
      <c r="AN33" s="513">
        <f t="shared" si="8"/>
        <v>0</v>
      </c>
      <c r="AO33" s="472">
        <f>SUM(AO32)</f>
        <v>0</v>
      </c>
      <c r="AP33" s="472">
        <f>SUM(AP32)</f>
        <v>0</v>
      </c>
      <c r="AQ33" s="309"/>
      <c r="AR33" s="513">
        <f t="shared" si="9"/>
        <v>0</v>
      </c>
      <c r="AS33" s="472">
        <f>SUM(AS32)</f>
        <v>0</v>
      </c>
      <c r="AT33" s="472">
        <f>SUM(AT32)</f>
        <v>0</v>
      </c>
      <c r="AU33" s="309"/>
      <c r="AV33" s="513">
        <f t="shared" si="10"/>
        <v>0</v>
      </c>
      <c r="AW33" s="449">
        <f t="shared" si="18"/>
        <v>10393.599999999999</v>
      </c>
      <c r="AX33" s="449">
        <f t="shared" si="19"/>
        <v>11912.320000000002</v>
      </c>
      <c r="AY33" s="309">
        <f t="shared" si="11"/>
        <v>14.612068965517281</v>
      </c>
      <c r="AZ33" s="451">
        <f t="shared" si="12"/>
        <v>2.3009124827639011</v>
      </c>
    </row>
    <row r="34" spans="1:52" ht="19.95" customHeight="1">
      <c r="A34" s="478">
        <v>21</v>
      </c>
      <c r="B34" s="164" t="s">
        <v>34</v>
      </c>
      <c r="C34" s="152">
        <v>0.6</v>
      </c>
      <c r="D34" s="482" t="s">
        <v>18</v>
      </c>
      <c r="E34" s="473">
        <v>439.20000000000005</v>
      </c>
      <c r="F34" s="292">
        <v>432</v>
      </c>
      <c r="G34" s="289">
        <f t="shared" si="20"/>
        <v>-1.6393442622950971</v>
      </c>
      <c r="H34" s="513">
        <f t="shared" si="0"/>
        <v>0.20885809736074909</v>
      </c>
      <c r="I34" s="473">
        <v>223.2</v>
      </c>
      <c r="J34" s="292">
        <v>86.399999999999991</v>
      </c>
      <c r="K34" s="289">
        <f t="shared" si="21"/>
        <v>-61.29032258064516</v>
      </c>
      <c r="L34" s="513">
        <f t="shared" si="1"/>
        <v>0.85723810582128168</v>
      </c>
      <c r="M34" s="473">
        <v>1765.8000000000002</v>
      </c>
      <c r="N34" s="292">
        <v>867.59999999999991</v>
      </c>
      <c r="O34" s="289">
        <f t="shared" si="22"/>
        <v>-50.866462793068308</v>
      </c>
      <c r="P34" s="513">
        <f t="shared" si="2"/>
        <v>1.3608404209131493</v>
      </c>
      <c r="Q34" s="473">
        <v>5983.2000000000007</v>
      </c>
      <c r="R34" s="292">
        <v>6883.1999999999989</v>
      </c>
      <c r="S34" s="289">
        <f t="shared" si="13"/>
        <v>15.04211793020454</v>
      </c>
      <c r="T34" s="513">
        <f t="shared" si="3"/>
        <v>9.9536042192916447</v>
      </c>
      <c r="U34" s="473"/>
      <c r="V34" s="292"/>
      <c r="W34" s="289"/>
      <c r="X34" s="513">
        <f t="shared" si="4"/>
        <v>0</v>
      </c>
      <c r="Y34" s="473">
        <v>1980.8999999999999</v>
      </c>
      <c r="Z34" s="292">
        <v>3289.8</v>
      </c>
      <c r="AA34" s="289">
        <f t="shared" si="15"/>
        <v>66.076026048765726</v>
      </c>
      <c r="AB34" s="513">
        <f t="shared" si="5"/>
        <v>18.523523489706147</v>
      </c>
      <c r="AC34" s="473">
        <v>11995.2</v>
      </c>
      <c r="AD34" s="292">
        <v>6386.4</v>
      </c>
      <c r="AE34" s="289">
        <f t="shared" si="16"/>
        <v>-46.758703481392558</v>
      </c>
      <c r="AF34" s="514">
        <f t="shared" si="6"/>
        <v>8.3025355338224553</v>
      </c>
      <c r="AG34" s="473"/>
      <c r="AH34" s="292"/>
      <c r="AI34" s="289"/>
      <c r="AJ34" s="513">
        <f t="shared" si="7"/>
        <v>0</v>
      </c>
      <c r="AK34" s="473"/>
      <c r="AL34" s="292"/>
      <c r="AM34" s="289"/>
      <c r="AN34" s="513">
        <f t="shared" si="8"/>
        <v>0</v>
      </c>
      <c r="AO34" s="473">
        <v>349.2</v>
      </c>
      <c r="AP34" s="292">
        <v>21.599999999999998</v>
      </c>
      <c r="AQ34" s="289">
        <f t="shared" si="24"/>
        <v>-93.814432989690715</v>
      </c>
      <c r="AR34" s="513">
        <f t="shared" si="9"/>
        <v>0.18694953747299617</v>
      </c>
      <c r="AS34" s="473"/>
      <c r="AT34" s="292"/>
      <c r="AU34" s="289"/>
      <c r="AV34" s="513">
        <f t="shared" si="10"/>
        <v>0</v>
      </c>
      <c r="AW34" s="449">
        <f t="shared" si="18"/>
        <v>22736.7</v>
      </c>
      <c r="AX34" s="449">
        <f t="shared" si="19"/>
        <v>17967</v>
      </c>
      <c r="AY34" s="289">
        <f t="shared" si="11"/>
        <v>-20.977978334586808</v>
      </c>
      <c r="AZ34" s="451">
        <f t="shared" si="12"/>
        <v>3.4703982580907002</v>
      </c>
    </row>
    <row r="35" spans="1:52" ht="19.95" customHeight="1">
      <c r="A35" s="478">
        <v>22</v>
      </c>
      <c r="B35" s="164" t="s">
        <v>35</v>
      </c>
      <c r="C35" s="152">
        <v>0.64</v>
      </c>
      <c r="D35" s="482" t="s">
        <v>20</v>
      </c>
      <c r="E35" s="473"/>
      <c r="F35" s="232"/>
      <c r="G35" s="289"/>
      <c r="H35" s="513">
        <f t="shared" ref="H35:H58" si="27">F35/$F$58%</f>
        <v>0</v>
      </c>
      <c r="I35" s="473"/>
      <c r="J35" s="232"/>
      <c r="K35" s="289"/>
      <c r="L35" s="513">
        <f t="shared" ref="L35:L58" si="28">J35/$J$58%</f>
        <v>0</v>
      </c>
      <c r="M35" s="473">
        <v>8.9600000000000009</v>
      </c>
      <c r="N35" s="232"/>
      <c r="O35" s="289">
        <f t="shared" si="22"/>
        <v>-100</v>
      </c>
      <c r="P35" s="513">
        <f t="shared" ref="P35:P58" si="29">N35/$N$58%</f>
        <v>0</v>
      </c>
      <c r="Q35" s="473"/>
      <c r="R35" s="232"/>
      <c r="S35" s="289"/>
      <c r="T35" s="513">
        <f t="shared" ref="T35:T58" si="30">R35/$R$58%</f>
        <v>0</v>
      </c>
      <c r="U35" s="473"/>
      <c r="V35" s="232"/>
      <c r="W35" s="289"/>
      <c r="X35" s="513">
        <f t="shared" ref="X35:X58" si="31">V35/$V$58%</f>
        <v>0</v>
      </c>
      <c r="Y35" s="473"/>
      <c r="Z35" s="232"/>
      <c r="AA35" s="289"/>
      <c r="AB35" s="513">
        <f t="shared" ref="AB35:AB58" si="32">Z35/$Z$58%</f>
        <v>0</v>
      </c>
      <c r="AC35" s="473"/>
      <c r="AD35" s="232"/>
      <c r="AE35" s="289"/>
      <c r="AF35" s="514">
        <f t="shared" ref="AF35:AF58" si="33">AD35/$AD$58%</f>
        <v>0</v>
      </c>
      <c r="AG35" s="473"/>
      <c r="AH35" s="232"/>
      <c r="AI35" s="289"/>
      <c r="AJ35" s="513">
        <f t="shared" ref="AJ35:AJ58" si="34">AH35/$AH$58%</f>
        <v>0</v>
      </c>
      <c r="AK35" s="473"/>
      <c r="AL35" s="232"/>
      <c r="AM35" s="289"/>
      <c r="AN35" s="513">
        <f t="shared" ref="AN35:AN58" si="35">AL35/$AL$58%</f>
        <v>0</v>
      </c>
      <c r="AO35" s="473">
        <v>22.5</v>
      </c>
      <c r="AP35" s="232">
        <v>134.4</v>
      </c>
      <c r="AQ35" s="289">
        <f t="shared" si="24"/>
        <v>497.33333333333337</v>
      </c>
      <c r="AR35" s="513">
        <f t="shared" ref="AR35:AR58" si="36">AP35/$AP$58%</f>
        <v>1.1632415664986431</v>
      </c>
      <c r="AS35" s="473">
        <v>761.6</v>
      </c>
      <c r="AT35" s="232"/>
      <c r="AU35" s="289">
        <f t="shared" si="25"/>
        <v>-100</v>
      </c>
      <c r="AV35" s="513">
        <f t="shared" ref="AV35:AV58" si="37">AT35/$AT$58%</f>
        <v>0</v>
      </c>
      <c r="AW35" s="449">
        <f t="shared" si="18"/>
        <v>793.06000000000006</v>
      </c>
      <c r="AX35" s="449">
        <f t="shared" si="19"/>
        <v>134.4</v>
      </c>
      <c r="AY35" s="289">
        <f t="shared" si="11"/>
        <v>-83.052984641767324</v>
      </c>
      <c r="AZ35" s="451">
        <f t="shared" ref="AZ35:AZ57" si="38">AX35/$AX$58%</f>
        <v>2.5959900144007911E-2</v>
      </c>
    </row>
    <row r="36" spans="1:52" ht="19.95" customHeight="1">
      <c r="A36" s="478">
        <v>23</v>
      </c>
      <c r="B36" s="164" t="s">
        <v>36</v>
      </c>
      <c r="C36" s="152">
        <v>1</v>
      </c>
      <c r="D36" s="482" t="s">
        <v>18</v>
      </c>
      <c r="E36" s="473"/>
      <c r="F36" s="232"/>
      <c r="G36" s="289"/>
      <c r="H36" s="513">
        <f t="shared" si="27"/>
        <v>0</v>
      </c>
      <c r="I36" s="473"/>
      <c r="J36" s="232"/>
      <c r="K36" s="289"/>
      <c r="L36" s="513">
        <f t="shared" si="28"/>
        <v>0</v>
      </c>
      <c r="M36" s="473"/>
      <c r="N36" s="232"/>
      <c r="O36" s="289"/>
      <c r="P36" s="513">
        <f t="shared" si="29"/>
        <v>0</v>
      </c>
      <c r="Q36" s="473"/>
      <c r="R36" s="232"/>
      <c r="S36" s="289"/>
      <c r="T36" s="513">
        <f t="shared" si="30"/>
        <v>0</v>
      </c>
      <c r="U36" s="473"/>
      <c r="V36" s="232"/>
      <c r="W36" s="289"/>
      <c r="X36" s="513">
        <f t="shared" si="31"/>
        <v>0</v>
      </c>
      <c r="Y36" s="473"/>
      <c r="Z36" s="232"/>
      <c r="AA36" s="289"/>
      <c r="AB36" s="513">
        <f t="shared" si="32"/>
        <v>0</v>
      </c>
      <c r="AC36" s="473"/>
      <c r="AD36" s="232"/>
      <c r="AE36" s="289"/>
      <c r="AF36" s="514">
        <f t="shared" si="33"/>
        <v>0</v>
      </c>
      <c r="AG36" s="473"/>
      <c r="AH36" s="232"/>
      <c r="AI36" s="289"/>
      <c r="AJ36" s="513">
        <f t="shared" si="34"/>
        <v>0</v>
      </c>
      <c r="AK36" s="473"/>
      <c r="AL36" s="232"/>
      <c r="AM36" s="289"/>
      <c r="AN36" s="513">
        <f t="shared" si="35"/>
        <v>0</v>
      </c>
      <c r="AO36" s="473"/>
      <c r="AP36" s="232"/>
      <c r="AQ36" s="289"/>
      <c r="AR36" s="513">
        <f t="shared" si="36"/>
        <v>0</v>
      </c>
      <c r="AS36" s="473"/>
      <c r="AT36" s="232"/>
      <c r="AU36" s="289"/>
      <c r="AV36" s="513">
        <f t="shared" si="37"/>
        <v>0</v>
      </c>
      <c r="AW36" s="449">
        <f t="shared" si="18"/>
        <v>0</v>
      </c>
      <c r="AX36" s="449">
        <f t="shared" si="19"/>
        <v>0</v>
      </c>
      <c r="AY36" s="289"/>
      <c r="AZ36" s="451">
        <f t="shared" si="38"/>
        <v>0</v>
      </c>
    </row>
    <row r="37" spans="1:52" ht="19.95" customHeight="1">
      <c r="A37" s="478">
        <v>24</v>
      </c>
      <c r="B37" s="164" t="s">
        <v>36</v>
      </c>
      <c r="C37" s="152">
        <v>1</v>
      </c>
      <c r="D37" s="482" t="s">
        <v>15</v>
      </c>
      <c r="E37" s="473">
        <v>174</v>
      </c>
      <c r="F37" s="232">
        <v>414</v>
      </c>
      <c r="G37" s="289"/>
      <c r="H37" s="513">
        <f t="shared" si="27"/>
        <v>0.20015567663738457</v>
      </c>
      <c r="I37" s="473">
        <v>607</v>
      </c>
      <c r="J37" s="232">
        <v>498</v>
      </c>
      <c r="K37" s="289">
        <f t="shared" si="21"/>
        <v>-17.957166392092262</v>
      </c>
      <c r="L37" s="513">
        <f t="shared" si="28"/>
        <v>4.9410251932754434</v>
      </c>
      <c r="M37" s="473">
        <v>1145</v>
      </c>
      <c r="N37" s="232">
        <v>1236</v>
      </c>
      <c r="O37" s="289">
        <f t="shared" si="22"/>
        <v>7.9475982532751175</v>
      </c>
      <c r="P37" s="513">
        <f t="shared" si="29"/>
        <v>1.9386799910657593</v>
      </c>
      <c r="Q37" s="473">
        <v>2119.5</v>
      </c>
      <c r="R37" s="232">
        <v>2052</v>
      </c>
      <c r="S37" s="289">
        <f t="shared" si="13"/>
        <v>-3.1847133757961785</v>
      </c>
      <c r="T37" s="513">
        <f t="shared" si="30"/>
        <v>2.967340169977112</v>
      </c>
      <c r="U37" s="473">
        <v>210</v>
      </c>
      <c r="V37" s="232"/>
      <c r="W37" s="289">
        <f t="shared" si="14"/>
        <v>-100</v>
      </c>
      <c r="X37" s="513">
        <f t="shared" si="31"/>
        <v>0</v>
      </c>
      <c r="Y37" s="473">
        <v>729.5</v>
      </c>
      <c r="Z37" s="232">
        <v>924</v>
      </c>
      <c r="AA37" s="289"/>
      <c r="AB37" s="513">
        <f t="shared" si="32"/>
        <v>5.202667549543583</v>
      </c>
      <c r="AC37" s="473">
        <v>708</v>
      </c>
      <c r="AD37" s="232">
        <v>1566</v>
      </c>
      <c r="AE37" s="289">
        <f t="shared" si="16"/>
        <v>121.18644067796609</v>
      </c>
      <c r="AF37" s="514">
        <f t="shared" si="33"/>
        <v>2.0358528507400049</v>
      </c>
      <c r="AG37" s="473">
        <v>240</v>
      </c>
      <c r="AH37" s="232"/>
      <c r="AI37" s="289">
        <f t="shared" si="23"/>
        <v>-100</v>
      </c>
      <c r="AJ37" s="513">
        <f t="shared" si="34"/>
        <v>0</v>
      </c>
      <c r="AK37" s="473"/>
      <c r="AL37" s="232"/>
      <c r="AM37" s="289"/>
      <c r="AN37" s="513">
        <f t="shared" si="35"/>
        <v>0</v>
      </c>
      <c r="AO37" s="473">
        <v>162</v>
      </c>
      <c r="AP37" s="232">
        <v>4824</v>
      </c>
      <c r="AQ37" s="289">
        <f t="shared" si="24"/>
        <v>2877.7777777777778</v>
      </c>
      <c r="AR37" s="513">
        <f t="shared" si="36"/>
        <v>41.752063368969146</v>
      </c>
      <c r="AS37" s="473">
        <v>1794</v>
      </c>
      <c r="AT37" s="232">
        <v>300</v>
      </c>
      <c r="AU37" s="289"/>
      <c r="AV37" s="513">
        <f t="shared" si="37"/>
        <v>3.6372453928225021</v>
      </c>
      <c r="AW37" s="449">
        <f t="shared" si="18"/>
        <v>7889</v>
      </c>
      <c r="AX37" s="449">
        <f t="shared" si="19"/>
        <v>11814</v>
      </c>
      <c r="AY37" s="289">
        <f t="shared" si="11"/>
        <v>49.752820382811507</v>
      </c>
      <c r="AZ37" s="451">
        <f t="shared" si="38"/>
        <v>2.2819215796228378</v>
      </c>
    </row>
    <row r="38" spans="1:52" ht="19.95" customHeight="1">
      <c r="A38" s="478">
        <v>25</v>
      </c>
      <c r="B38" s="164" t="s">
        <v>37</v>
      </c>
      <c r="C38" s="152">
        <v>0.6</v>
      </c>
      <c r="D38" s="482" t="s">
        <v>18</v>
      </c>
      <c r="E38" s="473">
        <v>0</v>
      </c>
      <c r="F38" s="232">
        <v>21.599999999999998</v>
      </c>
      <c r="G38" s="289"/>
      <c r="H38" s="513">
        <f t="shared" si="27"/>
        <v>1.0442904868037454E-2</v>
      </c>
      <c r="I38" s="473">
        <v>28.799999999999997</v>
      </c>
      <c r="J38" s="232">
        <v>64.8</v>
      </c>
      <c r="K38" s="289"/>
      <c r="L38" s="513">
        <f t="shared" si="28"/>
        <v>0.64292857936596126</v>
      </c>
      <c r="M38" s="473">
        <v>273.59999999999997</v>
      </c>
      <c r="N38" s="232">
        <v>21.599999999999998</v>
      </c>
      <c r="O38" s="289">
        <f t="shared" si="22"/>
        <v>-92.10526315789474</v>
      </c>
      <c r="P38" s="513">
        <f t="shared" si="29"/>
        <v>3.3879844504061805E-2</v>
      </c>
      <c r="Q38" s="473">
        <v>237.6</v>
      </c>
      <c r="R38" s="232">
        <v>72</v>
      </c>
      <c r="S38" s="289">
        <f t="shared" si="13"/>
        <v>-69.696969696969688</v>
      </c>
      <c r="T38" s="513">
        <f t="shared" si="30"/>
        <v>0.10411719894656533</v>
      </c>
      <c r="U38" s="473"/>
      <c r="V38" s="232"/>
      <c r="W38" s="289"/>
      <c r="X38" s="513">
        <f t="shared" si="31"/>
        <v>0</v>
      </c>
      <c r="Y38" s="473">
        <v>423.9</v>
      </c>
      <c r="Z38" s="232">
        <v>363.59999999999997</v>
      </c>
      <c r="AA38" s="289">
        <f t="shared" si="15"/>
        <v>-14.225053078556272</v>
      </c>
      <c r="AB38" s="513">
        <f t="shared" si="32"/>
        <v>2.0472834643009161</v>
      </c>
      <c r="AC38" s="473">
        <v>698.4</v>
      </c>
      <c r="AD38" s="232"/>
      <c r="AE38" s="289">
        <f t="shared" si="16"/>
        <v>-100</v>
      </c>
      <c r="AF38" s="514">
        <f t="shared" si="33"/>
        <v>0</v>
      </c>
      <c r="AG38" s="473">
        <v>216</v>
      </c>
      <c r="AH38" s="232"/>
      <c r="AI38" s="289">
        <f t="shared" si="23"/>
        <v>-100</v>
      </c>
      <c r="AJ38" s="513">
        <f t="shared" si="34"/>
        <v>0</v>
      </c>
      <c r="AK38" s="473"/>
      <c r="AL38" s="232"/>
      <c r="AM38" s="289"/>
      <c r="AN38" s="513">
        <f t="shared" si="35"/>
        <v>0</v>
      </c>
      <c r="AO38" s="473">
        <v>21.5</v>
      </c>
      <c r="AP38" s="232"/>
      <c r="AQ38" s="289"/>
      <c r="AR38" s="513">
        <f t="shared" si="36"/>
        <v>0</v>
      </c>
      <c r="AS38" s="473"/>
      <c r="AT38" s="232"/>
      <c r="AU38" s="289"/>
      <c r="AV38" s="513">
        <f t="shared" si="37"/>
        <v>0</v>
      </c>
      <c r="AW38" s="449">
        <f t="shared" si="18"/>
        <v>1899.8</v>
      </c>
      <c r="AX38" s="449">
        <f t="shared" si="19"/>
        <v>543.59999999999991</v>
      </c>
      <c r="AY38" s="289">
        <f t="shared" si="11"/>
        <v>-71.386461732813984</v>
      </c>
      <c r="AZ38" s="451">
        <f t="shared" si="38"/>
        <v>0.1049985246896034</v>
      </c>
    </row>
    <row r="39" spans="1:52" s="310" customFormat="1" ht="19.95" customHeight="1">
      <c r="A39" s="480"/>
      <c r="B39" s="313" t="s">
        <v>171</v>
      </c>
      <c r="C39" s="314"/>
      <c r="D39" s="483"/>
      <c r="E39" s="472">
        <f>SUM(E34:E38)</f>
        <v>613.20000000000005</v>
      </c>
      <c r="F39" s="312">
        <f>SUM(F34:F38)</f>
        <v>867.6</v>
      </c>
      <c r="G39" s="309">
        <f t="shared" si="20"/>
        <v>41.487279843444213</v>
      </c>
      <c r="H39" s="513">
        <f t="shared" si="27"/>
        <v>0.41945667886617111</v>
      </c>
      <c r="I39" s="472">
        <f>SUM(I34:I38)</f>
        <v>859</v>
      </c>
      <c r="J39" s="312">
        <f>SUM(J34:J38)</f>
        <v>649.19999999999993</v>
      </c>
      <c r="K39" s="309">
        <f t="shared" si="21"/>
        <v>-24.423748544819574</v>
      </c>
      <c r="L39" s="513">
        <f t="shared" si="28"/>
        <v>6.4411918784626856</v>
      </c>
      <c r="M39" s="472">
        <f>SUM(M34:M38)</f>
        <v>3193.36</v>
      </c>
      <c r="N39" s="312">
        <f>SUM(N34:N38)</f>
        <v>2125.1999999999998</v>
      </c>
      <c r="O39" s="309">
        <f t="shared" si="22"/>
        <v>-33.449407520605263</v>
      </c>
      <c r="P39" s="513">
        <f t="shared" si="29"/>
        <v>3.3334002564829701</v>
      </c>
      <c r="Q39" s="472">
        <f>SUM(Q34:Q38)</f>
        <v>8340.3000000000011</v>
      </c>
      <c r="R39" s="312">
        <f>SUM(R34:R38)</f>
        <v>9007.1999999999989</v>
      </c>
      <c r="S39" s="309">
        <f t="shared" si="13"/>
        <v>7.9961152476529378</v>
      </c>
      <c r="T39" s="513">
        <f t="shared" si="30"/>
        <v>13.025061588215321</v>
      </c>
      <c r="U39" s="472">
        <f>SUM(U34:U38)</f>
        <v>210</v>
      </c>
      <c r="V39" s="312">
        <f>SUM(V34:V38)</f>
        <v>0</v>
      </c>
      <c r="W39" s="309">
        <f t="shared" si="14"/>
        <v>-100</v>
      </c>
      <c r="X39" s="513">
        <f t="shared" si="31"/>
        <v>0</v>
      </c>
      <c r="Y39" s="472">
        <f>SUM(Y34:Y38)</f>
        <v>3134.2999999999997</v>
      </c>
      <c r="Z39" s="312">
        <f>SUM(Z34:Z38)</f>
        <v>4577.4000000000005</v>
      </c>
      <c r="AA39" s="309">
        <f t="shared" si="15"/>
        <v>46.042178476852911</v>
      </c>
      <c r="AB39" s="513">
        <f t="shared" si="32"/>
        <v>25.773474503550649</v>
      </c>
      <c r="AC39" s="472">
        <f>SUM(AC34:AC38)</f>
        <v>13401.6</v>
      </c>
      <c r="AD39" s="312">
        <f>SUM(AD34:AD38)</f>
        <v>7952.4</v>
      </c>
      <c r="AE39" s="309">
        <f t="shared" si="16"/>
        <v>-40.660816618911177</v>
      </c>
      <c r="AF39" s="514">
        <f t="shared" si="33"/>
        <v>10.33838838456246</v>
      </c>
      <c r="AG39" s="472">
        <f>SUM(AG34:AG38)</f>
        <v>456</v>
      </c>
      <c r="AH39" s="312">
        <f>SUM(AH34:AH38)</f>
        <v>0</v>
      </c>
      <c r="AI39" s="309">
        <f t="shared" si="23"/>
        <v>-100</v>
      </c>
      <c r="AJ39" s="513">
        <f t="shared" si="34"/>
        <v>0</v>
      </c>
      <c r="AK39" s="472">
        <f>SUM(AK34:AK38)</f>
        <v>0</v>
      </c>
      <c r="AL39" s="312">
        <f>SUM(AL34:AL38)</f>
        <v>0</v>
      </c>
      <c r="AM39" s="309"/>
      <c r="AN39" s="513">
        <f t="shared" si="35"/>
        <v>0</v>
      </c>
      <c r="AO39" s="472">
        <f>SUM(AO34:AO38)</f>
        <v>555.20000000000005</v>
      </c>
      <c r="AP39" s="312">
        <f>SUM(AP34:AP38)</f>
        <v>4980</v>
      </c>
      <c r="AQ39" s="309">
        <f t="shared" si="24"/>
        <v>796.97406340057637</v>
      </c>
      <c r="AR39" s="513">
        <f t="shared" si="36"/>
        <v>43.102254472940785</v>
      </c>
      <c r="AS39" s="472">
        <f>SUM(AS34:AS38)</f>
        <v>2555.6</v>
      </c>
      <c r="AT39" s="312">
        <f>SUM(AT34:AT38)</f>
        <v>300</v>
      </c>
      <c r="AU39" s="309">
        <f t="shared" si="25"/>
        <v>-88.261073720457034</v>
      </c>
      <c r="AV39" s="513">
        <f t="shared" si="37"/>
        <v>3.6372453928225021</v>
      </c>
      <c r="AW39" s="449">
        <f t="shared" si="18"/>
        <v>33318.560000000005</v>
      </c>
      <c r="AX39" s="449">
        <f t="shared" si="19"/>
        <v>30459</v>
      </c>
      <c r="AY39" s="309">
        <f t="shared" si="11"/>
        <v>-8.5824837568010253</v>
      </c>
      <c r="AZ39" s="451">
        <f t="shared" si="38"/>
        <v>5.8832782625471491</v>
      </c>
    </row>
    <row r="40" spans="1:52" ht="19.95" customHeight="1">
      <c r="A40" s="478">
        <v>26</v>
      </c>
      <c r="B40" s="164" t="s">
        <v>40</v>
      </c>
      <c r="C40" s="152">
        <v>0.75</v>
      </c>
      <c r="D40" s="482"/>
      <c r="E40" s="473"/>
      <c r="F40" s="232"/>
      <c r="G40" s="289"/>
      <c r="H40" s="513">
        <f t="shared" si="27"/>
        <v>0</v>
      </c>
      <c r="I40" s="473"/>
      <c r="J40" s="232"/>
      <c r="K40" s="289"/>
      <c r="L40" s="513">
        <f t="shared" si="28"/>
        <v>0</v>
      </c>
      <c r="M40" s="473"/>
      <c r="N40" s="232"/>
      <c r="O40" s="289"/>
      <c r="P40" s="513">
        <f t="shared" si="29"/>
        <v>0</v>
      </c>
      <c r="Q40" s="473"/>
      <c r="R40" s="232"/>
      <c r="S40" s="289"/>
      <c r="T40" s="513">
        <f t="shared" si="30"/>
        <v>0</v>
      </c>
      <c r="U40" s="473"/>
      <c r="V40" s="232"/>
      <c r="W40" s="289"/>
      <c r="X40" s="513">
        <f t="shared" si="31"/>
        <v>0</v>
      </c>
      <c r="Y40" s="473"/>
      <c r="Z40" s="232"/>
      <c r="AA40" s="289"/>
      <c r="AB40" s="513">
        <f t="shared" si="32"/>
        <v>0</v>
      </c>
      <c r="AC40" s="473"/>
      <c r="AD40" s="232"/>
      <c r="AE40" s="289"/>
      <c r="AF40" s="514">
        <f t="shared" si="33"/>
        <v>0</v>
      </c>
      <c r="AG40" s="473"/>
      <c r="AH40" s="232"/>
      <c r="AI40" s="289"/>
      <c r="AJ40" s="513">
        <f t="shared" si="34"/>
        <v>0</v>
      </c>
      <c r="AK40" s="473"/>
      <c r="AL40" s="232"/>
      <c r="AM40" s="289"/>
      <c r="AN40" s="513">
        <f t="shared" si="35"/>
        <v>0</v>
      </c>
      <c r="AO40" s="473"/>
      <c r="AP40" s="232"/>
      <c r="AQ40" s="289"/>
      <c r="AR40" s="513">
        <f t="shared" si="36"/>
        <v>0</v>
      </c>
      <c r="AS40" s="473"/>
      <c r="AT40" s="232"/>
      <c r="AU40" s="289"/>
      <c r="AV40" s="513">
        <f t="shared" si="37"/>
        <v>0</v>
      </c>
      <c r="AW40" s="449">
        <f t="shared" si="18"/>
        <v>0</v>
      </c>
      <c r="AX40" s="449">
        <f t="shared" si="19"/>
        <v>0</v>
      </c>
      <c r="AY40" s="289"/>
      <c r="AZ40" s="451">
        <f t="shared" si="38"/>
        <v>0</v>
      </c>
    </row>
    <row r="41" spans="1:52" ht="19.95" customHeight="1">
      <c r="A41" s="478">
        <v>27</v>
      </c>
      <c r="B41" s="164" t="s">
        <v>165</v>
      </c>
      <c r="C41" s="152">
        <v>0.6</v>
      </c>
      <c r="D41" s="482" t="s">
        <v>15</v>
      </c>
      <c r="E41" s="473"/>
      <c r="F41" s="232"/>
      <c r="G41" s="289"/>
      <c r="H41" s="513">
        <f t="shared" si="27"/>
        <v>0</v>
      </c>
      <c r="I41" s="473">
        <v>0</v>
      </c>
      <c r="J41" s="232">
        <v>64.8</v>
      </c>
      <c r="K41" s="289"/>
      <c r="L41" s="513">
        <f t="shared" si="28"/>
        <v>0.64292857936596126</v>
      </c>
      <c r="M41" s="473">
        <v>0</v>
      </c>
      <c r="N41" s="232">
        <v>72</v>
      </c>
      <c r="O41" s="289"/>
      <c r="P41" s="513">
        <f t="shared" si="29"/>
        <v>0.11293281501353937</v>
      </c>
      <c r="Q41" s="473">
        <v>0</v>
      </c>
      <c r="R41" s="232">
        <v>18</v>
      </c>
      <c r="S41" s="289"/>
      <c r="T41" s="513">
        <f t="shared" si="30"/>
        <v>2.6029299736641334E-2</v>
      </c>
      <c r="U41" s="473"/>
      <c r="V41" s="232"/>
      <c r="W41" s="289"/>
      <c r="X41" s="513">
        <f t="shared" si="31"/>
        <v>0</v>
      </c>
      <c r="Y41" s="473">
        <v>0</v>
      </c>
      <c r="Z41" s="232">
        <v>180</v>
      </c>
      <c r="AA41" s="289"/>
      <c r="AB41" s="513">
        <f t="shared" si="32"/>
        <v>1.0135066654955032</v>
      </c>
      <c r="AC41" s="473"/>
      <c r="AD41" s="232"/>
      <c r="AE41" s="289"/>
      <c r="AF41" s="514">
        <f t="shared" si="33"/>
        <v>0</v>
      </c>
      <c r="AG41" s="473"/>
      <c r="AH41" s="232"/>
      <c r="AI41" s="289"/>
      <c r="AJ41" s="513">
        <f t="shared" si="34"/>
        <v>0</v>
      </c>
      <c r="AK41" s="473"/>
      <c r="AL41" s="232"/>
      <c r="AM41" s="289"/>
      <c r="AN41" s="513">
        <f t="shared" si="35"/>
        <v>0</v>
      </c>
      <c r="AO41" s="473"/>
      <c r="AP41" s="232"/>
      <c r="AQ41" s="289"/>
      <c r="AR41" s="513">
        <f t="shared" si="36"/>
        <v>0</v>
      </c>
      <c r="AS41" s="473">
        <v>0</v>
      </c>
      <c r="AT41" s="232">
        <v>36</v>
      </c>
      <c r="AU41" s="289"/>
      <c r="AV41" s="513">
        <f t="shared" si="37"/>
        <v>0.43646944713870028</v>
      </c>
      <c r="AW41" s="449">
        <f t="shared" si="18"/>
        <v>0</v>
      </c>
      <c r="AX41" s="449">
        <f t="shared" si="19"/>
        <v>370.8</v>
      </c>
      <c r="AY41" s="289"/>
      <c r="AZ41" s="451">
        <f t="shared" si="38"/>
        <v>7.1621510218736112E-2</v>
      </c>
    </row>
    <row r="42" spans="1:52" ht="19.95" customHeight="1">
      <c r="A42" s="478">
        <v>28</v>
      </c>
      <c r="B42" s="164" t="s">
        <v>40</v>
      </c>
      <c r="C42" s="152">
        <v>0.64</v>
      </c>
      <c r="D42" s="482" t="s">
        <v>18</v>
      </c>
      <c r="E42" s="473">
        <v>791.03999999999985</v>
      </c>
      <c r="F42" s="232">
        <v>697.28</v>
      </c>
      <c r="G42" s="289">
        <f t="shared" si="20"/>
        <v>-11.852750809061476</v>
      </c>
      <c r="H42" s="513">
        <f t="shared" si="27"/>
        <v>0.33711244011042391</v>
      </c>
      <c r="I42" s="473">
        <v>4323.84</v>
      </c>
      <c r="J42" s="232">
        <v>1167.68</v>
      </c>
      <c r="K42" s="289">
        <f t="shared" si="21"/>
        <v>-72.994375370041439</v>
      </c>
      <c r="L42" s="513">
        <f t="shared" si="28"/>
        <v>11.58541425237725</v>
      </c>
      <c r="M42" s="473">
        <v>38.4</v>
      </c>
      <c r="N42" s="232">
        <v>545.28</v>
      </c>
      <c r="O42" s="289">
        <f t="shared" si="22"/>
        <v>1320</v>
      </c>
      <c r="P42" s="513">
        <f t="shared" si="29"/>
        <v>0.85527785236920484</v>
      </c>
      <c r="Q42" s="473">
        <v>491.52</v>
      </c>
      <c r="R42" s="232">
        <v>368.64</v>
      </c>
      <c r="S42" s="289">
        <f t="shared" si="13"/>
        <v>-25</v>
      </c>
      <c r="T42" s="513">
        <f t="shared" si="30"/>
        <v>0.5330800586064145</v>
      </c>
      <c r="U42" s="473"/>
      <c r="V42" s="232"/>
      <c r="W42" s="289"/>
      <c r="X42" s="513">
        <f t="shared" si="31"/>
        <v>0</v>
      </c>
      <c r="Y42" s="473">
        <v>115.2</v>
      </c>
      <c r="Z42" s="232"/>
      <c r="AA42" s="289">
        <f t="shared" si="15"/>
        <v>-100</v>
      </c>
      <c r="AB42" s="513">
        <f t="shared" si="32"/>
        <v>0</v>
      </c>
      <c r="AC42" s="473">
        <v>476.15999999999997</v>
      </c>
      <c r="AD42" s="232">
        <v>852.48</v>
      </c>
      <c r="AE42" s="289">
        <f t="shared" si="16"/>
        <v>79.032258064516157</v>
      </c>
      <c r="AF42" s="514">
        <f t="shared" si="33"/>
        <v>1.1082527702419152</v>
      </c>
      <c r="AG42" s="473">
        <v>768</v>
      </c>
      <c r="AH42" s="232"/>
      <c r="AI42" s="289">
        <f t="shared" si="23"/>
        <v>-100</v>
      </c>
      <c r="AJ42" s="513">
        <f t="shared" si="34"/>
        <v>0</v>
      </c>
      <c r="AK42" s="473">
        <v>230.4</v>
      </c>
      <c r="AL42" s="232">
        <v>153.6</v>
      </c>
      <c r="AM42" s="289">
        <f t="shared" si="17"/>
        <v>-33.333333333333343</v>
      </c>
      <c r="AN42" s="513">
        <f t="shared" si="35"/>
        <v>2.0715884875785613</v>
      </c>
      <c r="AO42" s="473">
        <v>1574.62</v>
      </c>
      <c r="AP42" s="232">
        <v>883.2</v>
      </c>
      <c r="AQ42" s="289">
        <f t="shared" si="24"/>
        <v>-43.910276765187781</v>
      </c>
      <c r="AR42" s="513">
        <f t="shared" si="36"/>
        <v>7.6441588655625115</v>
      </c>
      <c r="AS42" s="473">
        <v>1267.2</v>
      </c>
      <c r="AT42" s="232"/>
      <c r="AU42" s="289">
        <f t="shared" si="25"/>
        <v>-100</v>
      </c>
      <c r="AV42" s="513">
        <f t="shared" si="37"/>
        <v>0</v>
      </c>
      <c r="AW42" s="449">
        <f t="shared" si="18"/>
        <v>10076.379999999999</v>
      </c>
      <c r="AX42" s="449">
        <f t="shared" si="19"/>
        <v>4668.16</v>
      </c>
      <c r="AY42" s="289">
        <f t="shared" si="11"/>
        <v>-53.672251344232748</v>
      </c>
      <c r="AZ42" s="451">
        <f t="shared" si="38"/>
        <v>0.90167386500187463</v>
      </c>
    </row>
    <row r="43" spans="1:52" ht="19.95" customHeight="1">
      <c r="A43" s="478">
        <v>29</v>
      </c>
      <c r="B43" s="164" t="s">
        <v>164</v>
      </c>
      <c r="C43" s="152">
        <v>0.6</v>
      </c>
      <c r="D43" s="482" t="s">
        <v>15</v>
      </c>
      <c r="E43" s="473">
        <v>0</v>
      </c>
      <c r="F43" s="232">
        <v>7.1999999999999993</v>
      </c>
      <c r="G43" s="289"/>
      <c r="H43" s="513">
        <f t="shared" si="27"/>
        <v>3.4809682893458182E-3</v>
      </c>
      <c r="I43" s="473">
        <v>0</v>
      </c>
      <c r="J43" s="232">
        <v>126</v>
      </c>
      <c r="K43" s="289"/>
      <c r="L43" s="513">
        <f t="shared" si="28"/>
        <v>1.2501389043227027</v>
      </c>
      <c r="M43" s="473">
        <v>0</v>
      </c>
      <c r="N43" s="232">
        <v>36</v>
      </c>
      <c r="O43" s="289"/>
      <c r="P43" s="513">
        <f t="shared" si="29"/>
        <v>5.6466407506769685E-2</v>
      </c>
      <c r="Q43" s="473"/>
      <c r="R43" s="232"/>
      <c r="S43" s="289"/>
      <c r="T43" s="513">
        <f t="shared" si="30"/>
        <v>0</v>
      </c>
      <c r="U43" s="473"/>
      <c r="V43" s="232"/>
      <c r="W43" s="289"/>
      <c r="X43" s="513">
        <f t="shared" si="31"/>
        <v>0</v>
      </c>
      <c r="Y43" s="473">
        <v>0</v>
      </c>
      <c r="Z43" s="232">
        <v>356.4</v>
      </c>
      <c r="AA43" s="289"/>
      <c r="AB43" s="513">
        <f t="shared" si="32"/>
        <v>2.0067431976810961</v>
      </c>
      <c r="AC43" s="473">
        <v>0</v>
      </c>
      <c r="AD43" s="232">
        <v>18</v>
      </c>
      <c r="AE43" s="289"/>
      <c r="AF43" s="514">
        <f t="shared" si="33"/>
        <v>2.3400607479770168E-2</v>
      </c>
      <c r="AG43" s="473"/>
      <c r="AH43" s="232"/>
      <c r="AI43" s="289"/>
      <c r="AJ43" s="513">
        <f t="shared" si="34"/>
        <v>0</v>
      </c>
      <c r="AK43" s="473"/>
      <c r="AL43" s="232"/>
      <c r="AM43" s="289"/>
      <c r="AN43" s="513">
        <f t="shared" si="35"/>
        <v>0</v>
      </c>
      <c r="AO43" s="473"/>
      <c r="AP43" s="232"/>
      <c r="AQ43" s="289"/>
      <c r="AR43" s="513">
        <f t="shared" si="36"/>
        <v>0</v>
      </c>
      <c r="AS43" s="473">
        <v>0</v>
      </c>
      <c r="AT43" s="232">
        <v>72</v>
      </c>
      <c r="AU43" s="289"/>
      <c r="AV43" s="513">
        <f t="shared" si="37"/>
        <v>0.87293889427740057</v>
      </c>
      <c r="AW43" s="449">
        <f t="shared" si="18"/>
        <v>0</v>
      </c>
      <c r="AX43" s="449">
        <f t="shared" si="19"/>
        <v>615.59999999999991</v>
      </c>
      <c r="AY43" s="289"/>
      <c r="AZ43" s="451">
        <f t="shared" si="38"/>
        <v>0.11890561405246478</v>
      </c>
    </row>
    <row r="44" spans="1:52" ht="19.95" customHeight="1">
      <c r="A44" s="478">
        <v>30</v>
      </c>
      <c r="B44" s="164" t="s">
        <v>64</v>
      </c>
      <c r="C44" s="152">
        <v>0.64</v>
      </c>
      <c r="D44" s="482" t="s">
        <v>20</v>
      </c>
      <c r="E44" s="473">
        <v>0</v>
      </c>
      <c r="F44" s="232">
        <v>519.68000000000006</v>
      </c>
      <c r="G44" s="289"/>
      <c r="H44" s="513">
        <f t="shared" si="27"/>
        <v>0.25124855563989379</v>
      </c>
      <c r="I44" s="473">
        <v>0</v>
      </c>
      <c r="J44" s="232">
        <v>2607.36</v>
      </c>
      <c r="K44" s="289"/>
      <c r="L44" s="513">
        <f t="shared" si="28"/>
        <v>25.869541060117793</v>
      </c>
      <c r="M44" s="473">
        <v>0</v>
      </c>
      <c r="N44" s="232">
        <v>143.36000000000001</v>
      </c>
      <c r="O44" s="289"/>
      <c r="P44" s="513">
        <f t="shared" si="29"/>
        <v>0.22486178278251398</v>
      </c>
      <c r="Q44" s="473">
        <v>0</v>
      </c>
      <c r="R44" s="232">
        <v>134.4</v>
      </c>
      <c r="S44" s="289"/>
      <c r="T44" s="513">
        <f t="shared" si="30"/>
        <v>0.1943521047002553</v>
      </c>
      <c r="U44" s="473">
        <v>0</v>
      </c>
      <c r="V44" s="232">
        <v>134.4</v>
      </c>
      <c r="W44" s="289"/>
      <c r="X44" s="513">
        <f t="shared" si="31"/>
        <v>0.3119893032238894</v>
      </c>
      <c r="Y44" s="473">
        <v>0</v>
      </c>
      <c r="Z44" s="232">
        <v>4.4800000000000004</v>
      </c>
      <c r="AA44" s="289"/>
      <c r="AB44" s="513">
        <f t="shared" si="32"/>
        <v>2.5225054785665859E-2</v>
      </c>
      <c r="AC44" s="473">
        <v>0</v>
      </c>
      <c r="AD44" s="232">
        <v>35.840000000000003</v>
      </c>
      <c r="AE44" s="289"/>
      <c r="AF44" s="514">
        <f t="shared" si="33"/>
        <v>4.6593209559720163E-2</v>
      </c>
      <c r="AG44" s="473"/>
      <c r="AH44" s="232"/>
      <c r="AI44" s="289"/>
      <c r="AJ44" s="513">
        <f t="shared" si="34"/>
        <v>0</v>
      </c>
      <c r="AK44" s="473"/>
      <c r="AL44" s="232"/>
      <c r="AM44" s="289"/>
      <c r="AN44" s="513">
        <f t="shared" si="35"/>
        <v>0</v>
      </c>
      <c r="AO44" s="473"/>
      <c r="AP44" s="232"/>
      <c r="AQ44" s="289"/>
      <c r="AR44" s="513">
        <f t="shared" si="36"/>
        <v>0</v>
      </c>
      <c r="AS44" s="473"/>
      <c r="AT44" s="232"/>
      <c r="AU44" s="289"/>
      <c r="AV44" s="513">
        <f t="shared" si="37"/>
        <v>0</v>
      </c>
      <c r="AW44" s="449">
        <f t="shared" si="18"/>
        <v>0</v>
      </c>
      <c r="AX44" s="449">
        <f t="shared" si="19"/>
        <v>3579.5200000000004</v>
      </c>
      <c r="AY44" s="289"/>
      <c r="AZ44" s="451">
        <f t="shared" si="38"/>
        <v>0.69139867383541065</v>
      </c>
    </row>
    <row r="45" spans="1:52" s="310" customFormat="1" ht="19.95" customHeight="1">
      <c r="A45" s="480"/>
      <c r="B45" s="313" t="s">
        <v>186</v>
      </c>
      <c r="C45" s="314"/>
      <c r="D45" s="483"/>
      <c r="E45" s="472">
        <f>SUM(E40:E44)</f>
        <v>791.03999999999985</v>
      </c>
      <c r="F45" s="472">
        <f>SUM(F40:F44)</f>
        <v>1224.1600000000001</v>
      </c>
      <c r="G45" s="309">
        <f t="shared" si="20"/>
        <v>54.753236245954753</v>
      </c>
      <c r="H45" s="513">
        <f t="shared" si="27"/>
        <v>0.59184196403966349</v>
      </c>
      <c r="I45" s="472">
        <f>SUM(I40:I44)</f>
        <v>4323.84</v>
      </c>
      <c r="J45" s="472">
        <f>SUM(J40:J44)</f>
        <v>3965.84</v>
      </c>
      <c r="K45" s="309">
        <f t="shared" si="21"/>
        <v>-8.2796773238602697</v>
      </c>
      <c r="L45" s="513">
        <f t="shared" si="28"/>
        <v>39.348022796183706</v>
      </c>
      <c r="M45" s="472">
        <f>SUM(M40:M44)</f>
        <v>38.4</v>
      </c>
      <c r="N45" s="472">
        <f>SUM(N40:N44)</f>
        <v>796.64</v>
      </c>
      <c r="O45" s="309">
        <f t="shared" si="22"/>
        <v>1974.5833333333335</v>
      </c>
      <c r="P45" s="513">
        <f t="shared" si="29"/>
        <v>1.2495388576720279</v>
      </c>
      <c r="Q45" s="472">
        <f>SUM(Q40:Q44)</f>
        <v>491.52</v>
      </c>
      <c r="R45" s="472">
        <f>SUM(R40:R44)</f>
        <v>521.04</v>
      </c>
      <c r="S45" s="309">
        <f t="shared" si="13"/>
        <v>6.005859375</v>
      </c>
      <c r="T45" s="513">
        <f t="shared" si="30"/>
        <v>0.75346146304331107</v>
      </c>
      <c r="U45" s="472">
        <f>SUM(U40:U44)</f>
        <v>0</v>
      </c>
      <c r="V45" s="472">
        <f>SUM(V40:V44)</f>
        <v>134.4</v>
      </c>
      <c r="W45" s="309"/>
      <c r="X45" s="513">
        <f t="shared" si="31"/>
        <v>0.3119893032238894</v>
      </c>
      <c r="Y45" s="472">
        <f>SUM(Y40:Y44)</f>
        <v>115.2</v>
      </c>
      <c r="Z45" s="472">
        <f>SUM(Z40:Z44)</f>
        <v>540.88</v>
      </c>
      <c r="AA45" s="309">
        <f t="shared" si="15"/>
        <v>369.51388888888886</v>
      </c>
      <c r="AB45" s="513">
        <f t="shared" si="32"/>
        <v>3.0454749179622653</v>
      </c>
      <c r="AC45" s="472">
        <f>SUM(AC40:AC44)</f>
        <v>476.15999999999997</v>
      </c>
      <c r="AD45" s="472">
        <f>SUM(AD40:AD44)</f>
        <v>906.32</v>
      </c>
      <c r="AE45" s="309">
        <f t="shared" si="16"/>
        <v>90.339381720430111</v>
      </c>
      <c r="AF45" s="514">
        <f t="shared" si="33"/>
        <v>1.1782465872814056</v>
      </c>
      <c r="AG45" s="472">
        <f>SUM(AG40:AG44)</f>
        <v>768</v>
      </c>
      <c r="AH45" s="472">
        <f>SUM(AH40:AH44)</f>
        <v>0</v>
      </c>
      <c r="AI45" s="309">
        <f t="shared" si="23"/>
        <v>-100</v>
      </c>
      <c r="AJ45" s="513">
        <f t="shared" si="34"/>
        <v>0</v>
      </c>
      <c r="AK45" s="472">
        <f>SUM(AK40:AK44)</f>
        <v>230.4</v>
      </c>
      <c r="AL45" s="472">
        <f>SUM(AL40:AL44)</f>
        <v>153.6</v>
      </c>
      <c r="AM45" s="309">
        <f t="shared" si="17"/>
        <v>-33.333333333333343</v>
      </c>
      <c r="AN45" s="513">
        <f t="shared" si="35"/>
        <v>2.0715884875785613</v>
      </c>
      <c r="AO45" s="472">
        <f>SUM(AO40:AO44)</f>
        <v>1574.62</v>
      </c>
      <c r="AP45" s="472">
        <f>SUM(AP40:AP44)</f>
        <v>883.2</v>
      </c>
      <c r="AQ45" s="309">
        <f t="shared" si="24"/>
        <v>-43.910276765187781</v>
      </c>
      <c r="AR45" s="513">
        <f t="shared" si="36"/>
        <v>7.6441588655625115</v>
      </c>
      <c r="AS45" s="472">
        <f>SUM(AS40:AS44)</f>
        <v>1267.2</v>
      </c>
      <c r="AT45" s="472">
        <f>SUM(AT40:AT44)</f>
        <v>108</v>
      </c>
      <c r="AU45" s="309">
        <f t="shared" si="25"/>
        <v>-91.477272727272734</v>
      </c>
      <c r="AV45" s="513">
        <f t="shared" si="37"/>
        <v>1.3094083414161009</v>
      </c>
      <c r="AW45" s="449">
        <f t="shared" si="18"/>
        <v>10076.379999999999</v>
      </c>
      <c r="AX45" s="449">
        <f t="shared" si="19"/>
        <v>9234.08</v>
      </c>
      <c r="AY45" s="309">
        <f t="shared" si="11"/>
        <v>-8.3591527909824777</v>
      </c>
      <c r="AZ45" s="451">
        <f t="shared" si="38"/>
        <v>1.7835996631084863</v>
      </c>
    </row>
    <row r="46" spans="1:52" ht="19.95" customHeight="1">
      <c r="A46" s="478">
        <v>31</v>
      </c>
      <c r="B46" s="164" t="s">
        <v>38</v>
      </c>
      <c r="C46" s="152">
        <v>0.7</v>
      </c>
      <c r="D46" s="482" t="s">
        <v>15</v>
      </c>
      <c r="E46" s="473">
        <v>37.099999999999994</v>
      </c>
      <c r="F46" s="232"/>
      <c r="G46" s="289">
        <f t="shared" si="20"/>
        <v>-100</v>
      </c>
      <c r="H46" s="513">
        <f t="shared" si="27"/>
        <v>0</v>
      </c>
      <c r="I46" s="473"/>
      <c r="J46" s="232"/>
      <c r="K46" s="289"/>
      <c r="L46" s="513">
        <f t="shared" si="28"/>
        <v>0</v>
      </c>
      <c r="M46" s="473"/>
      <c r="N46" s="232"/>
      <c r="O46" s="289"/>
      <c r="P46" s="513">
        <f t="shared" si="29"/>
        <v>0</v>
      </c>
      <c r="Q46" s="473">
        <v>4.1999999999999993</v>
      </c>
      <c r="R46" s="232"/>
      <c r="S46" s="289">
        <f t="shared" si="13"/>
        <v>-100</v>
      </c>
      <c r="T46" s="513">
        <f t="shared" si="30"/>
        <v>0</v>
      </c>
      <c r="U46" s="473"/>
      <c r="V46" s="232"/>
      <c r="W46" s="289"/>
      <c r="X46" s="513">
        <f t="shared" si="31"/>
        <v>0</v>
      </c>
      <c r="Y46" s="473"/>
      <c r="Z46" s="232"/>
      <c r="AA46" s="289"/>
      <c r="AB46" s="513">
        <f t="shared" si="32"/>
        <v>0</v>
      </c>
      <c r="AC46" s="473">
        <v>0</v>
      </c>
      <c r="AD46" s="232">
        <v>42</v>
      </c>
      <c r="AE46" s="289"/>
      <c r="AF46" s="514">
        <f t="shared" si="33"/>
        <v>5.4601417452797063E-2</v>
      </c>
      <c r="AG46" s="473"/>
      <c r="AH46" s="232"/>
      <c r="AI46" s="289"/>
      <c r="AJ46" s="513">
        <f t="shared" si="34"/>
        <v>0</v>
      </c>
      <c r="AK46" s="473"/>
      <c r="AL46" s="232"/>
      <c r="AM46" s="289"/>
      <c r="AN46" s="513">
        <f t="shared" si="35"/>
        <v>0</v>
      </c>
      <c r="AO46" s="473">
        <v>50.5</v>
      </c>
      <c r="AP46" s="232"/>
      <c r="AQ46" s="289">
        <f t="shared" si="24"/>
        <v>-100</v>
      </c>
      <c r="AR46" s="513">
        <f t="shared" si="36"/>
        <v>0</v>
      </c>
      <c r="AS46" s="473"/>
      <c r="AT46" s="232"/>
      <c r="AU46" s="289"/>
      <c r="AV46" s="513">
        <f t="shared" si="37"/>
        <v>0</v>
      </c>
      <c r="AW46" s="449">
        <f t="shared" si="18"/>
        <v>91.8</v>
      </c>
      <c r="AX46" s="449">
        <f t="shared" si="19"/>
        <v>42</v>
      </c>
      <c r="AY46" s="289">
        <f t="shared" si="11"/>
        <v>-54.248366013071895</v>
      </c>
      <c r="AZ46" s="451">
        <f t="shared" si="38"/>
        <v>8.1124687950024713E-3</v>
      </c>
    </row>
    <row r="47" spans="1:52" ht="19.95" customHeight="1">
      <c r="A47" s="478">
        <v>32</v>
      </c>
      <c r="B47" s="164" t="s">
        <v>39</v>
      </c>
      <c r="C47" s="152">
        <v>0.35</v>
      </c>
      <c r="D47" s="482" t="s">
        <v>18</v>
      </c>
      <c r="E47" s="473">
        <v>16.099999999999998</v>
      </c>
      <c r="F47" s="232"/>
      <c r="G47" s="289">
        <f t="shared" si="20"/>
        <v>-100</v>
      </c>
      <c r="H47" s="513">
        <f t="shared" si="27"/>
        <v>0</v>
      </c>
      <c r="I47" s="473"/>
      <c r="J47" s="232"/>
      <c r="K47" s="289"/>
      <c r="L47" s="513">
        <f t="shared" si="28"/>
        <v>0</v>
      </c>
      <c r="M47" s="473"/>
      <c r="N47" s="232"/>
      <c r="O47" s="289"/>
      <c r="P47" s="513">
        <f t="shared" si="29"/>
        <v>0</v>
      </c>
      <c r="Q47" s="473">
        <v>4.1999999999999993</v>
      </c>
      <c r="R47" s="232"/>
      <c r="S47" s="289">
        <f t="shared" si="13"/>
        <v>-100</v>
      </c>
      <c r="T47" s="513">
        <f t="shared" si="30"/>
        <v>0</v>
      </c>
      <c r="U47" s="473"/>
      <c r="V47" s="232"/>
      <c r="W47" s="289"/>
      <c r="X47" s="513">
        <f t="shared" si="31"/>
        <v>0</v>
      </c>
      <c r="Y47" s="473"/>
      <c r="Z47" s="232"/>
      <c r="AA47" s="289"/>
      <c r="AB47" s="513">
        <f t="shared" si="32"/>
        <v>0</v>
      </c>
      <c r="AC47" s="473"/>
      <c r="AD47" s="232"/>
      <c r="AE47" s="289"/>
      <c r="AF47" s="514">
        <f t="shared" si="33"/>
        <v>0</v>
      </c>
      <c r="AG47" s="473"/>
      <c r="AH47" s="232"/>
      <c r="AI47" s="289"/>
      <c r="AJ47" s="513">
        <f t="shared" si="34"/>
        <v>0</v>
      </c>
      <c r="AK47" s="473"/>
      <c r="AL47" s="232"/>
      <c r="AM47" s="289"/>
      <c r="AN47" s="513">
        <f t="shared" si="35"/>
        <v>0</v>
      </c>
      <c r="AO47" s="473"/>
      <c r="AP47" s="232"/>
      <c r="AQ47" s="289"/>
      <c r="AR47" s="513">
        <f t="shared" si="36"/>
        <v>0</v>
      </c>
      <c r="AS47" s="473"/>
      <c r="AT47" s="232"/>
      <c r="AU47" s="289"/>
      <c r="AV47" s="513">
        <f t="shared" si="37"/>
        <v>0</v>
      </c>
      <c r="AW47" s="449">
        <f t="shared" si="18"/>
        <v>20.299999999999997</v>
      </c>
      <c r="AX47" s="449">
        <f t="shared" si="19"/>
        <v>0</v>
      </c>
      <c r="AY47" s="289">
        <f t="shared" si="11"/>
        <v>-100</v>
      </c>
      <c r="AZ47" s="451">
        <f t="shared" si="38"/>
        <v>0</v>
      </c>
    </row>
    <row r="48" spans="1:52" s="310" customFormat="1" ht="19.95" customHeight="1">
      <c r="A48" s="480"/>
      <c r="B48" s="313" t="s">
        <v>172</v>
      </c>
      <c r="C48" s="314"/>
      <c r="D48" s="483"/>
      <c r="E48" s="472">
        <f>SUM(E46:E47)</f>
        <v>53.199999999999989</v>
      </c>
      <c r="F48" s="312">
        <f>SUM(F46:F47)</f>
        <v>0</v>
      </c>
      <c r="G48" s="309">
        <f t="shared" si="20"/>
        <v>-100</v>
      </c>
      <c r="H48" s="513">
        <f t="shared" si="27"/>
        <v>0</v>
      </c>
      <c r="I48" s="472">
        <f>SUM(I46:I47)</f>
        <v>0</v>
      </c>
      <c r="J48" s="312">
        <f>SUM(J46:J47)</f>
        <v>0</v>
      </c>
      <c r="K48" s="309"/>
      <c r="L48" s="513">
        <f t="shared" si="28"/>
        <v>0</v>
      </c>
      <c r="M48" s="472">
        <f>SUM(M46:M47)</f>
        <v>0</v>
      </c>
      <c r="N48" s="312">
        <f>SUM(N46:N47)</f>
        <v>0</v>
      </c>
      <c r="O48" s="309"/>
      <c r="P48" s="513">
        <f t="shared" si="29"/>
        <v>0</v>
      </c>
      <c r="Q48" s="472">
        <f>SUM(Q46:Q47)</f>
        <v>8.3999999999999986</v>
      </c>
      <c r="R48" s="312">
        <f>SUM(R46:R47)</f>
        <v>0</v>
      </c>
      <c r="S48" s="309">
        <f t="shared" si="13"/>
        <v>-100</v>
      </c>
      <c r="T48" s="513">
        <f t="shared" si="30"/>
        <v>0</v>
      </c>
      <c r="U48" s="472">
        <f>SUM(U46:U47)</f>
        <v>0</v>
      </c>
      <c r="V48" s="312">
        <f>SUM(V46:V47)</f>
        <v>0</v>
      </c>
      <c r="W48" s="309"/>
      <c r="X48" s="513">
        <f t="shared" si="31"/>
        <v>0</v>
      </c>
      <c r="Y48" s="472">
        <f>SUM(Y46:Y47)</f>
        <v>0</v>
      </c>
      <c r="Z48" s="312">
        <f>SUM(Z46:Z47)</f>
        <v>0</v>
      </c>
      <c r="AA48" s="309"/>
      <c r="AB48" s="513">
        <f t="shared" si="32"/>
        <v>0</v>
      </c>
      <c r="AC48" s="472">
        <f>SUM(AC46:AC47)</f>
        <v>0</v>
      </c>
      <c r="AD48" s="312">
        <f>SUM(AD46:AD47)</f>
        <v>42</v>
      </c>
      <c r="AE48" s="309"/>
      <c r="AF48" s="514">
        <f t="shared" si="33"/>
        <v>5.4601417452797063E-2</v>
      </c>
      <c r="AG48" s="472">
        <f>SUM(AG46:AG47)</f>
        <v>0</v>
      </c>
      <c r="AH48" s="312">
        <f>SUM(AH46:AH47)</f>
        <v>0</v>
      </c>
      <c r="AI48" s="309"/>
      <c r="AJ48" s="513">
        <f t="shared" si="34"/>
        <v>0</v>
      </c>
      <c r="AK48" s="472">
        <f>SUM(AK46:AK47)</f>
        <v>0</v>
      </c>
      <c r="AL48" s="312">
        <f>SUM(AL46:AL47)</f>
        <v>0</v>
      </c>
      <c r="AM48" s="309"/>
      <c r="AN48" s="513">
        <f t="shared" si="35"/>
        <v>0</v>
      </c>
      <c r="AO48" s="472">
        <f>SUM(AO46:AO47)</f>
        <v>50.5</v>
      </c>
      <c r="AP48" s="312">
        <f>SUM(AP46:AP47)</f>
        <v>0</v>
      </c>
      <c r="AQ48" s="309">
        <f t="shared" si="24"/>
        <v>-100</v>
      </c>
      <c r="AR48" s="513">
        <f t="shared" si="36"/>
        <v>0</v>
      </c>
      <c r="AS48" s="472">
        <f>SUM(AS46:AS47)</f>
        <v>0</v>
      </c>
      <c r="AT48" s="312">
        <f>SUM(AT46:AT47)</f>
        <v>0</v>
      </c>
      <c r="AU48" s="309"/>
      <c r="AV48" s="513">
        <f t="shared" si="37"/>
        <v>0</v>
      </c>
      <c r="AW48" s="449">
        <f t="shared" si="18"/>
        <v>112.1</v>
      </c>
      <c r="AX48" s="449">
        <f t="shared" si="19"/>
        <v>42</v>
      </c>
      <c r="AY48" s="309">
        <f t="shared" si="11"/>
        <v>-62.53345227475468</v>
      </c>
      <c r="AZ48" s="451">
        <f t="shared" si="38"/>
        <v>8.1124687950024713E-3</v>
      </c>
    </row>
    <row r="49" spans="1:52" ht="19.95" customHeight="1">
      <c r="A49" s="478">
        <v>33</v>
      </c>
      <c r="B49" s="164" t="s">
        <v>189</v>
      </c>
      <c r="C49" s="152">
        <v>1</v>
      </c>
      <c r="D49" s="482" t="s">
        <v>190</v>
      </c>
      <c r="E49" s="473">
        <v>0</v>
      </c>
      <c r="F49" s="293"/>
      <c r="G49" s="289"/>
      <c r="H49" s="513">
        <f t="shared" si="27"/>
        <v>0</v>
      </c>
      <c r="I49" s="473">
        <v>0</v>
      </c>
      <c r="J49" s="293"/>
      <c r="K49" s="289"/>
      <c r="L49" s="513">
        <f t="shared" si="28"/>
        <v>0</v>
      </c>
      <c r="M49" s="473">
        <v>0</v>
      </c>
      <c r="N49" s="293"/>
      <c r="O49" s="289"/>
      <c r="P49" s="513">
        <f t="shared" si="29"/>
        <v>0</v>
      </c>
      <c r="Q49" s="473">
        <v>0</v>
      </c>
      <c r="R49" s="293">
        <v>324</v>
      </c>
      <c r="S49" s="289"/>
      <c r="T49" s="513">
        <f t="shared" si="30"/>
        <v>0.46852739525954401</v>
      </c>
      <c r="U49" s="473">
        <v>0</v>
      </c>
      <c r="V49" s="293"/>
      <c r="W49" s="289"/>
      <c r="X49" s="513">
        <f t="shared" si="31"/>
        <v>0</v>
      </c>
      <c r="Y49" s="473">
        <v>0</v>
      </c>
      <c r="Z49" s="293">
        <v>12</v>
      </c>
      <c r="AA49" s="289"/>
      <c r="AB49" s="513">
        <f t="shared" si="32"/>
        <v>6.7567111033033547E-2</v>
      </c>
      <c r="AC49" s="473">
        <v>0</v>
      </c>
      <c r="AD49" s="293"/>
      <c r="AE49" s="289"/>
      <c r="AF49" s="514">
        <f t="shared" si="33"/>
        <v>0</v>
      </c>
      <c r="AG49" s="473">
        <v>0</v>
      </c>
      <c r="AH49" s="293"/>
      <c r="AI49" s="289"/>
      <c r="AJ49" s="513">
        <f t="shared" si="34"/>
        <v>0</v>
      </c>
      <c r="AK49" s="473">
        <v>0</v>
      </c>
      <c r="AL49" s="293"/>
      <c r="AM49" s="289"/>
      <c r="AN49" s="513">
        <f t="shared" si="35"/>
        <v>0</v>
      </c>
      <c r="AO49" s="473">
        <v>0</v>
      </c>
      <c r="AP49" s="293">
        <v>210</v>
      </c>
      <c r="AQ49" s="289"/>
      <c r="AR49" s="513">
        <f t="shared" si="36"/>
        <v>1.8175649476541296</v>
      </c>
      <c r="AS49" s="473">
        <v>0</v>
      </c>
      <c r="AT49" s="293"/>
      <c r="AU49" s="289"/>
      <c r="AV49" s="513">
        <f t="shared" si="37"/>
        <v>0</v>
      </c>
      <c r="AW49" s="449">
        <f t="shared" si="18"/>
        <v>0</v>
      </c>
      <c r="AX49" s="449">
        <f t="shared" si="19"/>
        <v>546</v>
      </c>
      <c r="AY49" s="289"/>
      <c r="AZ49" s="451">
        <f t="shared" si="38"/>
        <v>0.10546209433503213</v>
      </c>
    </row>
    <row r="50" spans="1:52" ht="19.95" customHeight="1">
      <c r="A50" s="478">
        <v>34</v>
      </c>
      <c r="B50" s="164" t="s">
        <v>189</v>
      </c>
      <c r="C50" s="152">
        <v>0.64</v>
      </c>
      <c r="D50" s="482" t="s">
        <v>191</v>
      </c>
      <c r="E50" s="473"/>
      <c r="F50" s="293"/>
      <c r="G50" s="289"/>
      <c r="H50" s="513">
        <f t="shared" si="27"/>
        <v>0</v>
      </c>
      <c r="I50" s="473"/>
      <c r="J50" s="293"/>
      <c r="K50" s="289"/>
      <c r="L50" s="513">
        <f t="shared" si="28"/>
        <v>0</v>
      </c>
      <c r="M50" s="473"/>
      <c r="N50" s="293"/>
      <c r="O50" s="289"/>
      <c r="P50" s="513">
        <f t="shared" si="29"/>
        <v>0</v>
      </c>
      <c r="Q50" s="473"/>
      <c r="R50" s="293"/>
      <c r="S50" s="289"/>
      <c r="T50" s="513">
        <f t="shared" si="30"/>
        <v>0</v>
      </c>
      <c r="U50" s="473"/>
      <c r="V50" s="293"/>
      <c r="W50" s="289"/>
      <c r="X50" s="513">
        <f t="shared" si="31"/>
        <v>0</v>
      </c>
      <c r="Y50" s="473"/>
      <c r="Z50" s="293"/>
      <c r="AA50" s="289"/>
      <c r="AB50" s="513">
        <f t="shared" si="32"/>
        <v>0</v>
      </c>
      <c r="AC50" s="473"/>
      <c r="AD50" s="293"/>
      <c r="AE50" s="289"/>
      <c r="AF50" s="514">
        <f t="shared" si="33"/>
        <v>0</v>
      </c>
      <c r="AG50" s="473"/>
      <c r="AH50" s="293"/>
      <c r="AI50" s="289"/>
      <c r="AJ50" s="513">
        <f t="shared" si="34"/>
        <v>0</v>
      </c>
      <c r="AK50" s="473"/>
      <c r="AL50" s="293"/>
      <c r="AM50" s="289"/>
      <c r="AN50" s="513">
        <f t="shared" si="35"/>
        <v>0</v>
      </c>
      <c r="AO50" s="473"/>
      <c r="AP50" s="293"/>
      <c r="AQ50" s="289"/>
      <c r="AR50" s="513">
        <f t="shared" si="36"/>
        <v>0</v>
      </c>
      <c r="AS50" s="473"/>
      <c r="AT50" s="293"/>
      <c r="AU50" s="289"/>
      <c r="AV50" s="513">
        <f t="shared" si="37"/>
        <v>0</v>
      </c>
      <c r="AW50" s="449">
        <f t="shared" si="18"/>
        <v>0</v>
      </c>
      <c r="AX50" s="449">
        <f t="shared" si="19"/>
        <v>0</v>
      </c>
      <c r="AY50" s="289"/>
      <c r="AZ50" s="451">
        <f t="shared" si="38"/>
        <v>0</v>
      </c>
    </row>
    <row r="51" spans="1:52" s="310" customFormat="1" ht="19.95" customHeight="1">
      <c r="A51" s="480"/>
      <c r="B51" s="510" t="s">
        <v>336</v>
      </c>
      <c r="C51" s="314"/>
      <c r="D51" s="483"/>
      <c r="E51" s="472">
        <f>SUM(E49:E50)</f>
        <v>0</v>
      </c>
      <c r="F51" s="472">
        <f>SUM(F49:F50)</f>
        <v>0</v>
      </c>
      <c r="G51" s="309"/>
      <c r="H51" s="513">
        <f t="shared" si="27"/>
        <v>0</v>
      </c>
      <c r="I51" s="472">
        <f>SUM(I49:I50)</f>
        <v>0</v>
      </c>
      <c r="J51" s="472">
        <f>SUM(J49:J50)</f>
        <v>0</v>
      </c>
      <c r="K51" s="309"/>
      <c r="L51" s="513">
        <f t="shared" si="28"/>
        <v>0</v>
      </c>
      <c r="M51" s="472">
        <f>SUM(M49:M50)</f>
        <v>0</v>
      </c>
      <c r="N51" s="472">
        <f>SUM(N49:N50)</f>
        <v>0</v>
      </c>
      <c r="O51" s="309"/>
      <c r="P51" s="513">
        <f t="shared" si="29"/>
        <v>0</v>
      </c>
      <c r="Q51" s="472">
        <f>SUM(Q49:Q50)</f>
        <v>0</v>
      </c>
      <c r="R51" s="472">
        <f>SUM(R49:R50)</f>
        <v>324</v>
      </c>
      <c r="S51" s="309"/>
      <c r="T51" s="513">
        <f t="shared" si="30"/>
        <v>0.46852739525954401</v>
      </c>
      <c r="U51" s="472">
        <f>SUM(U49:U50)</f>
        <v>0</v>
      </c>
      <c r="V51" s="472">
        <f>SUM(V49:V50)</f>
        <v>0</v>
      </c>
      <c r="W51" s="309"/>
      <c r="X51" s="513">
        <f t="shared" si="31"/>
        <v>0</v>
      </c>
      <c r="Y51" s="472">
        <f>SUM(Y49:Y50)</f>
        <v>0</v>
      </c>
      <c r="Z51" s="472">
        <f>SUM(Z49:Z50)</f>
        <v>12</v>
      </c>
      <c r="AA51" s="309"/>
      <c r="AB51" s="513">
        <f t="shared" si="32"/>
        <v>6.7567111033033547E-2</v>
      </c>
      <c r="AC51" s="472">
        <f>SUM(AC49:AC50)</f>
        <v>0</v>
      </c>
      <c r="AD51" s="472">
        <f>SUM(AD49:AD50)</f>
        <v>0</v>
      </c>
      <c r="AE51" s="309"/>
      <c r="AF51" s="514">
        <f t="shared" si="33"/>
        <v>0</v>
      </c>
      <c r="AG51" s="472">
        <f>SUM(AG49:AG50)</f>
        <v>0</v>
      </c>
      <c r="AH51" s="472">
        <f>SUM(AH49:AH50)</f>
        <v>0</v>
      </c>
      <c r="AI51" s="309"/>
      <c r="AJ51" s="513">
        <f t="shared" si="34"/>
        <v>0</v>
      </c>
      <c r="AK51" s="472">
        <f>SUM(AK49:AK50)</f>
        <v>0</v>
      </c>
      <c r="AL51" s="472">
        <f>SUM(AL49:AL50)</f>
        <v>0</v>
      </c>
      <c r="AM51" s="309"/>
      <c r="AN51" s="513">
        <f t="shared" si="35"/>
        <v>0</v>
      </c>
      <c r="AO51" s="472">
        <f>SUM(AO49:AO50)</f>
        <v>0</v>
      </c>
      <c r="AP51" s="472">
        <f>SUM(AP49:AP50)</f>
        <v>210</v>
      </c>
      <c r="AQ51" s="309"/>
      <c r="AR51" s="513">
        <f t="shared" si="36"/>
        <v>1.8175649476541296</v>
      </c>
      <c r="AS51" s="472">
        <f>SUM(AS49:AS50)</f>
        <v>0</v>
      </c>
      <c r="AT51" s="472">
        <f>SUM(AT49:AT50)</f>
        <v>0</v>
      </c>
      <c r="AU51" s="309"/>
      <c r="AV51" s="513">
        <f t="shared" si="37"/>
        <v>0</v>
      </c>
      <c r="AW51" s="449">
        <f t="shared" si="18"/>
        <v>0</v>
      </c>
      <c r="AX51" s="449">
        <f t="shared" si="19"/>
        <v>546</v>
      </c>
      <c r="AY51" s="309"/>
      <c r="AZ51" s="451">
        <f t="shared" si="38"/>
        <v>0.10546209433503213</v>
      </c>
    </row>
    <row r="52" spans="1:52" ht="19.95" customHeight="1">
      <c r="A52" s="478">
        <v>35</v>
      </c>
      <c r="B52" s="164" t="s">
        <v>41</v>
      </c>
      <c r="C52" s="152">
        <v>0.64</v>
      </c>
      <c r="D52" s="482" t="s">
        <v>18</v>
      </c>
      <c r="E52" s="473">
        <v>84764.159999999974</v>
      </c>
      <c r="F52" s="292">
        <v>78827.520000000004</v>
      </c>
      <c r="G52" s="289">
        <f t="shared" si="20"/>
        <v>-7.0037147775663442</v>
      </c>
      <c r="H52" s="513">
        <f t="shared" si="27"/>
        <v>38.110569089968514</v>
      </c>
      <c r="I52" s="473">
        <v>2402.5600000000004</v>
      </c>
      <c r="J52" s="292">
        <v>1313.28</v>
      </c>
      <c r="K52" s="289">
        <f t="shared" si="21"/>
        <v>-45.338305807139058</v>
      </c>
      <c r="L52" s="513">
        <f t="shared" si="28"/>
        <v>13.030019208483482</v>
      </c>
      <c r="M52" s="473">
        <v>11120.640000000001</v>
      </c>
      <c r="N52" s="292">
        <v>9346.5600000000013</v>
      </c>
      <c r="O52" s="289">
        <f t="shared" si="22"/>
        <v>-15.953038674033152</v>
      </c>
      <c r="P52" s="513">
        <f t="shared" si="29"/>
        <v>14.660185159624261</v>
      </c>
      <c r="Q52" s="473">
        <v>8040.9599999999991</v>
      </c>
      <c r="R52" s="292">
        <v>7104</v>
      </c>
      <c r="S52" s="289">
        <f t="shared" si="13"/>
        <v>-11.652340019102198</v>
      </c>
      <c r="T52" s="513">
        <f t="shared" si="30"/>
        <v>10.27289696272778</v>
      </c>
      <c r="U52" s="473">
        <v>15014.400000000001</v>
      </c>
      <c r="V52" s="292">
        <v>13017.6</v>
      </c>
      <c r="W52" s="289">
        <f t="shared" si="14"/>
        <v>-13.29923273657289</v>
      </c>
      <c r="X52" s="513">
        <f t="shared" si="31"/>
        <v>30.218392512256717</v>
      </c>
      <c r="Y52" s="473">
        <v>0</v>
      </c>
      <c r="Z52" s="292">
        <v>15.36</v>
      </c>
      <c r="AA52" s="289"/>
      <c r="AB52" s="513">
        <f t="shared" si="32"/>
        <v>8.6485902122282937E-2</v>
      </c>
      <c r="AC52" s="473">
        <v>2933.76</v>
      </c>
      <c r="AD52" s="292">
        <v>4055.04</v>
      </c>
      <c r="AE52" s="289">
        <f t="shared" si="16"/>
        <v>38.21989528795811</v>
      </c>
      <c r="AF52" s="514">
        <f t="shared" si="33"/>
        <v>5.2716888530426234</v>
      </c>
      <c r="AG52" s="473"/>
      <c r="AH52" s="292"/>
      <c r="AI52" s="289"/>
      <c r="AJ52" s="513">
        <f t="shared" si="34"/>
        <v>0</v>
      </c>
      <c r="AK52" s="473"/>
      <c r="AL52" s="292"/>
      <c r="AM52" s="289"/>
      <c r="AN52" s="513">
        <f t="shared" si="35"/>
        <v>0</v>
      </c>
      <c r="AO52" s="473"/>
      <c r="AP52" s="292"/>
      <c r="AQ52" s="289"/>
      <c r="AR52" s="513">
        <f t="shared" si="36"/>
        <v>0</v>
      </c>
      <c r="AS52" s="473"/>
      <c r="AT52" s="292"/>
      <c r="AU52" s="289"/>
      <c r="AV52" s="513">
        <f t="shared" si="37"/>
        <v>0</v>
      </c>
      <c r="AW52" s="449">
        <f t="shared" si="18"/>
        <v>124276.47999999997</v>
      </c>
      <c r="AX52" s="449">
        <f t="shared" si="19"/>
        <v>113679.36</v>
      </c>
      <c r="AY52" s="289">
        <f t="shared" si="11"/>
        <v>-8.5270519409625791</v>
      </c>
      <c r="AZ52" s="451">
        <f t="shared" si="38"/>
        <v>21.957625253234575</v>
      </c>
    </row>
    <row r="53" spans="1:52" s="310" customFormat="1" ht="19.95" customHeight="1">
      <c r="A53" s="480"/>
      <c r="B53" s="313" t="s">
        <v>41</v>
      </c>
      <c r="C53" s="314"/>
      <c r="D53" s="483"/>
      <c r="E53" s="472">
        <f>SUM(E52)</f>
        <v>84764.159999999974</v>
      </c>
      <c r="F53" s="312">
        <f>SUM(F52)</f>
        <v>78827.520000000004</v>
      </c>
      <c r="G53" s="309">
        <f t="shared" si="20"/>
        <v>-7.0037147775663442</v>
      </c>
      <c r="H53" s="513">
        <f t="shared" si="27"/>
        <v>38.110569089968514</v>
      </c>
      <c r="I53" s="472">
        <f>SUM(I52)</f>
        <v>2402.5600000000004</v>
      </c>
      <c r="J53" s="312">
        <f>SUM(J52)</f>
        <v>1313.28</v>
      </c>
      <c r="K53" s="309">
        <f t="shared" si="21"/>
        <v>-45.338305807139058</v>
      </c>
      <c r="L53" s="513">
        <f t="shared" si="28"/>
        <v>13.030019208483482</v>
      </c>
      <c r="M53" s="472">
        <f>SUM(M52)</f>
        <v>11120.640000000001</v>
      </c>
      <c r="N53" s="312">
        <f>SUM(N52)</f>
        <v>9346.5600000000013</v>
      </c>
      <c r="O53" s="309">
        <f t="shared" si="22"/>
        <v>-15.953038674033152</v>
      </c>
      <c r="P53" s="513">
        <f t="shared" si="29"/>
        <v>14.660185159624261</v>
      </c>
      <c r="Q53" s="472">
        <f>SUM(Q52)</f>
        <v>8040.9599999999991</v>
      </c>
      <c r="R53" s="312">
        <f>SUM(R52)</f>
        <v>7104</v>
      </c>
      <c r="S53" s="309">
        <f t="shared" si="13"/>
        <v>-11.652340019102198</v>
      </c>
      <c r="T53" s="513">
        <f t="shared" si="30"/>
        <v>10.27289696272778</v>
      </c>
      <c r="U53" s="472">
        <f>SUM(U52)</f>
        <v>15014.400000000001</v>
      </c>
      <c r="V53" s="312">
        <f>SUM(V52)</f>
        <v>13017.6</v>
      </c>
      <c r="W53" s="309">
        <f t="shared" si="14"/>
        <v>-13.29923273657289</v>
      </c>
      <c r="X53" s="513">
        <f t="shared" si="31"/>
        <v>30.218392512256717</v>
      </c>
      <c r="Y53" s="472">
        <f>SUM(Y52)</f>
        <v>0</v>
      </c>
      <c r="Z53" s="312">
        <f>SUM(Z52)</f>
        <v>15.36</v>
      </c>
      <c r="AA53" s="309"/>
      <c r="AB53" s="513">
        <f t="shared" si="32"/>
        <v>8.6485902122282937E-2</v>
      </c>
      <c r="AC53" s="472">
        <f>SUM(AC52)</f>
        <v>2933.76</v>
      </c>
      <c r="AD53" s="312">
        <f>SUM(AD52)</f>
        <v>4055.04</v>
      </c>
      <c r="AE53" s="309">
        <f t="shared" si="16"/>
        <v>38.21989528795811</v>
      </c>
      <c r="AF53" s="514">
        <f t="shared" si="33"/>
        <v>5.2716888530426234</v>
      </c>
      <c r="AG53" s="472">
        <f>SUM(AG52)</f>
        <v>0</v>
      </c>
      <c r="AH53" s="312">
        <f>SUM(AH52)</f>
        <v>0</v>
      </c>
      <c r="AI53" s="309"/>
      <c r="AJ53" s="513">
        <f t="shared" si="34"/>
        <v>0</v>
      </c>
      <c r="AK53" s="472">
        <f>SUM(AK52)</f>
        <v>0</v>
      </c>
      <c r="AL53" s="312">
        <f>SUM(AL52)</f>
        <v>0</v>
      </c>
      <c r="AM53" s="309"/>
      <c r="AN53" s="513">
        <f t="shared" si="35"/>
        <v>0</v>
      </c>
      <c r="AO53" s="472">
        <f>SUM(AO52)</f>
        <v>0</v>
      </c>
      <c r="AP53" s="312">
        <f>SUM(AP52)</f>
        <v>0</v>
      </c>
      <c r="AQ53" s="309"/>
      <c r="AR53" s="513">
        <f t="shared" si="36"/>
        <v>0</v>
      </c>
      <c r="AS53" s="472">
        <f>SUM(AS52)</f>
        <v>0</v>
      </c>
      <c r="AT53" s="312">
        <f>SUM(AT52)</f>
        <v>0</v>
      </c>
      <c r="AU53" s="309"/>
      <c r="AV53" s="513">
        <f t="shared" si="37"/>
        <v>0</v>
      </c>
      <c r="AW53" s="449">
        <f t="shared" si="18"/>
        <v>124276.47999999997</v>
      </c>
      <c r="AX53" s="449">
        <f t="shared" si="19"/>
        <v>113679.36</v>
      </c>
      <c r="AY53" s="309">
        <f t="shared" si="11"/>
        <v>-8.5270519409625791</v>
      </c>
      <c r="AZ53" s="451">
        <f t="shared" si="38"/>
        <v>21.957625253234575</v>
      </c>
    </row>
    <row r="54" spans="1:52" ht="19.95" customHeight="1">
      <c r="A54" s="478">
        <v>36</v>
      </c>
      <c r="B54" s="164" t="s">
        <v>43</v>
      </c>
      <c r="C54" s="152">
        <v>0.64</v>
      </c>
      <c r="D54" s="482" t="s">
        <v>18</v>
      </c>
      <c r="E54" s="473">
        <v>3601.9200000000005</v>
      </c>
      <c r="F54" s="232">
        <v>2903.04</v>
      </c>
      <c r="G54" s="289">
        <f t="shared" si="20"/>
        <v>-19.402985074626883</v>
      </c>
      <c r="H54" s="513">
        <f t="shared" si="27"/>
        <v>1.4035264142642339</v>
      </c>
      <c r="I54" s="473"/>
      <c r="J54" s="232"/>
      <c r="K54" s="289"/>
      <c r="L54" s="513">
        <f t="shared" si="28"/>
        <v>0</v>
      </c>
      <c r="M54" s="473">
        <v>0</v>
      </c>
      <c r="N54" s="232">
        <v>384</v>
      </c>
      <c r="O54" s="289"/>
      <c r="P54" s="513">
        <f t="shared" si="29"/>
        <v>0.60230834673887668</v>
      </c>
      <c r="Q54" s="473"/>
      <c r="R54" s="232"/>
      <c r="S54" s="289"/>
      <c r="T54" s="513">
        <f t="shared" si="30"/>
        <v>0</v>
      </c>
      <c r="U54" s="473">
        <v>614.4</v>
      </c>
      <c r="V54" s="232">
        <v>115.2</v>
      </c>
      <c r="W54" s="289">
        <f t="shared" si="14"/>
        <v>-81.25</v>
      </c>
      <c r="X54" s="513">
        <f t="shared" si="31"/>
        <v>0.26741940276333376</v>
      </c>
      <c r="Y54" s="473"/>
      <c r="Z54" s="232"/>
      <c r="AA54" s="289"/>
      <c r="AB54" s="513">
        <f t="shared" si="32"/>
        <v>0</v>
      </c>
      <c r="AC54" s="473"/>
      <c r="AD54" s="232"/>
      <c r="AE54" s="289"/>
      <c r="AF54" s="514">
        <f t="shared" si="33"/>
        <v>0</v>
      </c>
      <c r="AG54" s="473"/>
      <c r="AH54" s="232"/>
      <c r="AI54" s="289"/>
      <c r="AJ54" s="513">
        <f t="shared" si="34"/>
        <v>0</v>
      </c>
      <c r="AK54" s="473"/>
      <c r="AL54" s="232"/>
      <c r="AM54" s="289"/>
      <c r="AN54" s="513">
        <f t="shared" si="35"/>
        <v>0</v>
      </c>
      <c r="AO54" s="473"/>
      <c r="AP54" s="232"/>
      <c r="AQ54" s="289"/>
      <c r="AR54" s="513">
        <f t="shared" si="36"/>
        <v>0</v>
      </c>
      <c r="AS54" s="473"/>
      <c r="AT54" s="232"/>
      <c r="AU54" s="289"/>
      <c r="AV54" s="513">
        <f t="shared" si="37"/>
        <v>0</v>
      </c>
      <c r="AW54" s="449">
        <f t="shared" si="18"/>
        <v>4216.3200000000006</v>
      </c>
      <c r="AX54" s="449">
        <f t="shared" si="19"/>
        <v>3402.24</v>
      </c>
      <c r="AY54" s="289">
        <f t="shared" si="11"/>
        <v>-19.307832422586529</v>
      </c>
      <c r="AZ54" s="451">
        <f t="shared" si="38"/>
        <v>0.657156329359743</v>
      </c>
    </row>
    <row r="55" spans="1:52" s="310" customFormat="1" ht="19.95" customHeight="1">
      <c r="A55" s="480"/>
      <c r="B55" s="307" t="s">
        <v>43</v>
      </c>
      <c r="C55" s="308"/>
      <c r="D55" s="484"/>
      <c r="E55" s="472">
        <f>SUM(E54)</f>
        <v>3601.9200000000005</v>
      </c>
      <c r="F55" s="312">
        <f>SUM(F54)</f>
        <v>2903.04</v>
      </c>
      <c r="G55" s="309">
        <f t="shared" si="20"/>
        <v>-19.402985074626883</v>
      </c>
      <c r="H55" s="513">
        <f t="shared" si="27"/>
        <v>1.4035264142642339</v>
      </c>
      <c r="I55" s="472">
        <f>SUM(I54)</f>
        <v>0</v>
      </c>
      <c r="J55" s="312">
        <f>SUM(J54)</f>
        <v>0</v>
      </c>
      <c r="K55" s="309"/>
      <c r="L55" s="513">
        <f t="shared" si="28"/>
        <v>0</v>
      </c>
      <c r="M55" s="472">
        <f>SUM(M54)</f>
        <v>0</v>
      </c>
      <c r="N55" s="312">
        <f>SUM(N54)</f>
        <v>384</v>
      </c>
      <c r="O55" s="309"/>
      <c r="P55" s="513">
        <f t="shared" si="29"/>
        <v>0.60230834673887668</v>
      </c>
      <c r="Q55" s="472">
        <f>SUM(Q54)</f>
        <v>0</v>
      </c>
      <c r="R55" s="312">
        <f>SUM(R54)</f>
        <v>0</v>
      </c>
      <c r="S55" s="309"/>
      <c r="T55" s="513">
        <f t="shared" si="30"/>
        <v>0</v>
      </c>
      <c r="U55" s="472">
        <f>SUM(U54)</f>
        <v>614.4</v>
      </c>
      <c r="V55" s="312">
        <f>SUM(V54)</f>
        <v>115.2</v>
      </c>
      <c r="W55" s="309">
        <f t="shared" si="14"/>
        <v>-81.25</v>
      </c>
      <c r="X55" s="513">
        <f t="shared" si="31"/>
        <v>0.26741940276333376</v>
      </c>
      <c r="Y55" s="472">
        <f>SUM(Y54)</f>
        <v>0</v>
      </c>
      <c r="Z55" s="312">
        <f>SUM(Z54)</f>
        <v>0</v>
      </c>
      <c r="AA55" s="309"/>
      <c r="AB55" s="513">
        <f t="shared" si="32"/>
        <v>0</v>
      </c>
      <c r="AC55" s="472">
        <f>SUM(AC54)</f>
        <v>0</v>
      </c>
      <c r="AD55" s="312">
        <f>SUM(AD54)</f>
        <v>0</v>
      </c>
      <c r="AE55" s="309"/>
      <c r="AF55" s="514">
        <f t="shared" si="33"/>
        <v>0</v>
      </c>
      <c r="AG55" s="472">
        <f>SUM(AG54)</f>
        <v>0</v>
      </c>
      <c r="AH55" s="312">
        <f>SUM(AH54)</f>
        <v>0</v>
      </c>
      <c r="AI55" s="309"/>
      <c r="AJ55" s="513">
        <f t="shared" si="34"/>
        <v>0</v>
      </c>
      <c r="AK55" s="472">
        <f>SUM(AK54)</f>
        <v>0</v>
      </c>
      <c r="AL55" s="312">
        <f>SUM(AL54)</f>
        <v>0</v>
      </c>
      <c r="AM55" s="309"/>
      <c r="AN55" s="513">
        <f t="shared" si="35"/>
        <v>0</v>
      </c>
      <c r="AO55" s="472">
        <f>SUM(AO54)</f>
        <v>0</v>
      </c>
      <c r="AP55" s="312">
        <f>SUM(AP54)</f>
        <v>0</v>
      </c>
      <c r="AQ55" s="309"/>
      <c r="AR55" s="513">
        <f t="shared" si="36"/>
        <v>0</v>
      </c>
      <c r="AS55" s="472">
        <f>SUM(AS54)</f>
        <v>0</v>
      </c>
      <c r="AT55" s="312">
        <f>SUM(AT54)</f>
        <v>0</v>
      </c>
      <c r="AU55" s="309"/>
      <c r="AV55" s="513">
        <f t="shared" si="37"/>
        <v>0</v>
      </c>
      <c r="AW55" s="449">
        <f t="shared" si="18"/>
        <v>4216.3200000000006</v>
      </c>
      <c r="AX55" s="449">
        <f t="shared" si="19"/>
        <v>3402.24</v>
      </c>
      <c r="AY55" s="309">
        <f t="shared" si="11"/>
        <v>-19.307832422586529</v>
      </c>
      <c r="AZ55" s="451">
        <f t="shared" si="38"/>
        <v>0.657156329359743</v>
      </c>
    </row>
    <row r="56" spans="1:52" ht="19.95" customHeight="1">
      <c r="A56" s="478">
        <v>37</v>
      </c>
      <c r="B56" s="234" t="s">
        <v>44</v>
      </c>
      <c r="C56" s="220">
        <v>0.64</v>
      </c>
      <c r="D56" s="485" t="s">
        <v>20</v>
      </c>
      <c r="E56" s="473">
        <v>2038.3999999999996</v>
      </c>
      <c r="F56" s="232">
        <v>2042.8799999999999</v>
      </c>
      <c r="G56" s="289">
        <f t="shared" si="20"/>
        <v>0.21978021978024742</v>
      </c>
      <c r="H56" s="513">
        <f t="shared" si="27"/>
        <v>0.98766673596372012</v>
      </c>
      <c r="I56" s="473"/>
      <c r="J56" s="232"/>
      <c r="K56" s="289"/>
      <c r="L56" s="513">
        <f t="shared" si="28"/>
        <v>0</v>
      </c>
      <c r="M56" s="473"/>
      <c r="N56" s="232"/>
      <c r="O56" s="289"/>
      <c r="P56" s="513">
        <f t="shared" si="29"/>
        <v>0</v>
      </c>
      <c r="Q56" s="473">
        <v>259.84000000000003</v>
      </c>
      <c r="R56" s="232">
        <v>228.48000000000002</v>
      </c>
      <c r="S56" s="289">
        <f t="shared" si="13"/>
        <v>-12.068965517241381</v>
      </c>
      <c r="T56" s="513">
        <f t="shared" si="30"/>
        <v>0.33039857799043398</v>
      </c>
      <c r="U56" s="473">
        <v>896</v>
      </c>
      <c r="V56" s="232">
        <v>1254.4000000000001</v>
      </c>
      <c r="W56" s="289">
        <f t="shared" si="14"/>
        <v>40</v>
      </c>
      <c r="X56" s="513">
        <f t="shared" si="31"/>
        <v>2.9119001634229678</v>
      </c>
      <c r="Y56" s="473"/>
      <c r="Z56" s="232"/>
      <c r="AA56" s="289"/>
      <c r="AB56" s="513">
        <f t="shared" si="32"/>
        <v>0</v>
      </c>
      <c r="AC56" s="473"/>
      <c r="AD56" s="232"/>
      <c r="AE56" s="289"/>
      <c r="AF56" s="514">
        <f t="shared" si="33"/>
        <v>0</v>
      </c>
      <c r="AG56" s="473"/>
      <c r="AH56" s="232"/>
      <c r="AI56" s="289"/>
      <c r="AJ56" s="513">
        <f t="shared" si="34"/>
        <v>0</v>
      </c>
      <c r="AK56" s="473"/>
      <c r="AL56" s="232"/>
      <c r="AM56" s="289"/>
      <c r="AN56" s="513">
        <f t="shared" si="35"/>
        <v>0</v>
      </c>
      <c r="AO56" s="473"/>
      <c r="AP56" s="232"/>
      <c r="AQ56" s="289"/>
      <c r="AR56" s="513">
        <f t="shared" si="36"/>
        <v>0</v>
      </c>
      <c r="AS56" s="473"/>
      <c r="AT56" s="232"/>
      <c r="AU56" s="289"/>
      <c r="AV56" s="513">
        <f t="shared" si="37"/>
        <v>0</v>
      </c>
      <c r="AW56" s="449">
        <f t="shared" si="18"/>
        <v>3194.24</v>
      </c>
      <c r="AX56" s="449">
        <f t="shared" si="19"/>
        <v>3525.7599999999998</v>
      </c>
      <c r="AY56" s="289">
        <f t="shared" si="11"/>
        <v>10.378681626928483</v>
      </c>
      <c r="AZ56" s="451">
        <f t="shared" si="38"/>
        <v>0.68101471377780742</v>
      </c>
    </row>
    <row r="57" spans="1:52" s="310" customFormat="1" ht="19.95" customHeight="1" thickBot="1">
      <c r="A57" s="486"/>
      <c r="B57" s="307" t="s">
        <v>173</v>
      </c>
      <c r="C57" s="308"/>
      <c r="D57" s="484"/>
      <c r="E57" s="474">
        <f>SUM(E56)</f>
        <v>2038.3999999999996</v>
      </c>
      <c r="F57" s="454">
        <f>SUM(F56)</f>
        <v>2042.8799999999999</v>
      </c>
      <c r="G57" s="455">
        <f t="shared" si="20"/>
        <v>0.21978021978024742</v>
      </c>
      <c r="H57" s="513">
        <f t="shared" si="27"/>
        <v>0.98766673596372012</v>
      </c>
      <c r="I57" s="474">
        <f>SUM(I56)</f>
        <v>0</v>
      </c>
      <c r="J57" s="454">
        <f>SUM(J56)</f>
        <v>0</v>
      </c>
      <c r="K57" s="455"/>
      <c r="L57" s="513">
        <f t="shared" si="28"/>
        <v>0</v>
      </c>
      <c r="M57" s="474">
        <f>SUM(M56)</f>
        <v>0</v>
      </c>
      <c r="N57" s="454">
        <f>SUM(N56)</f>
        <v>0</v>
      </c>
      <c r="O57" s="455"/>
      <c r="P57" s="513">
        <f t="shared" si="29"/>
        <v>0</v>
      </c>
      <c r="Q57" s="474">
        <f>SUM(Q56)</f>
        <v>259.84000000000003</v>
      </c>
      <c r="R57" s="454">
        <f>SUM(R56)</f>
        <v>228.48000000000002</v>
      </c>
      <c r="S57" s="455">
        <f t="shared" si="13"/>
        <v>-12.068965517241381</v>
      </c>
      <c r="T57" s="513">
        <f t="shared" si="30"/>
        <v>0.33039857799043398</v>
      </c>
      <c r="U57" s="474">
        <f>SUM(U56)</f>
        <v>896</v>
      </c>
      <c r="V57" s="454">
        <f>SUM(V56)</f>
        <v>1254.4000000000001</v>
      </c>
      <c r="W57" s="455">
        <f t="shared" si="14"/>
        <v>40</v>
      </c>
      <c r="X57" s="513">
        <f t="shared" si="31"/>
        <v>2.9119001634229678</v>
      </c>
      <c r="Y57" s="474">
        <f>SUM(Y56)</f>
        <v>0</v>
      </c>
      <c r="Z57" s="454">
        <f>SUM(Z56)</f>
        <v>0</v>
      </c>
      <c r="AA57" s="455"/>
      <c r="AB57" s="513">
        <f t="shared" si="32"/>
        <v>0</v>
      </c>
      <c r="AC57" s="474">
        <f>SUM(AC56)</f>
        <v>0</v>
      </c>
      <c r="AD57" s="454">
        <f>SUM(AD56)</f>
        <v>0</v>
      </c>
      <c r="AE57" s="455"/>
      <c r="AF57" s="514">
        <f t="shared" si="33"/>
        <v>0</v>
      </c>
      <c r="AG57" s="474">
        <f>SUM(AG56)</f>
        <v>0</v>
      </c>
      <c r="AH57" s="454">
        <f>SUM(AH56)</f>
        <v>0</v>
      </c>
      <c r="AI57" s="455"/>
      <c r="AJ57" s="513">
        <f t="shared" si="34"/>
        <v>0</v>
      </c>
      <c r="AK57" s="474">
        <f>SUM(AK56)</f>
        <v>0</v>
      </c>
      <c r="AL57" s="454">
        <f>SUM(AL56)</f>
        <v>0</v>
      </c>
      <c r="AM57" s="455"/>
      <c r="AN57" s="513">
        <f t="shared" si="35"/>
        <v>0</v>
      </c>
      <c r="AO57" s="474">
        <f>SUM(AO56)</f>
        <v>0</v>
      </c>
      <c r="AP57" s="454">
        <f>SUM(AP56)</f>
        <v>0</v>
      </c>
      <c r="AQ57" s="455"/>
      <c r="AR57" s="513">
        <f t="shared" si="36"/>
        <v>0</v>
      </c>
      <c r="AS57" s="474">
        <f>SUM(AS56)</f>
        <v>0</v>
      </c>
      <c r="AT57" s="454">
        <f>SUM(AT56)</f>
        <v>0</v>
      </c>
      <c r="AU57" s="455"/>
      <c r="AV57" s="513">
        <f t="shared" si="37"/>
        <v>0</v>
      </c>
      <c r="AW57" s="449">
        <f t="shared" si="18"/>
        <v>3194.24</v>
      </c>
      <c r="AX57" s="449">
        <f t="shared" si="19"/>
        <v>3525.7599999999998</v>
      </c>
      <c r="AY57" s="455">
        <f t="shared" si="11"/>
        <v>10.378681626928483</v>
      </c>
      <c r="AZ57" s="451">
        <f t="shared" si="38"/>
        <v>0.68101471377780742</v>
      </c>
    </row>
    <row r="58" spans="1:52" ht="19.95" customHeight="1">
      <c r="A58" s="456"/>
      <c r="B58" s="457" t="s">
        <v>159</v>
      </c>
      <c r="C58" s="458"/>
      <c r="D58" s="487"/>
      <c r="E58" s="475">
        <f>E57+E55+E53+E51+E48+E45+E39+E33+E31+E29+E27+E25+E23+E20+E14+E11+E7+E4</f>
        <v>215930.19999999998</v>
      </c>
      <c r="F58" s="475">
        <f>F57+F55+F53+F51+F48+F45+F39+F33+F31+F29+F27+F25+F23+F20+F14+F11+F7+F4</f>
        <v>206839.00000000006</v>
      </c>
      <c r="G58" s="459">
        <f t="shared" si="20"/>
        <v>-4.2102494231932042</v>
      </c>
      <c r="H58" s="513">
        <f t="shared" si="27"/>
        <v>99.999999999999986</v>
      </c>
      <c r="I58" s="475">
        <f>I57+I55+I53+I51+I48+I45+I39+I33+I31+I29+I27+I25+I23+I20+I14+I11+I7+I4</f>
        <v>15860.92</v>
      </c>
      <c r="J58" s="475">
        <f>J57+J55+J53+J51+J48+J45+J39+J33+J31+J29+J27+J25+J23+J20+J14+J11+J7+J4</f>
        <v>10078.879999999999</v>
      </c>
      <c r="K58" s="459">
        <f t="shared" ref="K58" si="39">J58/I58*100-100</f>
        <v>-36.454631887683696</v>
      </c>
      <c r="L58" s="513">
        <f t="shared" si="28"/>
        <v>100</v>
      </c>
      <c r="M58" s="475">
        <f>M57+M55+M53+M51+M48+M45+M39+M33+M31+M29+M27+M25+M23+M20+M14+M11+M7+M4</f>
        <v>76870.559999999983</v>
      </c>
      <c r="N58" s="475">
        <f>N57+N55+N53+N51+N48+N45+N39+N33+N31+N29+N27+N25+N23+N20+N14+N11+N7+N4</f>
        <v>63754.720000000008</v>
      </c>
      <c r="O58" s="459">
        <f t="shared" ref="O58" si="40">N58/M58*100-100</f>
        <v>-17.062240732993189</v>
      </c>
      <c r="P58" s="513">
        <f t="shared" si="29"/>
        <v>100</v>
      </c>
      <c r="Q58" s="475">
        <f>Q57+Q55+Q53+Q51+Q48+Q45+Q39+Q33+Q31+Q29+Q27+Q25+Q23+Q20+Q14+Q11+Q7+Q4</f>
        <v>73503.020000000019</v>
      </c>
      <c r="R58" s="475">
        <f>R57+R55+R53+R51+R48+R45+R39+R33+R31+R29+R27+R25+R23+R20+R14+R11+R7+R4</f>
        <v>69152.84</v>
      </c>
      <c r="S58" s="459">
        <f t="shared" ref="S58" si="41">R58/Q58*100-100</f>
        <v>-5.9183690683729964</v>
      </c>
      <c r="T58" s="513">
        <f t="shared" si="30"/>
        <v>100</v>
      </c>
      <c r="U58" s="475">
        <f>U57+U55+U53+U51+U48+U45+U39+U33+U31+U29+U27+U25+U23+U20+U14+U11+U7+U4</f>
        <v>47622.640000000007</v>
      </c>
      <c r="V58" s="475">
        <f>V57+V55+V53+V51+V48+V45+V39+V33+V31+V29+V27+V25+V23+V20+V14+V11+V7+V4</f>
        <v>43078.400000000009</v>
      </c>
      <c r="W58" s="459">
        <f t="shared" ref="W58" si="42">V58/U58*100-100</f>
        <v>-9.5421841376286523</v>
      </c>
      <c r="X58" s="513">
        <f t="shared" si="31"/>
        <v>100</v>
      </c>
      <c r="Y58" s="475">
        <f>Y57+Y55+Y53+Y51+Y48+Y45+Y39+Y33+Y31+Y29+Y27+Y25+Y23+Y20+Y14+Y11+Y7+Y4</f>
        <v>17688.46</v>
      </c>
      <c r="Z58" s="475">
        <f>Z57+Z55+Z53+Z51+Z48+Z45+Z39+Z33+Z31+Z29+Z27+Z25+Z23+Z20+Z14+Z11+Z7+Z4</f>
        <v>17760.120000000003</v>
      </c>
      <c r="AA58" s="459">
        <f>Z58/Y58*100-100</f>
        <v>0.40512288802985097</v>
      </c>
      <c r="AB58" s="513">
        <f t="shared" si="32"/>
        <v>100</v>
      </c>
      <c r="AC58" s="475">
        <f>AC57+AC55+AC53+AC51+AC48+AC45+AC39+AC33+AC31+AC29+AC27+AC25+AC23+AC20+AC14+AC11+AC7+AC4</f>
        <v>84448.56</v>
      </c>
      <c r="AD58" s="475">
        <f>AD57+AD55+AD53+AD51+AD48+AD45+AD39+AD33+AD31+AD29+AD27+AD25+AD23+AD20+AD14+AD11+AD7+AD4</f>
        <v>76921.080000000016</v>
      </c>
      <c r="AE58" s="459">
        <f t="shared" ref="AE58" si="43">AD58/AC58*100-100</f>
        <v>-8.9136866276938065</v>
      </c>
      <c r="AF58" s="514">
        <f t="shared" si="33"/>
        <v>100</v>
      </c>
      <c r="AG58" s="475">
        <f>AG57+AG55+AG53+AG51+AG48+AG45+AG39+AG33+AG31+AG29+AG27+AG25+AG23+AG20+AG14+AG11+AG7+AG4</f>
        <v>13236</v>
      </c>
      <c r="AH58" s="475">
        <f>AH57+AH55+AH53+AH51+AH48+AH45+AH39+AH33+AH31+AH29+AH27+AH25+AH23+AH20+AH14+AH11+AH7+AH4</f>
        <v>2920</v>
      </c>
      <c r="AI58" s="459">
        <f t="shared" ref="AI58" si="44">AH58/AG58*100-100</f>
        <v>-77.938954366878207</v>
      </c>
      <c r="AJ58" s="513">
        <f t="shared" si="34"/>
        <v>100</v>
      </c>
      <c r="AK58" s="475">
        <f>AK57+AK55+AK53+AK51+AK48+AK45+AK39+AK33+AK31+AK29+AK27+AK25+AK23+AK20+AK14+AK11+AK7+AK4</f>
        <v>8431.6</v>
      </c>
      <c r="AL58" s="475">
        <f>AL57+AL55+AL53+AL51+AL48+AL45+AL39+AL33+AL31+AL29+AL27+AL25+AL23+AL20+AL14+AL11+AL7+AL4</f>
        <v>7414.6</v>
      </c>
      <c r="AM58" s="459">
        <f t="shared" ref="AM58" si="45">AL58/AK58*100-100</f>
        <v>-12.061767636035867</v>
      </c>
      <c r="AN58" s="513">
        <f t="shared" si="35"/>
        <v>100</v>
      </c>
      <c r="AO58" s="475">
        <f>AO57+AO55+AO53+AO51+AO48+AO45+AO39+AO33+AO31+AO29+AO27+AO25+AO23+AO20+AO14+AO11+AO7+AO4</f>
        <v>10278.280000000001</v>
      </c>
      <c r="AP58" s="475">
        <f>AP57+AP55+AP53+AP51+AP48+AP45+AP39+AP33+AP31+AP29+AP27+AP25+AP23+AP20+AP14+AP11+AP7+AP4</f>
        <v>11553.92</v>
      </c>
      <c r="AQ58" s="459">
        <f t="shared" ref="AQ58" si="46">AP58/AO58*100-100</f>
        <v>12.411025969325593</v>
      </c>
      <c r="AR58" s="513">
        <f t="shared" si="36"/>
        <v>100</v>
      </c>
      <c r="AS58" s="475">
        <f>AS57+AS55+AS53+AS51+AS48+AS45+AS39+AS33+AS31+AS29+AS27+AS25+AS23+AS20+AS14+AS11+AS7+AS4</f>
        <v>18460.560000000001</v>
      </c>
      <c r="AT58" s="475">
        <f>AT57+AT55+AT53+AT51+AT48+AT45+AT39+AT33+AT31+AT29+AT27+AT25+AT23+AT20+AT14+AT11+AT7+AT4</f>
        <v>8248</v>
      </c>
      <c r="AU58" s="459">
        <f t="shared" ref="AU58" si="47">AT58/AS58*100-100</f>
        <v>-55.320965344496592</v>
      </c>
      <c r="AV58" s="513">
        <f t="shared" si="37"/>
        <v>100</v>
      </c>
      <c r="AW58" s="475">
        <f>AW57+AW55+AW53+AW51+AW48+AW45+AW39+AW33+AW31+AW29+AW27+AW25+AW23+AW20+AW14+AW11+AW7+AW4</f>
        <v>582330.79999999993</v>
      </c>
      <c r="AX58" s="475">
        <f>AX57+AX55+AX53+AX51+AX48+AX45+AX39+AX33+AX31+AX29+AX27+AX25+AX23+AX20+AX14+AX11+AX7+AX4</f>
        <v>517721.56000000006</v>
      </c>
      <c r="AY58" s="460">
        <f t="shared" si="11"/>
        <v>-11.094937791372175</v>
      </c>
      <c r="AZ58" s="461">
        <f>AZ3+AZ6+AZ8+AZ9+AZ10+AZ12+AZ13+AZ15+AZ16+AZ17+AZ18+AZ19+AZ22+AZ24+AZ26+AZ30+AZ28+AZ32+AZ34+AZ35+AZ36+AZ38+AZ37+AZ43+AZ41+AZ40+AZ42+AZ44+AZ46+AZ47+AZ52+AZ54+AZ56+AZ5</f>
        <v>99.847601479065275</v>
      </c>
    </row>
    <row r="59" spans="1:52" ht="19.95" customHeight="1">
      <c r="A59" s="462"/>
      <c r="B59" s="239" t="s">
        <v>340</v>
      </c>
      <c r="C59" s="239"/>
      <c r="D59" s="488"/>
      <c r="E59" s="476"/>
      <c r="F59" s="237">
        <v>221437.36750000025</v>
      </c>
      <c r="G59" s="290"/>
      <c r="H59" s="290"/>
      <c r="I59" s="237"/>
      <c r="J59" s="237">
        <v>15233.916666666657</v>
      </c>
      <c r="K59" s="290"/>
      <c r="L59" s="290"/>
      <c r="M59" s="237"/>
      <c r="N59" s="237">
        <v>75872.36</v>
      </c>
      <c r="O59" s="290"/>
      <c r="P59" s="290"/>
      <c r="Q59" s="237"/>
      <c r="R59" s="237">
        <v>74441.603333333333</v>
      </c>
      <c r="S59" s="290"/>
      <c r="T59" s="290"/>
      <c r="U59" s="237"/>
      <c r="V59" s="237">
        <v>42941.03</v>
      </c>
      <c r="W59" s="290"/>
      <c r="X59" s="290"/>
      <c r="Y59" s="237"/>
      <c r="Z59" s="237">
        <v>15503.616666666669</v>
      </c>
      <c r="AA59" s="290"/>
      <c r="AB59" s="290"/>
      <c r="AC59" s="237"/>
      <c r="AD59" s="237">
        <v>93970.340000000011</v>
      </c>
      <c r="AE59" s="290"/>
      <c r="AF59" s="290"/>
      <c r="AG59" s="237"/>
      <c r="AH59" s="237">
        <v>10759.293333333333</v>
      </c>
      <c r="AI59" s="290"/>
      <c r="AJ59" s="290"/>
      <c r="AK59" s="237"/>
      <c r="AL59" s="237">
        <v>7048.2533333333331</v>
      </c>
      <c r="AM59" s="290"/>
      <c r="AN59" s="290"/>
      <c r="AO59" s="237"/>
      <c r="AP59" s="237">
        <v>16157.084999999999</v>
      </c>
      <c r="AQ59" s="290"/>
      <c r="AR59" s="290"/>
      <c r="AS59" s="237"/>
      <c r="AT59" s="237">
        <v>18282.413333333334</v>
      </c>
      <c r="AU59" s="290"/>
      <c r="AV59" s="290"/>
      <c r="AW59" s="237"/>
      <c r="AX59" s="237">
        <v>591647.27916666679</v>
      </c>
      <c r="AY59" s="290"/>
      <c r="AZ59" s="463"/>
    </row>
    <row r="60" spans="1:52" ht="19.95" customHeight="1">
      <c r="A60" s="462"/>
      <c r="B60" s="239" t="s">
        <v>157</v>
      </c>
      <c r="C60" s="239"/>
      <c r="D60" s="488"/>
      <c r="E60" s="476"/>
      <c r="F60" s="237">
        <f>F58/F59*100-100</f>
        <v>-6.5925492453301331</v>
      </c>
      <c r="G60" s="290"/>
      <c r="H60" s="290"/>
      <c r="I60" s="237"/>
      <c r="J60" s="240">
        <f t="shared" ref="J60:AT60" si="48">J58/J59*100-100</f>
        <v>-33.83920747017342</v>
      </c>
      <c r="K60" s="290"/>
      <c r="L60" s="290"/>
      <c r="M60" s="240"/>
      <c r="N60" s="240">
        <f t="shared" si="48"/>
        <v>-15.971086176836977</v>
      </c>
      <c r="O60" s="290"/>
      <c r="P60" s="290"/>
      <c r="Q60" s="240"/>
      <c r="R60" s="240">
        <f t="shared" si="48"/>
        <v>-7.1045800956911194</v>
      </c>
      <c r="S60" s="290"/>
      <c r="T60" s="290"/>
      <c r="U60" s="240"/>
      <c r="V60" s="240">
        <f t="shared" si="48"/>
        <v>0.3199038309048774</v>
      </c>
      <c r="W60" s="290"/>
      <c r="X60" s="290"/>
      <c r="Y60" s="240"/>
      <c r="Z60" s="237">
        <f t="shared" si="48"/>
        <v>14.554689927189031</v>
      </c>
      <c r="AA60" s="290"/>
      <c r="AB60" s="290"/>
      <c r="AC60" s="237"/>
      <c r="AD60" s="240">
        <f t="shared" si="48"/>
        <v>-18.143235408108552</v>
      </c>
      <c r="AE60" s="290"/>
      <c r="AF60" s="290"/>
      <c r="AG60" s="240"/>
      <c r="AH60" s="240">
        <f t="shared" si="48"/>
        <v>-72.860671146927871</v>
      </c>
      <c r="AI60" s="290"/>
      <c r="AJ60" s="290"/>
      <c r="AK60" s="240"/>
      <c r="AL60" s="237">
        <f t="shared" si="48"/>
        <v>5.1976943696689091</v>
      </c>
      <c r="AM60" s="290"/>
      <c r="AN60" s="290"/>
      <c r="AO60" s="237"/>
      <c r="AP60" s="237">
        <f t="shared" si="48"/>
        <v>-28.490071074082977</v>
      </c>
      <c r="AQ60" s="290"/>
      <c r="AR60" s="290"/>
      <c r="AS60" s="237"/>
      <c r="AT60" s="240">
        <f t="shared" si="48"/>
        <v>-54.885605911983902</v>
      </c>
      <c r="AU60" s="290"/>
      <c r="AV60" s="290"/>
      <c r="AW60" s="240"/>
      <c r="AX60" s="318">
        <f>AX58/AX59*100-100</f>
        <v>-12.494897174341929</v>
      </c>
      <c r="AY60" s="290"/>
      <c r="AZ60" s="463"/>
    </row>
    <row r="61" spans="1:52" ht="19.95" customHeight="1" thickBot="1">
      <c r="A61" s="464"/>
      <c r="B61" s="465" t="s">
        <v>158</v>
      </c>
      <c r="C61" s="465"/>
      <c r="D61" s="489"/>
      <c r="E61" s="477"/>
      <c r="F61" s="466">
        <f>F58-F59</f>
        <v>-14598.367500000197</v>
      </c>
      <c r="G61" s="467"/>
      <c r="H61" s="467"/>
      <c r="I61" s="466"/>
      <c r="J61" s="468">
        <f t="shared" ref="J61:AX61" si="49">J58-J59</f>
        <v>-5155.0366666666578</v>
      </c>
      <c r="K61" s="467"/>
      <c r="L61" s="467"/>
      <c r="M61" s="468"/>
      <c r="N61" s="468">
        <f t="shared" si="49"/>
        <v>-12117.639999999992</v>
      </c>
      <c r="O61" s="467"/>
      <c r="P61" s="467"/>
      <c r="Q61" s="468"/>
      <c r="R61" s="468">
        <f t="shared" si="49"/>
        <v>-5288.763333333336</v>
      </c>
      <c r="S61" s="467"/>
      <c r="T61" s="467"/>
      <c r="U61" s="468"/>
      <c r="V61" s="468">
        <f t="shared" si="49"/>
        <v>137.3700000000099</v>
      </c>
      <c r="W61" s="467"/>
      <c r="X61" s="467"/>
      <c r="Y61" s="468"/>
      <c r="Z61" s="466">
        <f t="shared" si="49"/>
        <v>2256.503333333334</v>
      </c>
      <c r="AA61" s="467"/>
      <c r="AB61" s="467"/>
      <c r="AC61" s="466"/>
      <c r="AD61" s="468">
        <f t="shared" si="49"/>
        <v>-17049.259999999995</v>
      </c>
      <c r="AE61" s="467"/>
      <c r="AF61" s="467"/>
      <c r="AG61" s="468"/>
      <c r="AH61" s="468">
        <f t="shared" si="49"/>
        <v>-7839.2933333333331</v>
      </c>
      <c r="AI61" s="467"/>
      <c r="AJ61" s="467"/>
      <c r="AK61" s="468"/>
      <c r="AL61" s="466">
        <f t="shared" si="49"/>
        <v>366.34666666666726</v>
      </c>
      <c r="AM61" s="467"/>
      <c r="AN61" s="467"/>
      <c r="AO61" s="466"/>
      <c r="AP61" s="466">
        <f t="shared" si="49"/>
        <v>-4603.1649999999991</v>
      </c>
      <c r="AQ61" s="467"/>
      <c r="AR61" s="467"/>
      <c r="AS61" s="466"/>
      <c r="AT61" s="468">
        <f t="shared" si="49"/>
        <v>-10034.413333333334</v>
      </c>
      <c r="AU61" s="467"/>
      <c r="AV61" s="467"/>
      <c r="AW61" s="468"/>
      <c r="AX61" s="468">
        <f t="shared" si="49"/>
        <v>-73925.719166666735</v>
      </c>
      <c r="AY61" s="467"/>
      <c r="AZ61" s="469"/>
    </row>
  </sheetData>
  <autoFilter ref="A2:AZ61" xr:uid="{C9613E3A-D13A-467F-B4D6-240F4058DDE3}"/>
  <mergeCells count="39">
    <mergeCell ref="AR1:AR2"/>
    <mergeCell ref="AV1:AV2"/>
    <mergeCell ref="L1:L2"/>
    <mergeCell ref="P1:P2"/>
    <mergeCell ref="T1:T2"/>
    <mergeCell ref="X1:X2"/>
    <mergeCell ref="AB1:AB2"/>
    <mergeCell ref="Y1:Z1"/>
    <mergeCell ref="AY1:AY2"/>
    <mergeCell ref="AA1:AA2"/>
    <mergeCell ref="AE1:AE2"/>
    <mergeCell ref="AI1:AI2"/>
    <mergeCell ref="AM1:AM2"/>
    <mergeCell ref="AQ1:AQ2"/>
    <mergeCell ref="AC1:AD1"/>
    <mergeCell ref="AG1:AH1"/>
    <mergeCell ref="AW1:AX1"/>
    <mergeCell ref="AS1:AT1"/>
    <mergeCell ref="AO1:AP1"/>
    <mergeCell ref="AK1:AL1"/>
    <mergeCell ref="AU1:AU2"/>
    <mergeCell ref="AF1:AF2"/>
    <mergeCell ref="AJ1:AJ2"/>
    <mergeCell ref="AN1:AN2"/>
    <mergeCell ref="A1:A2"/>
    <mergeCell ref="B1:B2"/>
    <mergeCell ref="C1:C2"/>
    <mergeCell ref="D1:D2"/>
    <mergeCell ref="E1:F1"/>
    <mergeCell ref="G1:G2"/>
    <mergeCell ref="K1:K2"/>
    <mergeCell ref="O1:O2"/>
    <mergeCell ref="S1:S2"/>
    <mergeCell ref="W1:W2"/>
    <mergeCell ref="I1:J1"/>
    <mergeCell ref="M1:N1"/>
    <mergeCell ref="Q1:R1"/>
    <mergeCell ref="U1:V1"/>
    <mergeCell ref="H1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2D3E-795D-4C07-9C9B-F51059A28ACA}">
  <sheetPr>
    <tabColor rgb="FFFF0000"/>
  </sheetPr>
  <dimension ref="A1:AD29"/>
  <sheetViews>
    <sheetView topLeftCell="D1" zoomScale="70" zoomScaleNormal="70" workbookViewId="0">
      <selection activeCell="AH34" sqref="AH34"/>
    </sheetView>
  </sheetViews>
  <sheetFormatPr defaultColWidth="9.109375" defaultRowHeight="13.8"/>
  <cols>
    <col min="1" max="1" width="5.44140625" style="675" customWidth="1"/>
    <col min="2" max="2" width="9.109375" style="675"/>
    <col min="3" max="3" width="31.33203125" style="675" customWidth="1"/>
    <col min="4" max="8" width="9.109375" style="675"/>
    <col min="9" max="9" width="8.6640625" style="675" customWidth="1"/>
    <col min="10" max="10" width="3.6640625" style="675" customWidth="1"/>
    <col min="11" max="11" width="6.109375" style="675" customWidth="1"/>
    <col min="12" max="12" width="8.88671875" style="675" customWidth="1"/>
    <col min="13" max="13" width="35" style="675" customWidth="1"/>
    <col min="14" max="14" width="8" style="675" customWidth="1"/>
    <col min="15" max="19" width="9.109375" style="675"/>
    <col min="20" max="20" width="3.109375" style="675" customWidth="1"/>
    <col min="21" max="21" width="6.33203125" style="675" customWidth="1"/>
    <col min="22" max="22" width="9.109375" style="675"/>
    <col min="23" max="23" width="38.6640625" style="675" customWidth="1"/>
    <col min="24" max="29" width="9.109375" style="675"/>
    <col min="30" max="30" width="8.88671875" style="675" customWidth="1"/>
    <col min="31" max="32" width="9.109375" style="675"/>
    <col min="33" max="33" width="8.88671875" style="675" customWidth="1"/>
    <col min="34" max="16384" width="9.109375" style="675"/>
  </cols>
  <sheetData>
    <row r="1" spans="1:30" ht="20.399999999999999" customHeight="1">
      <c r="A1" s="927" t="s">
        <v>372</v>
      </c>
      <c r="B1" s="927"/>
      <c r="C1" s="928"/>
      <c r="D1" s="928"/>
      <c r="E1" s="928"/>
      <c r="F1" s="928"/>
      <c r="G1" s="928"/>
      <c r="H1" s="928"/>
      <c r="I1" s="928"/>
      <c r="K1" s="927" t="s">
        <v>373</v>
      </c>
      <c r="L1" s="927"/>
      <c r="M1" s="928"/>
      <c r="N1" s="928"/>
      <c r="O1" s="928"/>
      <c r="P1" s="928"/>
      <c r="Q1" s="928"/>
      <c r="R1" s="928"/>
      <c r="S1" s="928"/>
      <c r="U1" s="927" t="s">
        <v>374</v>
      </c>
      <c r="V1" s="927"/>
      <c r="W1" s="928"/>
      <c r="X1" s="928"/>
      <c r="Y1" s="928"/>
      <c r="Z1" s="928"/>
      <c r="AA1" s="928"/>
      <c r="AB1" s="928"/>
      <c r="AC1" s="928"/>
    </row>
    <row r="2" spans="1:30" ht="20.399999999999999">
      <c r="A2" s="676" t="s">
        <v>375</v>
      </c>
      <c r="B2" s="929" t="s">
        <v>376</v>
      </c>
      <c r="C2" s="931" t="s">
        <v>377</v>
      </c>
      <c r="D2" s="931" t="s">
        <v>378</v>
      </c>
      <c r="E2" s="931"/>
      <c r="F2" s="931"/>
      <c r="G2" s="931"/>
      <c r="H2" s="931"/>
      <c r="I2" s="931"/>
      <c r="K2" s="676" t="s">
        <v>375</v>
      </c>
      <c r="L2" s="929" t="s">
        <v>376</v>
      </c>
      <c r="M2" s="931" t="s">
        <v>377</v>
      </c>
      <c r="N2" s="931" t="s">
        <v>378</v>
      </c>
      <c r="O2" s="931"/>
      <c r="P2" s="931"/>
      <c r="Q2" s="931"/>
      <c r="R2" s="931"/>
      <c r="S2" s="931"/>
      <c r="U2" s="676" t="s">
        <v>375</v>
      </c>
      <c r="V2" s="929" t="s">
        <v>376</v>
      </c>
      <c r="W2" s="931" t="s">
        <v>377</v>
      </c>
      <c r="X2" s="931" t="s">
        <v>378</v>
      </c>
      <c r="Y2" s="931"/>
      <c r="Z2" s="931"/>
      <c r="AA2" s="931"/>
      <c r="AB2" s="931"/>
      <c r="AC2" s="931"/>
    </row>
    <row r="3" spans="1:30" ht="20.399999999999999">
      <c r="A3" s="677"/>
      <c r="B3" s="930"/>
      <c r="C3" s="932"/>
      <c r="D3" s="678" t="s">
        <v>379</v>
      </c>
      <c r="E3" s="678" t="s">
        <v>380</v>
      </c>
      <c r="F3" s="678" t="s">
        <v>381</v>
      </c>
      <c r="G3" s="678" t="s">
        <v>382</v>
      </c>
      <c r="H3" s="678" t="s">
        <v>383</v>
      </c>
      <c r="I3" s="678" t="s">
        <v>128</v>
      </c>
      <c r="K3" s="677"/>
      <c r="L3" s="930"/>
      <c r="M3" s="932"/>
      <c r="N3" s="678" t="s">
        <v>379</v>
      </c>
      <c r="O3" s="678" t="s">
        <v>380</v>
      </c>
      <c r="P3" s="678" t="s">
        <v>381</v>
      </c>
      <c r="Q3" s="678" t="s">
        <v>382</v>
      </c>
      <c r="R3" s="678" t="s">
        <v>383</v>
      </c>
      <c r="S3" s="678" t="s">
        <v>128</v>
      </c>
      <c r="U3" s="677"/>
      <c r="V3" s="930"/>
      <c r="W3" s="932"/>
      <c r="X3" s="678" t="s">
        <v>379</v>
      </c>
      <c r="Y3" s="678" t="s">
        <v>380</v>
      </c>
      <c r="Z3" s="678" t="s">
        <v>381</v>
      </c>
      <c r="AA3" s="678" t="s">
        <v>382</v>
      </c>
      <c r="AB3" s="678" t="s">
        <v>383</v>
      </c>
      <c r="AC3" s="678" t="s">
        <v>128</v>
      </c>
    </row>
    <row r="4" spans="1:30" ht="22.95" customHeight="1">
      <c r="A4" s="679">
        <v>1</v>
      </c>
      <c r="B4" s="679" t="s">
        <v>384</v>
      </c>
      <c r="C4" s="680" t="s">
        <v>385</v>
      </c>
      <c r="D4" s="680"/>
      <c r="E4" s="681">
        <v>2</v>
      </c>
      <c r="F4" s="681"/>
      <c r="G4" s="678">
        <v>10</v>
      </c>
      <c r="H4" s="678"/>
      <c r="I4" s="678">
        <f t="shared" ref="I4:I14" si="0">SUM(E4:H4)</f>
        <v>12</v>
      </c>
      <c r="K4" s="679">
        <v>1</v>
      </c>
      <c r="L4" s="679" t="s">
        <v>386</v>
      </c>
      <c r="M4" s="682" t="s">
        <v>387</v>
      </c>
      <c r="N4" s="683"/>
      <c r="O4" s="684"/>
      <c r="P4" s="684"/>
      <c r="Q4" s="684">
        <v>12</v>
      </c>
      <c r="R4" s="685"/>
      <c r="S4" s="685">
        <f>SUM(N4:R4)</f>
        <v>12</v>
      </c>
      <c r="U4" s="679">
        <v>1</v>
      </c>
      <c r="V4" s="679" t="s">
        <v>388</v>
      </c>
      <c r="W4" s="686" t="s">
        <v>389</v>
      </c>
      <c r="X4" s="685"/>
      <c r="Y4" s="685"/>
      <c r="Z4" s="685"/>
      <c r="AA4" s="685">
        <v>10</v>
      </c>
      <c r="AB4" s="685"/>
      <c r="AC4" s="685">
        <f t="shared" ref="AC4:AC9" si="1">AA4</f>
        <v>10</v>
      </c>
    </row>
    <row r="5" spans="1:30" ht="22.95" customHeight="1">
      <c r="A5" s="679">
        <v>2</v>
      </c>
      <c r="B5" s="679" t="s">
        <v>390</v>
      </c>
      <c r="C5" s="680" t="s">
        <v>391</v>
      </c>
      <c r="D5" s="680"/>
      <c r="E5" s="681"/>
      <c r="F5" s="681"/>
      <c r="G5" s="678">
        <v>11</v>
      </c>
      <c r="H5" s="678"/>
      <c r="I5" s="678">
        <f t="shared" si="0"/>
        <v>11</v>
      </c>
      <c r="K5" s="679">
        <v>2</v>
      </c>
      <c r="L5" s="679" t="s">
        <v>392</v>
      </c>
      <c r="M5" s="687" t="s">
        <v>393</v>
      </c>
      <c r="N5" s="687"/>
      <c r="O5" s="686"/>
      <c r="P5" s="686"/>
      <c r="Q5" s="686">
        <v>15</v>
      </c>
      <c r="R5" s="685"/>
      <c r="S5" s="685">
        <f t="shared" ref="S5:S13" si="2">SUM(N5:R5)</f>
        <v>15</v>
      </c>
      <c r="U5" s="679">
        <v>2</v>
      </c>
      <c r="V5" s="679" t="s">
        <v>394</v>
      </c>
      <c r="W5" s="686" t="s">
        <v>395</v>
      </c>
      <c r="X5" s="685"/>
      <c r="Y5" s="685"/>
      <c r="Z5" s="685"/>
      <c r="AA5" s="685">
        <v>10</v>
      </c>
      <c r="AB5" s="685"/>
      <c r="AC5" s="685">
        <f t="shared" si="1"/>
        <v>10</v>
      </c>
    </row>
    <row r="6" spans="1:30" ht="22.95" customHeight="1">
      <c r="A6" s="679">
        <v>3</v>
      </c>
      <c r="B6" s="679" t="s">
        <v>396</v>
      </c>
      <c r="C6" s="680" t="s">
        <v>397</v>
      </c>
      <c r="D6" s="680"/>
      <c r="E6" s="681">
        <v>13</v>
      </c>
      <c r="F6" s="686">
        <v>1</v>
      </c>
      <c r="G6" s="678">
        <v>2</v>
      </c>
      <c r="H6" s="678"/>
      <c r="I6" s="678">
        <f t="shared" si="0"/>
        <v>16</v>
      </c>
      <c r="K6" s="679">
        <v>3</v>
      </c>
      <c r="L6" s="679" t="s">
        <v>398</v>
      </c>
      <c r="M6" s="687" t="s">
        <v>399</v>
      </c>
      <c r="N6" s="687"/>
      <c r="O6" s="686"/>
      <c r="P6" s="686"/>
      <c r="Q6" s="686">
        <v>15</v>
      </c>
      <c r="R6" s="685"/>
      <c r="S6" s="685">
        <f t="shared" si="2"/>
        <v>15</v>
      </c>
      <c r="U6" s="679">
        <v>3</v>
      </c>
      <c r="V6" s="679" t="s">
        <v>400</v>
      </c>
      <c r="W6" s="686" t="s">
        <v>401</v>
      </c>
      <c r="X6" s="685"/>
      <c r="Y6" s="685"/>
      <c r="Z6" s="685"/>
      <c r="AA6" s="685">
        <v>13</v>
      </c>
      <c r="AB6" s="685"/>
      <c r="AC6" s="685">
        <f t="shared" si="1"/>
        <v>13</v>
      </c>
    </row>
    <row r="7" spans="1:30" ht="22.95" customHeight="1">
      <c r="A7" s="679">
        <v>4</v>
      </c>
      <c r="B7" s="679" t="s">
        <v>402</v>
      </c>
      <c r="C7" s="687" t="s">
        <v>403</v>
      </c>
      <c r="D7" s="680"/>
      <c r="E7" s="681">
        <v>2</v>
      </c>
      <c r="F7" s="681"/>
      <c r="G7" s="678">
        <v>13</v>
      </c>
      <c r="H7" s="678"/>
      <c r="I7" s="678">
        <f t="shared" si="0"/>
        <v>15</v>
      </c>
      <c r="K7" s="679">
        <v>4</v>
      </c>
      <c r="L7" s="679" t="s">
        <v>404</v>
      </c>
      <c r="M7" s="687" t="s">
        <v>405</v>
      </c>
      <c r="N7" s="687"/>
      <c r="O7" s="686"/>
      <c r="P7" s="686"/>
      <c r="Q7" s="686">
        <v>13</v>
      </c>
      <c r="R7" s="685"/>
      <c r="S7" s="685">
        <f t="shared" si="2"/>
        <v>13</v>
      </c>
      <c r="U7" s="679">
        <v>4</v>
      </c>
      <c r="V7" s="679" t="s">
        <v>406</v>
      </c>
      <c r="W7" s="686" t="s">
        <v>407</v>
      </c>
      <c r="X7" s="685"/>
      <c r="Y7" s="685"/>
      <c r="Z7" s="685"/>
      <c r="AA7" s="679">
        <v>5</v>
      </c>
      <c r="AB7" s="685"/>
      <c r="AC7" s="685">
        <f t="shared" si="1"/>
        <v>5</v>
      </c>
    </row>
    <row r="8" spans="1:30" ht="22.95" customHeight="1">
      <c r="A8" s="679">
        <v>5</v>
      </c>
      <c r="B8" s="679" t="s">
        <v>408</v>
      </c>
      <c r="C8" s="687" t="s">
        <v>409</v>
      </c>
      <c r="D8" s="687"/>
      <c r="E8" s="686">
        <v>5</v>
      </c>
      <c r="F8" s="686"/>
      <c r="G8" s="678">
        <v>11</v>
      </c>
      <c r="H8" s="678"/>
      <c r="I8" s="678">
        <f t="shared" si="0"/>
        <v>16</v>
      </c>
      <c r="K8" s="679">
        <v>5</v>
      </c>
      <c r="L8" s="679" t="s">
        <v>410</v>
      </c>
      <c r="M8" s="687" t="s">
        <v>411</v>
      </c>
      <c r="N8" s="687"/>
      <c r="O8" s="686"/>
      <c r="P8" s="686"/>
      <c r="Q8" s="686">
        <v>9</v>
      </c>
      <c r="R8" s="685"/>
      <c r="S8" s="685">
        <f t="shared" si="2"/>
        <v>9</v>
      </c>
      <c r="U8" s="679">
        <v>5</v>
      </c>
      <c r="V8" s="679" t="s">
        <v>412</v>
      </c>
      <c r="W8" s="686" t="s">
        <v>413</v>
      </c>
      <c r="X8" s="685"/>
      <c r="Y8" s="685"/>
      <c r="Z8" s="685"/>
      <c r="AA8" s="685">
        <v>6</v>
      </c>
      <c r="AB8" s="685"/>
      <c r="AC8" s="685">
        <f t="shared" si="1"/>
        <v>6</v>
      </c>
    </row>
    <row r="9" spans="1:30" ht="22.95" customHeight="1">
      <c r="A9" s="679">
        <v>6</v>
      </c>
      <c r="B9" s="679" t="s">
        <v>414</v>
      </c>
      <c r="C9" s="687" t="s">
        <v>415</v>
      </c>
      <c r="D9" s="687"/>
      <c r="E9" s="686"/>
      <c r="F9" s="686">
        <v>4</v>
      </c>
      <c r="G9" s="678">
        <v>9</v>
      </c>
      <c r="H9" s="678"/>
      <c r="I9" s="678">
        <f t="shared" si="0"/>
        <v>13</v>
      </c>
      <c r="K9" s="679">
        <v>6</v>
      </c>
      <c r="L9" s="679" t="s">
        <v>416</v>
      </c>
      <c r="M9" s="680" t="s">
        <v>417</v>
      </c>
      <c r="N9" s="680"/>
      <c r="O9" s="681"/>
      <c r="P9" s="681">
        <v>1</v>
      </c>
      <c r="Q9" s="681">
        <v>5</v>
      </c>
      <c r="R9" s="685"/>
      <c r="S9" s="685">
        <f t="shared" si="2"/>
        <v>6</v>
      </c>
      <c r="U9" s="679">
        <v>6</v>
      </c>
      <c r="V9" s="679" t="s">
        <v>418</v>
      </c>
      <c r="W9" s="686" t="s">
        <v>419</v>
      </c>
      <c r="X9" s="685"/>
      <c r="Y9" s="685"/>
      <c r="Z9" s="685"/>
      <c r="AA9" s="685">
        <v>9</v>
      </c>
      <c r="AB9" s="685"/>
      <c r="AC9" s="685">
        <f t="shared" si="1"/>
        <v>9</v>
      </c>
    </row>
    <row r="10" spans="1:30" ht="22.95" customHeight="1">
      <c r="A10" s="679">
        <v>7</v>
      </c>
      <c r="B10" s="679" t="s">
        <v>420</v>
      </c>
      <c r="C10" s="687" t="s">
        <v>421</v>
      </c>
      <c r="D10" s="687"/>
      <c r="E10" s="686"/>
      <c r="F10" s="686"/>
      <c r="G10" s="678">
        <v>11</v>
      </c>
      <c r="H10" s="678"/>
      <c r="I10" s="678">
        <f t="shared" si="0"/>
        <v>11</v>
      </c>
      <c r="K10" s="679">
        <v>7</v>
      </c>
      <c r="L10" s="679" t="s">
        <v>422</v>
      </c>
      <c r="M10" s="687" t="s">
        <v>423</v>
      </c>
      <c r="N10" s="687"/>
      <c r="O10" s="686"/>
      <c r="P10" s="686"/>
      <c r="Q10" s="686">
        <v>17</v>
      </c>
      <c r="R10" s="685"/>
      <c r="S10" s="685">
        <f t="shared" si="2"/>
        <v>17</v>
      </c>
      <c r="U10" s="679"/>
      <c r="V10" s="679"/>
      <c r="W10" s="687"/>
      <c r="X10" s="687"/>
      <c r="Y10" s="686"/>
      <c r="Z10" s="686"/>
      <c r="AA10" s="686"/>
      <c r="AB10" s="685"/>
      <c r="AC10" s="685"/>
    </row>
    <row r="11" spans="1:30" ht="22.95" customHeight="1">
      <c r="A11" s="679">
        <v>8</v>
      </c>
      <c r="B11" s="679" t="s">
        <v>424</v>
      </c>
      <c r="C11" s="687" t="s">
        <v>425</v>
      </c>
      <c r="D11" s="687"/>
      <c r="E11" s="686"/>
      <c r="F11" s="686">
        <v>1</v>
      </c>
      <c r="G11" s="678">
        <v>10</v>
      </c>
      <c r="H11" s="678"/>
      <c r="I11" s="678">
        <f t="shared" si="0"/>
        <v>11</v>
      </c>
      <c r="K11" s="679">
        <v>8</v>
      </c>
      <c r="L11" s="679" t="s">
        <v>426</v>
      </c>
      <c r="M11" s="686" t="s">
        <v>427</v>
      </c>
      <c r="N11" s="680"/>
      <c r="O11" s="681"/>
      <c r="P11" s="681"/>
      <c r="Q11" s="681">
        <v>14</v>
      </c>
      <c r="R11" s="685"/>
      <c r="S11" s="685">
        <f t="shared" si="2"/>
        <v>14</v>
      </c>
      <c r="U11" s="679"/>
      <c r="V11" s="679"/>
      <c r="W11" s="686"/>
      <c r="X11" s="680"/>
      <c r="Y11" s="681"/>
      <c r="Z11" s="681"/>
      <c r="AA11" s="681"/>
      <c r="AB11" s="685"/>
      <c r="AC11" s="685"/>
    </row>
    <row r="12" spans="1:30" ht="22.95" customHeight="1">
      <c r="A12" s="679">
        <v>9</v>
      </c>
      <c r="B12" s="679" t="s">
        <v>428</v>
      </c>
      <c r="C12" s="687" t="s">
        <v>429</v>
      </c>
      <c r="D12" s="687"/>
      <c r="E12" s="686"/>
      <c r="F12" s="686">
        <v>4</v>
      </c>
      <c r="G12" s="678">
        <v>5</v>
      </c>
      <c r="H12" s="678"/>
      <c r="I12" s="678">
        <f t="shared" si="0"/>
        <v>9</v>
      </c>
      <c r="K12" s="679">
        <v>9</v>
      </c>
      <c r="L12" s="679" t="s">
        <v>430</v>
      </c>
      <c r="M12" s="680" t="s">
        <v>431</v>
      </c>
      <c r="N12" s="680"/>
      <c r="O12" s="681">
        <v>1</v>
      </c>
      <c r="P12" s="681"/>
      <c r="Q12" s="681">
        <v>13</v>
      </c>
      <c r="R12" s="685"/>
      <c r="S12" s="685">
        <f t="shared" si="2"/>
        <v>14</v>
      </c>
      <c r="U12" s="679"/>
      <c r="V12" s="679"/>
      <c r="W12" s="680"/>
      <c r="X12" s="680"/>
      <c r="Y12" s="681"/>
      <c r="Z12" s="681"/>
      <c r="AA12" s="681"/>
      <c r="AB12" s="685"/>
      <c r="AC12" s="685"/>
    </row>
    <row r="13" spans="1:30" ht="21" customHeight="1">
      <c r="A13" s="679">
        <v>10</v>
      </c>
      <c r="B13" s="679" t="s">
        <v>432</v>
      </c>
      <c r="C13" s="680" t="s">
        <v>433</v>
      </c>
      <c r="D13" s="680"/>
      <c r="E13" s="680"/>
      <c r="F13" s="680"/>
      <c r="G13" s="678">
        <v>10</v>
      </c>
      <c r="H13" s="678"/>
      <c r="I13" s="678">
        <f t="shared" si="0"/>
        <v>10</v>
      </c>
      <c r="K13" s="679">
        <v>10</v>
      </c>
      <c r="L13" s="679" t="s">
        <v>434</v>
      </c>
      <c r="M13" s="687" t="s">
        <v>435</v>
      </c>
      <c r="N13" s="687"/>
      <c r="O13" s="687"/>
      <c r="P13" s="685"/>
      <c r="Q13" s="685">
        <v>11</v>
      </c>
      <c r="R13" s="685"/>
      <c r="S13" s="685">
        <f t="shared" si="2"/>
        <v>11</v>
      </c>
      <c r="U13" s="679"/>
      <c r="V13" s="679"/>
      <c r="W13" s="687"/>
      <c r="X13" s="687"/>
      <c r="Y13" s="687"/>
      <c r="Z13" s="685"/>
      <c r="AA13" s="685"/>
      <c r="AB13" s="685"/>
      <c r="AC13" s="685"/>
    </row>
    <row r="14" spans="1:30" ht="22.95" customHeight="1">
      <c r="A14" s="679">
        <v>11</v>
      </c>
      <c r="B14" s="679" t="s">
        <v>436</v>
      </c>
      <c r="C14" s="687" t="s">
        <v>437</v>
      </c>
      <c r="D14" s="687"/>
      <c r="E14" s="686">
        <v>1</v>
      </c>
      <c r="F14" s="687"/>
      <c r="G14" s="678">
        <v>12</v>
      </c>
      <c r="H14" s="678"/>
      <c r="I14" s="678">
        <f t="shared" si="0"/>
        <v>13</v>
      </c>
      <c r="K14" s="678"/>
      <c r="L14" s="678"/>
      <c r="M14" s="678"/>
      <c r="N14" s="678"/>
      <c r="O14" s="678"/>
      <c r="P14" s="678"/>
      <c r="Q14" s="678"/>
      <c r="R14" s="678"/>
      <c r="S14" s="678"/>
      <c r="U14" s="678"/>
      <c r="V14" s="678"/>
      <c r="W14" s="678"/>
      <c r="X14" s="678"/>
      <c r="Y14" s="678"/>
      <c r="Z14" s="678"/>
      <c r="AA14" s="678"/>
      <c r="AB14" s="678"/>
      <c r="AC14" s="678"/>
    </row>
    <row r="15" spans="1:30" ht="20.399999999999999">
      <c r="A15" s="688"/>
      <c r="B15" s="688"/>
      <c r="C15" s="688"/>
      <c r="D15" s="688"/>
      <c r="E15" s="689">
        <f>SUM(E4:E14)</f>
        <v>23</v>
      </c>
      <c r="F15" s="689">
        <f>SUM(F4:F14)</f>
        <v>10</v>
      </c>
      <c r="G15" s="689">
        <f>SUM(G4:G14)</f>
        <v>104</v>
      </c>
      <c r="H15" s="689"/>
      <c r="I15" s="688">
        <f>SUM(E15:H15)</f>
        <v>137</v>
      </c>
      <c r="K15" s="688"/>
      <c r="L15" s="688"/>
      <c r="M15" s="688"/>
      <c r="N15" s="688"/>
      <c r="O15" s="689">
        <f>SUM(O4:O14)</f>
        <v>1</v>
      </c>
      <c r="P15" s="689">
        <f>SUM(P4:P14)</f>
        <v>1</v>
      </c>
      <c r="Q15" s="689">
        <f>SUM(Q4:Q14)</f>
        <v>124</v>
      </c>
      <c r="R15" s="689"/>
      <c r="S15" s="688">
        <f>SUM(O15:R15)</f>
        <v>126</v>
      </c>
      <c r="U15" s="688"/>
      <c r="V15" s="688"/>
      <c r="W15" s="688"/>
      <c r="X15" s="688"/>
      <c r="Y15" s="689">
        <f>SUM(Y4:Y14)</f>
        <v>0</v>
      </c>
      <c r="Z15" s="689">
        <f>SUM(Z4:Z14)</f>
        <v>0</v>
      </c>
      <c r="AA15" s="689">
        <f>SUM(AA4:AA14)</f>
        <v>53</v>
      </c>
      <c r="AB15" s="689"/>
      <c r="AC15" s="688">
        <f>SUM(Y15:AB15)</f>
        <v>53</v>
      </c>
    </row>
    <row r="16" spans="1:30" ht="22.8">
      <c r="A16" s="690"/>
      <c r="B16" s="690"/>
      <c r="C16" s="690"/>
      <c r="D16" s="691" t="s">
        <v>379</v>
      </c>
      <c r="E16" s="915" t="s">
        <v>438</v>
      </c>
      <c r="F16" s="915"/>
      <c r="G16" s="915"/>
      <c r="H16" s="692"/>
      <c r="I16" s="692"/>
      <c r="K16" s="690"/>
      <c r="L16" s="690"/>
      <c r="M16" s="690"/>
      <c r="N16" s="691" t="s">
        <v>379</v>
      </c>
      <c r="O16" s="926" t="s">
        <v>438</v>
      </c>
      <c r="P16" s="926"/>
      <c r="Q16" s="926"/>
      <c r="R16" s="692"/>
      <c r="S16" s="692"/>
      <c r="T16" s="693"/>
      <c r="U16" s="690"/>
      <c r="V16" s="690"/>
      <c r="W16" s="690"/>
      <c r="X16" s="691" t="s">
        <v>379</v>
      </c>
      <c r="Y16" s="915" t="s">
        <v>438</v>
      </c>
      <c r="Z16" s="915"/>
      <c r="AA16" s="915"/>
      <c r="AB16" s="692"/>
      <c r="AC16" s="692"/>
      <c r="AD16" s="693"/>
    </row>
    <row r="17" spans="1:30" ht="22.8">
      <c r="A17" s="690"/>
      <c r="B17" s="690"/>
      <c r="C17" s="690"/>
      <c r="D17" s="691" t="s">
        <v>380</v>
      </c>
      <c r="E17" s="915" t="s">
        <v>439</v>
      </c>
      <c r="F17" s="915"/>
      <c r="G17" s="915"/>
      <c r="H17" s="692"/>
      <c r="I17" s="692"/>
      <c r="K17" s="690"/>
      <c r="L17" s="690"/>
      <c r="M17" s="690"/>
      <c r="N17" s="691" t="s">
        <v>380</v>
      </c>
      <c r="O17" s="915" t="s">
        <v>439</v>
      </c>
      <c r="P17" s="915"/>
      <c r="Q17" s="915"/>
      <c r="R17" s="692"/>
      <c r="S17" s="692"/>
      <c r="T17" s="693"/>
      <c r="U17" s="690"/>
      <c r="V17" s="690"/>
      <c r="W17" s="690"/>
      <c r="X17" s="691" t="s">
        <v>380</v>
      </c>
      <c r="Y17" s="915" t="s">
        <v>439</v>
      </c>
      <c r="Z17" s="915"/>
      <c r="AA17" s="915"/>
      <c r="AB17" s="692"/>
      <c r="AC17" s="692"/>
      <c r="AD17" s="693">
        <f>AC15+S15+I15</f>
        <v>316</v>
      </c>
    </row>
    <row r="18" spans="1:30" ht="22.8">
      <c r="A18" s="690"/>
      <c r="B18" s="690"/>
      <c r="C18" s="690"/>
      <c r="D18" s="691" t="s">
        <v>381</v>
      </c>
      <c r="E18" s="915" t="s">
        <v>440</v>
      </c>
      <c r="F18" s="915"/>
      <c r="G18" s="915"/>
      <c r="H18" s="692"/>
      <c r="I18" s="692"/>
      <c r="K18" s="690"/>
      <c r="L18" s="690"/>
      <c r="M18" s="690"/>
      <c r="N18" s="691" t="s">
        <v>381</v>
      </c>
      <c r="O18" s="915" t="s">
        <v>440</v>
      </c>
      <c r="P18" s="915"/>
      <c r="Q18" s="915"/>
      <c r="R18" s="692"/>
      <c r="S18" s="692"/>
      <c r="T18" s="693"/>
      <c r="U18" s="690"/>
      <c r="V18" s="690"/>
      <c r="W18" s="690"/>
      <c r="X18" s="691" t="s">
        <v>381</v>
      </c>
      <c r="Y18" s="915" t="s">
        <v>440</v>
      </c>
      <c r="Z18" s="915"/>
      <c r="AA18" s="915"/>
      <c r="AB18" s="692"/>
      <c r="AC18" s="692"/>
      <c r="AD18" s="693"/>
    </row>
    <row r="19" spans="1:30" ht="22.8">
      <c r="A19" s="690"/>
      <c r="B19" s="690"/>
      <c r="C19" s="690"/>
      <c r="D19" s="691" t="s">
        <v>382</v>
      </c>
      <c r="E19" s="915" t="s">
        <v>441</v>
      </c>
      <c r="F19" s="915"/>
      <c r="G19" s="915"/>
      <c r="H19" s="692"/>
      <c r="I19" s="692"/>
      <c r="K19" s="690"/>
      <c r="L19" s="690"/>
      <c r="M19" s="690"/>
      <c r="N19" s="691" t="s">
        <v>382</v>
      </c>
      <c r="O19" s="915" t="s">
        <v>441</v>
      </c>
      <c r="P19" s="915"/>
      <c r="Q19" s="915"/>
      <c r="R19" s="692"/>
      <c r="S19" s="692"/>
      <c r="T19" s="693"/>
      <c r="U19" s="690"/>
      <c r="V19" s="690"/>
      <c r="W19" s="690"/>
      <c r="X19" s="691" t="s">
        <v>382</v>
      </c>
      <c r="Y19" s="915" t="s">
        <v>441</v>
      </c>
      <c r="Z19" s="915"/>
      <c r="AA19" s="915"/>
      <c r="AB19" s="692"/>
      <c r="AC19" s="692"/>
      <c r="AD19" s="693"/>
    </row>
    <row r="20" spans="1:30" ht="22.8">
      <c r="A20" s="690"/>
      <c r="B20" s="690"/>
      <c r="C20" s="690"/>
      <c r="D20" s="691" t="s">
        <v>383</v>
      </c>
      <c r="E20" s="915" t="s">
        <v>442</v>
      </c>
      <c r="F20" s="915"/>
      <c r="G20" s="915"/>
      <c r="H20" s="692"/>
      <c r="I20" s="692"/>
      <c r="K20" s="690"/>
      <c r="L20" s="690"/>
      <c r="M20" s="690"/>
      <c r="N20" s="691" t="s">
        <v>383</v>
      </c>
      <c r="O20" s="915" t="s">
        <v>442</v>
      </c>
      <c r="P20" s="915"/>
      <c r="Q20" s="915"/>
      <c r="R20" s="692"/>
      <c r="S20" s="692"/>
      <c r="T20" s="693"/>
      <c r="U20" s="690"/>
      <c r="V20" s="690"/>
      <c r="W20" s="690"/>
      <c r="X20" s="691" t="s">
        <v>383</v>
      </c>
      <c r="Y20" s="915" t="s">
        <v>442</v>
      </c>
      <c r="Z20" s="915"/>
      <c r="AA20" s="915"/>
      <c r="AB20" s="692"/>
      <c r="AC20" s="692"/>
      <c r="AD20" s="693"/>
    </row>
    <row r="21" spans="1:30" ht="23.4" thickBot="1">
      <c r="A21" s="690"/>
      <c r="B21" s="690"/>
      <c r="C21" s="694"/>
      <c r="D21" s="695"/>
      <c r="E21" s="693"/>
      <c r="F21" s="693"/>
      <c r="G21" s="693"/>
      <c r="H21" s="693"/>
      <c r="I21" s="693"/>
      <c r="K21" s="690"/>
      <c r="L21" s="690"/>
      <c r="M21" s="690"/>
      <c r="N21" s="694"/>
      <c r="O21" s="695"/>
      <c r="P21" s="693"/>
      <c r="Q21" s="693"/>
      <c r="R21" s="693"/>
      <c r="S21" s="693"/>
      <c r="T21" s="693"/>
      <c r="U21" s="690"/>
      <c r="V21" s="690"/>
      <c r="W21" s="690"/>
      <c r="X21" s="694"/>
      <c r="Y21" s="695"/>
      <c r="Z21" s="693"/>
      <c r="AA21" s="693"/>
      <c r="AB21" s="693"/>
      <c r="AC21" s="693"/>
      <c r="AD21" s="693"/>
    </row>
    <row r="22" spans="1:30" ht="14.4" customHeight="1">
      <c r="A22" s="918" t="s">
        <v>443</v>
      </c>
      <c r="B22" s="919"/>
      <c r="C22" s="919"/>
      <c r="D22" s="919"/>
      <c r="E22" s="919"/>
      <c r="F22" s="919"/>
      <c r="G22" s="919"/>
      <c r="H22" s="919"/>
      <c r="I22" s="919"/>
      <c r="K22" s="918" t="s">
        <v>443</v>
      </c>
      <c r="L22" s="919"/>
      <c r="M22" s="919"/>
      <c r="N22" s="919"/>
      <c r="O22" s="919"/>
      <c r="P22" s="919"/>
      <c r="Q22" s="919"/>
      <c r="R22" s="919"/>
      <c r="S22" s="919"/>
      <c r="T22" s="923"/>
      <c r="U22" s="918" t="s">
        <v>443</v>
      </c>
      <c r="V22" s="919"/>
      <c r="W22" s="919"/>
      <c r="X22" s="919"/>
      <c r="Y22" s="919"/>
      <c r="Z22" s="919"/>
      <c r="AA22" s="919"/>
      <c r="AB22" s="919"/>
      <c r="AC22" s="919"/>
      <c r="AD22" s="919"/>
    </row>
    <row r="23" spans="1:30" ht="14.4" customHeight="1">
      <c r="A23" s="920"/>
      <c r="B23" s="917"/>
      <c r="C23" s="917"/>
      <c r="D23" s="917"/>
      <c r="E23" s="917"/>
      <c r="F23" s="917"/>
      <c r="G23" s="917"/>
      <c r="H23" s="917"/>
      <c r="I23" s="917"/>
      <c r="K23" s="920"/>
      <c r="L23" s="917"/>
      <c r="M23" s="917"/>
      <c r="N23" s="917"/>
      <c r="O23" s="917"/>
      <c r="P23" s="917"/>
      <c r="Q23" s="917"/>
      <c r="R23" s="917"/>
      <c r="S23" s="917"/>
      <c r="T23" s="924"/>
      <c r="U23" s="920"/>
      <c r="V23" s="917"/>
      <c r="W23" s="917"/>
      <c r="X23" s="917"/>
      <c r="Y23" s="917"/>
      <c r="Z23" s="917"/>
      <c r="AA23" s="917"/>
      <c r="AB23" s="917"/>
      <c r="AC23" s="917"/>
      <c r="AD23" s="917"/>
    </row>
    <row r="24" spans="1:30" ht="15" customHeight="1" thickBot="1">
      <c r="A24" s="921"/>
      <c r="B24" s="922"/>
      <c r="C24" s="922"/>
      <c r="D24" s="922"/>
      <c r="E24" s="922"/>
      <c r="F24" s="922"/>
      <c r="G24" s="922"/>
      <c r="H24" s="922"/>
      <c r="I24" s="922"/>
      <c r="K24" s="921"/>
      <c r="L24" s="922"/>
      <c r="M24" s="922"/>
      <c r="N24" s="922"/>
      <c r="O24" s="922"/>
      <c r="P24" s="922"/>
      <c r="Q24" s="922"/>
      <c r="R24" s="922"/>
      <c r="S24" s="922"/>
      <c r="T24" s="925"/>
      <c r="U24" s="921"/>
      <c r="V24" s="922"/>
      <c r="W24" s="922"/>
      <c r="X24" s="922"/>
      <c r="Y24" s="922"/>
      <c r="Z24" s="922"/>
      <c r="AA24" s="922"/>
      <c r="AB24" s="922"/>
      <c r="AC24" s="922"/>
      <c r="AD24" s="922"/>
    </row>
    <row r="25" spans="1:30" ht="20.399999999999999">
      <c r="K25" s="696"/>
      <c r="L25" s="696"/>
      <c r="M25" s="697"/>
      <c r="N25" s="916"/>
      <c r="O25" s="916"/>
      <c r="P25" s="916"/>
      <c r="Q25" s="698"/>
      <c r="R25" s="698"/>
      <c r="S25" s="699"/>
    </row>
    <row r="26" spans="1:30" ht="20.399999999999999">
      <c r="K26" s="696"/>
      <c r="L26" s="696"/>
      <c r="M26" s="700"/>
      <c r="N26" s="701"/>
      <c r="O26" s="699"/>
      <c r="P26" s="699"/>
      <c r="Q26" s="699"/>
      <c r="R26" s="699"/>
      <c r="S26" s="699"/>
    </row>
    <row r="27" spans="1:30">
      <c r="K27" s="917"/>
      <c r="L27" s="917"/>
      <c r="M27" s="917"/>
      <c r="N27" s="917"/>
      <c r="O27" s="917"/>
      <c r="P27" s="917"/>
      <c r="Q27" s="917"/>
      <c r="R27" s="917"/>
      <c r="S27" s="917"/>
    </row>
    <row r="28" spans="1:30">
      <c r="K28" s="917"/>
      <c r="L28" s="917"/>
      <c r="M28" s="917"/>
      <c r="N28" s="917"/>
      <c r="O28" s="917"/>
      <c r="P28" s="917"/>
      <c r="Q28" s="917"/>
      <c r="R28" s="917"/>
      <c r="S28" s="917"/>
    </row>
    <row r="29" spans="1:30">
      <c r="K29" s="917"/>
      <c r="L29" s="917"/>
      <c r="M29" s="917"/>
      <c r="N29" s="917"/>
      <c r="O29" s="917"/>
      <c r="P29" s="917"/>
      <c r="Q29" s="917"/>
      <c r="R29" s="917"/>
      <c r="S29" s="917"/>
    </row>
  </sheetData>
  <mergeCells count="32">
    <mergeCell ref="A1:I1"/>
    <mergeCell ref="K1:S1"/>
    <mergeCell ref="U1:AC1"/>
    <mergeCell ref="B2:B3"/>
    <mergeCell ref="C2:C3"/>
    <mergeCell ref="D2:I2"/>
    <mergeCell ref="L2:L3"/>
    <mergeCell ref="M2:M3"/>
    <mergeCell ref="N2:S2"/>
    <mergeCell ref="V2:V3"/>
    <mergeCell ref="W2:W3"/>
    <mergeCell ref="X2:AC2"/>
    <mergeCell ref="O16:Q16"/>
    <mergeCell ref="Y16:AA16"/>
    <mergeCell ref="E18:G18"/>
    <mergeCell ref="O18:Q18"/>
    <mergeCell ref="Y18:AA18"/>
    <mergeCell ref="E17:G17"/>
    <mergeCell ref="O17:Q17"/>
    <mergeCell ref="Y17:AA17"/>
    <mergeCell ref="E16:G16"/>
    <mergeCell ref="E19:G19"/>
    <mergeCell ref="O19:Q19"/>
    <mergeCell ref="Y19:AA19"/>
    <mergeCell ref="N25:P25"/>
    <mergeCell ref="K27:S29"/>
    <mergeCell ref="E20:G20"/>
    <mergeCell ref="O20:Q20"/>
    <mergeCell ref="Y20:AA20"/>
    <mergeCell ref="A22:I24"/>
    <mergeCell ref="K22:T24"/>
    <mergeCell ref="U22:AD24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12DB-F88B-4B14-A5FE-AD8DDBD834E0}">
  <sheetPr>
    <tabColor rgb="FFFF0000"/>
  </sheetPr>
  <dimension ref="A1:CT319"/>
  <sheetViews>
    <sheetView topLeftCell="A292" zoomScale="90" zoomScaleNormal="90" workbookViewId="0">
      <selection activeCell="K316" sqref="K316"/>
    </sheetView>
  </sheetViews>
  <sheetFormatPr defaultColWidth="9.109375" defaultRowHeight="13.8"/>
  <cols>
    <col min="1" max="1" width="6.33203125" style="675" customWidth="1"/>
    <col min="2" max="2" width="15.6640625" style="675" customWidth="1"/>
    <col min="3" max="3" width="9" style="705" customWidth="1"/>
    <col min="4" max="4" width="22.5546875" style="705" bestFit="1" customWidth="1"/>
    <col min="5" max="5" width="18.6640625" style="675" customWidth="1"/>
    <col min="6" max="6" width="10.88671875" style="675" customWidth="1"/>
    <col min="7" max="7" width="15.33203125" style="675" customWidth="1"/>
    <col min="8" max="8" width="18.33203125" style="675" bestFit="1" customWidth="1"/>
    <col min="9" max="9" width="9.6640625" style="675" customWidth="1"/>
    <col min="10" max="16384" width="9.109375" style="675"/>
  </cols>
  <sheetData>
    <row r="1" spans="1:9">
      <c r="A1" s="675" t="s">
        <v>460</v>
      </c>
    </row>
    <row r="2" spans="1:9" ht="20.399999999999999">
      <c r="A2" s="728"/>
      <c r="B2" s="729"/>
      <c r="C2" s="729"/>
      <c r="D2" s="729"/>
      <c r="E2" s="729"/>
      <c r="F2" s="729"/>
      <c r="G2" s="729"/>
      <c r="H2" s="729"/>
      <c r="I2" s="729"/>
    </row>
    <row r="3" spans="1:9" ht="20.399999999999999" customHeight="1">
      <c r="A3" s="930" t="s">
        <v>111</v>
      </c>
      <c r="B3" s="930" t="s">
        <v>461</v>
      </c>
      <c r="C3" s="930" t="s">
        <v>462</v>
      </c>
      <c r="D3" s="930" t="s">
        <v>463</v>
      </c>
      <c r="E3" s="930" t="s">
        <v>352</v>
      </c>
      <c r="F3" s="930" t="s">
        <v>464</v>
      </c>
      <c r="G3" s="933" t="s">
        <v>465</v>
      </c>
      <c r="H3" s="930" t="s">
        <v>466</v>
      </c>
      <c r="I3" s="930" t="s">
        <v>467</v>
      </c>
    </row>
    <row r="4" spans="1:9" ht="20.399999999999999" customHeight="1">
      <c r="A4" s="930"/>
      <c r="B4" s="930"/>
      <c r="C4" s="930"/>
      <c r="D4" s="930"/>
      <c r="E4" s="930"/>
      <c r="F4" s="930"/>
      <c r="G4" s="933"/>
      <c r="H4" s="930"/>
      <c r="I4" s="930"/>
    </row>
    <row r="5" spans="1:9" ht="20.399999999999999">
      <c r="A5" s="730">
        <v>1</v>
      </c>
      <c r="B5" s="731" t="s">
        <v>468</v>
      </c>
      <c r="C5" s="732" t="s">
        <v>380</v>
      </c>
      <c r="D5" s="733" t="s">
        <v>469</v>
      </c>
      <c r="E5" s="733" t="s">
        <v>470</v>
      </c>
      <c r="F5" s="733" t="s">
        <v>384</v>
      </c>
      <c r="G5" s="733" t="s">
        <v>471</v>
      </c>
      <c r="H5" s="734" t="s">
        <v>214</v>
      </c>
      <c r="I5" s="730">
        <v>3</v>
      </c>
    </row>
    <row r="6" spans="1:9" ht="20.399999999999999">
      <c r="A6" s="730">
        <v>2</v>
      </c>
      <c r="B6" s="731" t="s">
        <v>472</v>
      </c>
      <c r="C6" s="732" t="s">
        <v>380</v>
      </c>
      <c r="D6" s="733" t="s">
        <v>469</v>
      </c>
      <c r="E6" s="733" t="s">
        <v>470</v>
      </c>
      <c r="F6" s="733" t="s">
        <v>384</v>
      </c>
      <c r="G6" s="733" t="s">
        <v>473</v>
      </c>
      <c r="H6" s="734" t="s">
        <v>214</v>
      </c>
      <c r="I6" s="730">
        <v>3</v>
      </c>
    </row>
    <row r="7" spans="1:9" ht="20.399999999999999">
      <c r="A7" s="733">
        <v>3</v>
      </c>
      <c r="B7" s="731" t="s">
        <v>474</v>
      </c>
      <c r="C7" s="732" t="s">
        <v>382</v>
      </c>
      <c r="D7" s="733" t="s">
        <v>475</v>
      </c>
      <c r="E7" s="733" t="s">
        <v>470</v>
      </c>
      <c r="F7" s="733" t="s">
        <v>384</v>
      </c>
      <c r="G7" s="733"/>
      <c r="H7" s="734" t="s">
        <v>476</v>
      </c>
      <c r="I7" s="730">
        <v>3</v>
      </c>
    </row>
    <row r="8" spans="1:9" ht="20.399999999999999">
      <c r="A8" s="730">
        <v>4</v>
      </c>
      <c r="B8" s="731" t="s">
        <v>477</v>
      </c>
      <c r="C8" s="732" t="s">
        <v>382</v>
      </c>
      <c r="D8" s="733" t="s">
        <v>469</v>
      </c>
      <c r="E8" s="733" t="s">
        <v>470</v>
      </c>
      <c r="F8" s="733" t="s">
        <v>384</v>
      </c>
      <c r="G8" s="733" t="s">
        <v>478</v>
      </c>
      <c r="H8" s="734" t="s">
        <v>214</v>
      </c>
      <c r="I8" s="730">
        <v>3</v>
      </c>
    </row>
    <row r="9" spans="1:9" ht="20.399999999999999">
      <c r="A9" s="730">
        <v>5</v>
      </c>
      <c r="B9" s="731" t="s">
        <v>479</v>
      </c>
      <c r="C9" s="732" t="s">
        <v>382</v>
      </c>
      <c r="D9" s="733" t="s">
        <v>480</v>
      </c>
      <c r="E9" s="733" t="s">
        <v>470</v>
      </c>
      <c r="F9" s="733" t="s">
        <v>384</v>
      </c>
      <c r="G9" s="733" t="s">
        <v>481</v>
      </c>
      <c r="H9" s="734" t="s">
        <v>214</v>
      </c>
      <c r="I9" s="730">
        <v>4</v>
      </c>
    </row>
    <row r="10" spans="1:9" ht="20.399999999999999">
      <c r="A10" s="730">
        <v>6</v>
      </c>
      <c r="B10" s="731" t="s">
        <v>482</v>
      </c>
      <c r="C10" s="732" t="s">
        <v>382</v>
      </c>
      <c r="D10" s="733" t="s">
        <v>480</v>
      </c>
      <c r="E10" s="733" t="s">
        <v>470</v>
      </c>
      <c r="F10" s="733" t="s">
        <v>384</v>
      </c>
      <c r="G10" s="733" t="s">
        <v>483</v>
      </c>
      <c r="H10" s="734" t="s">
        <v>484</v>
      </c>
      <c r="I10" s="730">
        <v>4</v>
      </c>
    </row>
    <row r="11" spans="1:9" ht="20.399999999999999">
      <c r="A11" s="733">
        <v>7</v>
      </c>
      <c r="B11" s="731" t="s">
        <v>485</v>
      </c>
      <c r="C11" s="732" t="s">
        <v>382</v>
      </c>
      <c r="D11" s="733" t="s">
        <v>480</v>
      </c>
      <c r="E11" s="733" t="s">
        <v>470</v>
      </c>
      <c r="F11" s="733" t="s">
        <v>384</v>
      </c>
      <c r="G11" s="733"/>
      <c r="H11" s="734" t="s">
        <v>484</v>
      </c>
      <c r="I11" s="730">
        <v>4</v>
      </c>
    </row>
    <row r="12" spans="1:9" ht="20.399999999999999">
      <c r="A12" s="730">
        <v>8</v>
      </c>
      <c r="B12" s="731" t="s">
        <v>486</v>
      </c>
      <c r="C12" s="732" t="s">
        <v>382</v>
      </c>
      <c r="D12" s="733" t="s">
        <v>480</v>
      </c>
      <c r="E12" s="733" t="s">
        <v>470</v>
      </c>
      <c r="F12" s="733" t="s">
        <v>384</v>
      </c>
      <c r="G12" s="733"/>
      <c r="H12" s="734" t="s">
        <v>484</v>
      </c>
      <c r="I12" s="730">
        <v>4</v>
      </c>
    </row>
    <row r="13" spans="1:9" ht="20.399999999999999">
      <c r="A13" s="730">
        <v>9</v>
      </c>
      <c r="B13" s="731" t="s">
        <v>487</v>
      </c>
      <c r="C13" s="732" t="s">
        <v>382</v>
      </c>
      <c r="D13" s="733" t="s">
        <v>475</v>
      </c>
      <c r="E13" s="733" t="s">
        <v>470</v>
      </c>
      <c r="F13" s="733" t="s">
        <v>384</v>
      </c>
      <c r="G13" s="733"/>
      <c r="H13" s="734" t="s">
        <v>484</v>
      </c>
      <c r="I13" s="730">
        <v>4</v>
      </c>
    </row>
    <row r="14" spans="1:9" ht="20.399999999999999">
      <c r="A14" s="730">
        <v>10</v>
      </c>
      <c r="B14" s="731" t="s">
        <v>488</v>
      </c>
      <c r="C14" s="732" t="s">
        <v>382</v>
      </c>
      <c r="D14" s="733" t="s">
        <v>475</v>
      </c>
      <c r="E14" s="733" t="s">
        <v>470</v>
      </c>
      <c r="F14" s="733" t="s">
        <v>384</v>
      </c>
      <c r="G14" s="733"/>
      <c r="H14" s="734" t="s">
        <v>484</v>
      </c>
      <c r="I14" s="730">
        <v>4</v>
      </c>
    </row>
    <row r="15" spans="1:9" ht="20.399999999999999">
      <c r="A15" s="733">
        <v>11</v>
      </c>
      <c r="B15" s="731" t="s">
        <v>489</v>
      </c>
      <c r="C15" s="732" t="s">
        <v>382</v>
      </c>
      <c r="D15" s="733" t="s">
        <v>490</v>
      </c>
      <c r="E15" s="733" t="s">
        <v>470</v>
      </c>
      <c r="F15" s="733" t="s">
        <v>384</v>
      </c>
      <c r="G15" s="733"/>
      <c r="H15" s="734" t="s">
        <v>484</v>
      </c>
      <c r="I15" s="730">
        <v>4</v>
      </c>
    </row>
    <row r="16" spans="1:9" ht="20.399999999999999">
      <c r="A16" s="730">
        <v>12</v>
      </c>
      <c r="B16" s="731" t="s">
        <v>491</v>
      </c>
      <c r="C16" s="732" t="s">
        <v>382</v>
      </c>
      <c r="D16" s="733" t="s">
        <v>492</v>
      </c>
      <c r="E16" s="733" t="s">
        <v>470</v>
      </c>
      <c r="F16" s="733" t="s">
        <v>384</v>
      </c>
      <c r="G16" s="733" t="s">
        <v>493</v>
      </c>
      <c r="H16" s="734" t="s">
        <v>484</v>
      </c>
      <c r="I16" s="730">
        <v>4</v>
      </c>
    </row>
    <row r="17" spans="1:9" ht="20.399999999999999">
      <c r="A17" s="730">
        <v>13</v>
      </c>
      <c r="B17" s="731" t="s">
        <v>494</v>
      </c>
      <c r="C17" s="732" t="s">
        <v>382</v>
      </c>
      <c r="D17" s="733" t="s">
        <v>495</v>
      </c>
      <c r="E17" s="733" t="s">
        <v>496</v>
      </c>
      <c r="F17" s="733" t="s">
        <v>390</v>
      </c>
      <c r="G17" s="732" t="s">
        <v>497</v>
      </c>
      <c r="H17" s="735" t="s">
        <v>498</v>
      </c>
      <c r="I17" s="736">
        <v>2</v>
      </c>
    </row>
    <row r="18" spans="1:9" ht="20.399999999999999">
      <c r="A18" s="730">
        <v>14</v>
      </c>
      <c r="B18" s="731" t="s">
        <v>499</v>
      </c>
      <c r="C18" s="732" t="s">
        <v>382</v>
      </c>
      <c r="D18" s="733" t="s">
        <v>495</v>
      </c>
      <c r="E18" s="733" t="s">
        <v>496</v>
      </c>
      <c r="F18" s="733" t="s">
        <v>390</v>
      </c>
      <c r="G18" s="732" t="s">
        <v>500</v>
      </c>
      <c r="H18" s="735" t="s">
        <v>498</v>
      </c>
      <c r="I18" s="736">
        <v>2</v>
      </c>
    </row>
    <row r="19" spans="1:9" ht="20.399999999999999">
      <c r="A19" s="733">
        <v>15</v>
      </c>
      <c r="B19" s="731" t="s">
        <v>501</v>
      </c>
      <c r="C19" s="732" t="s">
        <v>382</v>
      </c>
      <c r="D19" s="733" t="s">
        <v>495</v>
      </c>
      <c r="E19" s="733" t="s">
        <v>496</v>
      </c>
      <c r="F19" s="733" t="s">
        <v>390</v>
      </c>
      <c r="G19" s="732" t="s">
        <v>502</v>
      </c>
      <c r="H19" s="735" t="s">
        <v>498</v>
      </c>
      <c r="I19" s="736">
        <v>2</v>
      </c>
    </row>
    <row r="20" spans="1:9" ht="20.399999999999999">
      <c r="A20" s="730">
        <v>16</v>
      </c>
      <c r="B20" s="731" t="s">
        <v>503</v>
      </c>
      <c r="C20" s="732" t="s">
        <v>382</v>
      </c>
      <c r="D20" s="733" t="s">
        <v>504</v>
      </c>
      <c r="E20" s="733" t="s">
        <v>496</v>
      </c>
      <c r="F20" s="733" t="s">
        <v>390</v>
      </c>
      <c r="G20" s="732" t="s">
        <v>505</v>
      </c>
      <c r="H20" s="735" t="s">
        <v>498</v>
      </c>
      <c r="I20" s="736">
        <v>2</v>
      </c>
    </row>
    <row r="21" spans="1:9" ht="20.399999999999999">
      <c r="A21" s="730">
        <v>17</v>
      </c>
      <c r="B21" s="731" t="s">
        <v>506</v>
      </c>
      <c r="C21" s="732" t="s">
        <v>382</v>
      </c>
      <c r="D21" s="733" t="s">
        <v>504</v>
      </c>
      <c r="E21" s="733" t="s">
        <v>496</v>
      </c>
      <c r="F21" s="733" t="s">
        <v>390</v>
      </c>
      <c r="G21" s="732" t="s">
        <v>507</v>
      </c>
      <c r="H21" s="735" t="s">
        <v>498</v>
      </c>
      <c r="I21" s="736">
        <v>2</v>
      </c>
    </row>
    <row r="22" spans="1:9" ht="20.399999999999999">
      <c r="A22" s="730">
        <v>18</v>
      </c>
      <c r="B22" s="731" t="s">
        <v>508</v>
      </c>
      <c r="C22" s="732" t="s">
        <v>382</v>
      </c>
      <c r="D22" s="733" t="s">
        <v>504</v>
      </c>
      <c r="E22" s="733" t="s">
        <v>496</v>
      </c>
      <c r="F22" s="733" t="s">
        <v>390</v>
      </c>
      <c r="G22" s="732" t="s">
        <v>509</v>
      </c>
      <c r="H22" s="735" t="s">
        <v>498</v>
      </c>
      <c r="I22" s="736">
        <v>2</v>
      </c>
    </row>
    <row r="23" spans="1:9" ht="20.399999999999999">
      <c r="A23" s="733">
        <v>19</v>
      </c>
      <c r="B23" s="731" t="s">
        <v>510</v>
      </c>
      <c r="C23" s="732" t="s">
        <v>382</v>
      </c>
      <c r="D23" s="733" t="s">
        <v>511</v>
      </c>
      <c r="E23" s="733" t="s">
        <v>496</v>
      </c>
      <c r="F23" s="733" t="s">
        <v>390</v>
      </c>
      <c r="G23" s="732" t="s">
        <v>512</v>
      </c>
      <c r="H23" s="735" t="s">
        <v>498</v>
      </c>
      <c r="I23" s="736">
        <v>2</v>
      </c>
    </row>
    <row r="24" spans="1:9" ht="20.399999999999999">
      <c r="A24" s="730">
        <v>20</v>
      </c>
      <c r="B24" s="731" t="s">
        <v>513</v>
      </c>
      <c r="C24" s="732" t="s">
        <v>382</v>
      </c>
      <c r="D24" s="733" t="s">
        <v>511</v>
      </c>
      <c r="E24" s="733" t="s">
        <v>496</v>
      </c>
      <c r="F24" s="733" t="s">
        <v>390</v>
      </c>
      <c r="G24" s="732" t="s">
        <v>514</v>
      </c>
      <c r="H24" s="735" t="s">
        <v>498</v>
      </c>
      <c r="I24" s="736">
        <v>2</v>
      </c>
    </row>
    <row r="25" spans="1:9" ht="20.399999999999999">
      <c r="A25" s="730">
        <v>21</v>
      </c>
      <c r="B25" s="731" t="s">
        <v>515</v>
      </c>
      <c r="C25" s="732" t="s">
        <v>382</v>
      </c>
      <c r="D25" s="733" t="s">
        <v>511</v>
      </c>
      <c r="E25" s="733" t="s">
        <v>496</v>
      </c>
      <c r="F25" s="733" t="s">
        <v>390</v>
      </c>
      <c r="G25" s="732" t="s">
        <v>516</v>
      </c>
      <c r="H25" s="735" t="s">
        <v>498</v>
      </c>
      <c r="I25" s="736">
        <v>2</v>
      </c>
    </row>
    <row r="26" spans="1:9" ht="20.399999999999999">
      <c r="A26" s="730">
        <v>22</v>
      </c>
      <c r="B26" s="731" t="s">
        <v>517</v>
      </c>
      <c r="C26" s="732" t="s">
        <v>382</v>
      </c>
      <c r="D26" s="733" t="s">
        <v>518</v>
      </c>
      <c r="E26" s="733" t="s">
        <v>496</v>
      </c>
      <c r="F26" s="733" t="s">
        <v>390</v>
      </c>
      <c r="G26" s="732"/>
      <c r="H26" s="735" t="s">
        <v>498</v>
      </c>
      <c r="I26" s="736">
        <v>2</v>
      </c>
    </row>
    <row r="27" spans="1:9" ht="20.399999999999999">
      <c r="A27" s="733">
        <v>23</v>
      </c>
      <c r="B27" s="731" t="s">
        <v>519</v>
      </c>
      <c r="C27" s="732" t="s">
        <v>382</v>
      </c>
      <c r="D27" s="733" t="s">
        <v>520</v>
      </c>
      <c r="E27" s="733" t="s">
        <v>496</v>
      </c>
      <c r="F27" s="733" t="s">
        <v>390</v>
      </c>
      <c r="G27" s="732"/>
      <c r="H27" s="735" t="s">
        <v>498</v>
      </c>
      <c r="I27" s="736">
        <v>2</v>
      </c>
    </row>
    <row r="28" spans="1:9" ht="20.399999999999999">
      <c r="A28" s="730">
        <v>24</v>
      </c>
      <c r="B28" s="731" t="s">
        <v>521</v>
      </c>
      <c r="C28" s="733" t="s">
        <v>380</v>
      </c>
      <c r="D28" s="733" t="s">
        <v>522</v>
      </c>
      <c r="E28" s="733" t="s">
        <v>496</v>
      </c>
      <c r="F28" s="733" t="s">
        <v>396</v>
      </c>
      <c r="G28" s="737" t="s">
        <v>523</v>
      </c>
      <c r="H28" s="735" t="s">
        <v>484</v>
      </c>
      <c r="I28" s="730">
        <v>4</v>
      </c>
    </row>
    <row r="29" spans="1:9" ht="20.399999999999999">
      <c r="A29" s="730">
        <v>25</v>
      </c>
      <c r="B29" s="731" t="s">
        <v>524</v>
      </c>
      <c r="C29" s="733" t="s">
        <v>382</v>
      </c>
      <c r="D29" s="733" t="s">
        <v>525</v>
      </c>
      <c r="E29" s="733" t="s">
        <v>496</v>
      </c>
      <c r="F29" s="733" t="s">
        <v>396</v>
      </c>
      <c r="G29" s="737" t="s">
        <v>526</v>
      </c>
      <c r="H29" s="735" t="s">
        <v>527</v>
      </c>
      <c r="I29" s="730">
        <v>2</v>
      </c>
    </row>
    <row r="30" spans="1:9" ht="20.399999999999999">
      <c r="A30" s="730">
        <v>26</v>
      </c>
      <c r="B30" s="731" t="s">
        <v>528</v>
      </c>
      <c r="C30" s="733" t="s">
        <v>380</v>
      </c>
      <c r="D30" s="733" t="s">
        <v>529</v>
      </c>
      <c r="E30" s="733" t="s">
        <v>496</v>
      </c>
      <c r="F30" s="733" t="s">
        <v>396</v>
      </c>
      <c r="G30" s="737" t="s">
        <v>530</v>
      </c>
      <c r="H30" s="735" t="s">
        <v>275</v>
      </c>
      <c r="I30" s="730">
        <v>2</v>
      </c>
    </row>
    <row r="31" spans="1:9" ht="20.399999999999999">
      <c r="A31" s="733">
        <v>27</v>
      </c>
      <c r="B31" s="731" t="s">
        <v>531</v>
      </c>
      <c r="C31" s="733" t="s">
        <v>380</v>
      </c>
      <c r="D31" s="733" t="s">
        <v>529</v>
      </c>
      <c r="E31" s="733" t="s">
        <v>496</v>
      </c>
      <c r="F31" s="733" t="s">
        <v>396</v>
      </c>
      <c r="G31" s="727"/>
      <c r="H31" s="735" t="s">
        <v>484</v>
      </c>
      <c r="I31" s="730">
        <v>4</v>
      </c>
    </row>
    <row r="32" spans="1:9" ht="20.399999999999999">
      <c r="A32" s="730">
        <v>28</v>
      </c>
      <c r="B32" s="731" t="s">
        <v>532</v>
      </c>
      <c r="C32" s="733" t="s">
        <v>380</v>
      </c>
      <c r="D32" s="733" t="s">
        <v>529</v>
      </c>
      <c r="E32" s="733" t="s">
        <v>496</v>
      </c>
      <c r="F32" s="733" t="s">
        <v>396</v>
      </c>
      <c r="G32" s="727"/>
      <c r="H32" s="735" t="s">
        <v>275</v>
      </c>
      <c r="I32" s="730">
        <v>2</v>
      </c>
    </row>
    <row r="33" spans="1:9" ht="20.399999999999999">
      <c r="A33" s="730">
        <v>29</v>
      </c>
      <c r="B33" s="731" t="s">
        <v>533</v>
      </c>
      <c r="C33" s="733" t="s">
        <v>380</v>
      </c>
      <c r="D33" s="733" t="s">
        <v>522</v>
      </c>
      <c r="E33" s="733" t="s">
        <v>496</v>
      </c>
      <c r="F33" s="733" t="s">
        <v>396</v>
      </c>
      <c r="G33" s="727" t="s">
        <v>534</v>
      </c>
      <c r="H33" s="735" t="s">
        <v>484</v>
      </c>
      <c r="I33" s="730">
        <v>3</v>
      </c>
    </row>
    <row r="34" spans="1:9" ht="20.399999999999999">
      <c r="A34" s="730">
        <v>30</v>
      </c>
      <c r="B34" s="731" t="s">
        <v>535</v>
      </c>
      <c r="C34" s="733" t="s">
        <v>380</v>
      </c>
      <c r="D34" s="733" t="s">
        <v>522</v>
      </c>
      <c r="E34" s="733" t="s">
        <v>496</v>
      </c>
      <c r="F34" s="733" t="s">
        <v>396</v>
      </c>
      <c r="G34" s="727" t="s">
        <v>536</v>
      </c>
      <c r="H34" s="735" t="s">
        <v>484</v>
      </c>
      <c r="I34" s="730">
        <v>4</v>
      </c>
    </row>
    <row r="35" spans="1:9" ht="20.399999999999999">
      <c r="A35" s="733">
        <v>31</v>
      </c>
      <c r="B35" s="731" t="s">
        <v>537</v>
      </c>
      <c r="C35" s="733" t="s">
        <v>380</v>
      </c>
      <c r="D35" s="733" t="s">
        <v>522</v>
      </c>
      <c r="E35" s="733" t="s">
        <v>496</v>
      </c>
      <c r="F35" s="733" t="s">
        <v>396</v>
      </c>
      <c r="G35" s="727" t="s">
        <v>538</v>
      </c>
      <c r="H35" s="735" t="s">
        <v>539</v>
      </c>
      <c r="I35" s="730">
        <v>4</v>
      </c>
    </row>
    <row r="36" spans="1:9" ht="20.399999999999999">
      <c r="A36" s="730">
        <v>32</v>
      </c>
      <c r="B36" s="731" t="s">
        <v>540</v>
      </c>
      <c r="C36" s="733" t="s">
        <v>380</v>
      </c>
      <c r="D36" s="733" t="s">
        <v>541</v>
      </c>
      <c r="E36" s="733" t="s">
        <v>496</v>
      </c>
      <c r="F36" s="733" t="s">
        <v>396</v>
      </c>
      <c r="G36" s="727" t="s">
        <v>542</v>
      </c>
      <c r="H36" s="735" t="s">
        <v>484</v>
      </c>
      <c r="I36" s="730">
        <v>3</v>
      </c>
    </row>
    <row r="37" spans="1:9" ht="20.399999999999999">
      <c r="A37" s="730">
        <v>33</v>
      </c>
      <c r="B37" s="731" t="s">
        <v>543</v>
      </c>
      <c r="C37" s="733" t="s">
        <v>380</v>
      </c>
      <c r="D37" s="733" t="s">
        <v>541</v>
      </c>
      <c r="E37" s="733" t="s">
        <v>496</v>
      </c>
      <c r="F37" s="733" t="s">
        <v>396</v>
      </c>
      <c r="G37" s="737" t="s">
        <v>544</v>
      </c>
      <c r="H37" s="735" t="s">
        <v>484</v>
      </c>
      <c r="I37" s="730">
        <v>4</v>
      </c>
    </row>
    <row r="38" spans="1:9" ht="20.399999999999999">
      <c r="A38" s="730">
        <v>34</v>
      </c>
      <c r="B38" s="731" t="s">
        <v>545</v>
      </c>
      <c r="C38" s="733" t="s">
        <v>380</v>
      </c>
      <c r="D38" s="733" t="s">
        <v>522</v>
      </c>
      <c r="E38" s="733" t="s">
        <v>496</v>
      </c>
      <c r="F38" s="733" t="s">
        <v>396</v>
      </c>
      <c r="G38" s="727" t="s">
        <v>546</v>
      </c>
      <c r="H38" s="735" t="s">
        <v>484</v>
      </c>
      <c r="I38" s="730">
        <v>4</v>
      </c>
    </row>
    <row r="39" spans="1:9" ht="20.399999999999999">
      <c r="A39" s="733">
        <v>35</v>
      </c>
      <c r="B39" s="731" t="s">
        <v>547</v>
      </c>
      <c r="C39" s="733" t="s">
        <v>380</v>
      </c>
      <c r="D39" s="733" t="s">
        <v>522</v>
      </c>
      <c r="E39" s="733" t="s">
        <v>496</v>
      </c>
      <c r="F39" s="733" t="s">
        <v>396</v>
      </c>
      <c r="G39" s="727"/>
      <c r="H39" s="735" t="s">
        <v>484</v>
      </c>
      <c r="I39" s="730">
        <v>3</v>
      </c>
    </row>
    <row r="40" spans="1:9" ht="20.399999999999999">
      <c r="A40" s="730">
        <v>36</v>
      </c>
      <c r="B40" s="731" t="s">
        <v>548</v>
      </c>
      <c r="C40" s="733" t="s">
        <v>380</v>
      </c>
      <c r="D40" s="733" t="s">
        <v>522</v>
      </c>
      <c r="E40" s="733" t="s">
        <v>496</v>
      </c>
      <c r="F40" s="733" t="s">
        <v>396</v>
      </c>
      <c r="G40" s="737"/>
      <c r="H40" s="735" t="s">
        <v>484</v>
      </c>
      <c r="I40" s="730">
        <v>3</v>
      </c>
    </row>
    <row r="41" spans="1:9" ht="20.399999999999999">
      <c r="A41" s="730">
        <v>37</v>
      </c>
      <c r="B41" s="731" t="s">
        <v>549</v>
      </c>
      <c r="C41" s="733" t="s">
        <v>381</v>
      </c>
      <c r="D41" s="733" t="s">
        <v>522</v>
      </c>
      <c r="E41" s="733" t="s">
        <v>496</v>
      </c>
      <c r="F41" s="733" t="s">
        <v>396</v>
      </c>
      <c r="G41" s="737"/>
      <c r="H41" s="735" t="s">
        <v>484</v>
      </c>
      <c r="I41" s="730">
        <v>3</v>
      </c>
    </row>
    <row r="42" spans="1:9" ht="20.399999999999999">
      <c r="A42" s="730">
        <v>38</v>
      </c>
      <c r="B42" s="731" t="s">
        <v>278</v>
      </c>
      <c r="C42" s="733" t="s">
        <v>380</v>
      </c>
      <c r="D42" s="733" t="s">
        <v>522</v>
      </c>
      <c r="E42" s="733" t="s">
        <v>496</v>
      </c>
      <c r="F42" s="733" t="s">
        <v>396</v>
      </c>
      <c r="G42" s="737" t="s">
        <v>550</v>
      </c>
      <c r="H42" s="735" t="s">
        <v>484</v>
      </c>
      <c r="I42" s="730">
        <v>3</v>
      </c>
    </row>
    <row r="43" spans="1:9" ht="20.399999999999999">
      <c r="A43" s="733">
        <v>39</v>
      </c>
      <c r="B43" s="738" t="s">
        <v>551</v>
      </c>
      <c r="C43" s="733" t="s">
        <v>382</v>
      </c>
      <c r="D43" s="733" t="s">
        <v>552</v>
      </c>
      <c r="E43" s="733" t="s">
        <v>496</v>
      </c>
      <c r="F43" s="733" t="s">
        <v>396</v>
      </c>
      <c r="G43" s="737"/>
      <c r="H43" s="735" t="s">
        <v>484</v>
      </c>
      <c r="I43" s="730">
        <v>3</v>
      </c>
    </row>
    <row r="44" spans="1:9" ht="20.399999999999999">
      <c r="A44" s="730">
        <v>40</v>
      </c>
      <c r="B44" s="739" t="s">
        <v>553</v>
      </c>
      <c r="C44" s="730" t="s">
        <v>380</v>
      </c>
      <c r="D44" s="733" t="s">
        <v>554</v>
      </c>
      <c r="E44" s="733" t="s">
        <v>555</v>
      </c>
      <c r="F44" s="733" t="s">
        <v>402</v>
      </c>
      <c r="G44" s="733" t="s">
        <v>556</v>
      </c>
      <c r="H44" s="740" t="s">
        <v>557</v>
      </c>
      <c r="I44" s="733">
        <v>2</v>
      </c>
    </row>
    <row r="45" spans="1:9" ht="20.399999999999999">
      <c r="A45" s="730">
        <v>41</v>
      </c>
      <c r="B45" s="739" t="s">
        <v>558</v>
      </c>
      <c r="C45" s="730" t="s">
        <v>380</v>
      </c>
      <c r="D45" s="733" t="s">
        <v>229</v>
      </c>
      <c r="E45" s="733" t="s">
        <v>555</v>
      </c>
      <c r="F45" s="733" t="s">
        <v>402</v>
      </c>
      <c r="G45" s="733" t="s">
        <v>559</v>
      </c>
      <c r="H45" s="740" t="s">
        <v>244</v>
      </c>
      <c r="I45" s="733">
        <v>4</v>
      </c>
    </row>
    <row r="46" spans="1:9" ht="20.399999999999999">
      <c r="A46" s="730">
        <v>42</v>
      </c>
      <c r="B46" s="731" t="s">
        <v>560</v>
      </c>
      <c r="C46" s="733" t="s">
        <v>382</v>
      </c>
      <c r="D46" s="733" t="s">
        <v>561</v>
      </c>
      <c r="E46" s="733" t="s">
        <v>555</v>
      </c>
      <c r="F46" s="733" t="s">
        <v>402</v>
      </c>
      <c r="G46" s="733" t="s">
        <v>562</v>
      </c>
      <c r="H46" s="740" t="s">
        <v>558</v>
      </c>
      <c r="I46" s="733">
        <v>2</v>
      </c>
    </row>
    <row r="47" spans="1:9" ht="20.399999999999999">
      <c r="A47" s="733">
        <v>43</v>
      </c>
      <c r="B47" s="731" t="s">
        <v>563</v>
      </c>
      <c r="C47" s="733" t="s">
        <v>382</v>
      </c>
      <c r="D47" s="733" t="s">
        <v>564</v>
      </c>
      <c r="E47" s="733" t="s">
        <v>555</v>
      </c>
      <c r="F47" s="733" t="s">
        <v>402</v>
      </c>
      <c r="G47" s="733" t="s">
        <v>565</v>
      </c>
      <c r="H47" s="740" t="s">
        <v>558</v>
      </c>
      <c r="I47" s="733">
        <v>2</v>
      </c>
    </row>
    <row r="48" spans="1:9" ht="20.399999999999999">
      <c r="A48" s="730">
        <v>44</v>
      </c>
      <c r="B48" s="731" t="s">
        <v>566</v>
      </c>
      <c r="C48" s="733" t="s">
        <v>382</v>
      </c>
      <c r="D48" s="733" t="s">
        <v>567</v>
      </c>
      <c r="E48" s="733" t="s">
        <v>555</v>
      </c>
      <c r="F48" s="733" t="s">
        <v>402</v>
      </c>
      <c r="G48" s="733"/>
      <c r="H48" s="740" t="s">
        <v>558</v>
      </c>
      <c r="I48" s="733">
        <v>2</v>
      </c>
    </row>
    <row r="49" spans="1:9" ht="20.399999999999999">
      <c r="A49" s="730">
        <v>45</v>
      </c>
      <c r="B49" s="731" t="s">
        <v>568</v>
      </c>
      <c r="C49" s="733" t="s">
        <v>382</v>
      </c>
      <c r="D49" s="733" t="s">
        <v>567</v>
      </c>
      <c r="E49" s="733" t="s">
        <v>555</v>
      </c>
      <c r="F49" s="733" t="s">
        <v>402</v>
      </c>
      <c r="G49" s="733"/>
      <c r="H49" s="740" t="s">
        <v>558</v>
      </c>
      <c r="I49" s="733">
        <v>2</v>
      </c>
    </row>
    <row r="50" spans="1:9" ht="20.399999999999999">
      <c r="A50" s="730">
        <v>46</v>
      </c>
      <c r="B50" s="731" t="s">
        <v>569</v>
      </c>
      <c r="C50" s="733" t="s">
        <v>382</v>
      </c>
      <c r="D50" s="733" t="s">
        <v>570</v>
      </c>
      <c r="E50" s="733" t="s">
        <v>555</v>
      </c>
      <c r="F50" s="733" t="s">
        <v>402</v>
      </c>
      <c r="G50" s="733"/>
      <c r="H50" s="740" t="s">
        <v>558</v>
      </c>
      <c r="I50" s="733">
        <v>2</v>
      </c>
    </row>
    <row r="51" spans="1:9" ht="20.399999999999999">
      <c r="A51" s="733">
        <v>47</v>
      </c>
      <c r="B51" s="731" t="s">
        <v>571</v>
      </c>
      <c r="C51" s="733" t="s">
        <v>382</v>
      </c>
      <c r="D51" s="733" t="s">
        <v>570</v>
      </c>
      <c r="E51" s="733" t="s">
        <v>555</v>
      </c>
      <c r="F51" s="733" t="s">
        <v>402</v>
      </c>
      <c r="G51" s="733"/>
      <c r="H51" s="740" t="s">
        <v>558</v>
      </c>
      <c r="I51" s="733">
        <v>2</v>
      </c>
    </row>
    <row r="52" spans="1:9" ht="20.399999999999999">
      <c r="A52" s="730">
        <v>48</v>
      </c>
      <c r="B52" s="731" t="s">
        <v>572</v>
      </c>
      <c r="C52" s="733" t="s">
        <v>382</v>
      </c>
      <c r="D52" s="733" t="s">
        <v>570</v>
      </c>
      <c r="E52" s="733" t="s">
        <v>555</v>
      </c>
      <c r="F52" s="733" t="s">
        <v>402</v>
      </c>
      <c r="G52" s="733"/>
      <c r="H52" s="740" t="s">
        <v>558</v>
      </c>
      <c r="I52" s="733">
        <v>2</v>
      </c>
    </row>
    <row r="53" spans="1:9" ht="20.399999999999999">
      <c r="A53" s="730">
        <v>49</v>
      </c>
      <c r="B53" s="731" t="s">
        <v>573</v>
      </c>
      <c r="C53" s="733" t="s">
        <v>382</v>
      </c>
      <c r="D53" s="733" t="s">
        <v>570</v>
      </c>
      <c r="E53" s="733" t="s">
        <v>555</v>
      </c>
      <c r="F53" s="733" t="s">
        <v>402</v>
      </c>
      <c r="G53" s="733"/>
      <c r="H53" s="740" t="s">
        <v>558</v>
      </c>
      <c r="I53" s="733">
        <v>2</v>
      </c>
    </row>
    <row r="54" spans="1:9" ht="20.399999999999999">
      <c r="A54" s="730">
        <v>50</v>
      </c>
      <c r="B54" s="731" t="s">
        <v>574</v>
      </c>
      <c r="C54" s="733" t="s">
        <v>382</v>
      </c>
      <c r="D54" s="733" t="s">
        <v>575</v>
      </c>
      <c r="E54" s="733" t="s">
        <v>555</v>
      </c>
      <c r="F54" s="733" t="s">
        <v>402</v>
      </c>
      <c r="G54" s="741" t="s">
        <v>576</v>
      </c>
      <c r="H54" s="740" t="s">
        <v>558</v>
      </c>
      <c r="I54" s="733">
        <v>2</v>
      </c>
    </row>
    <row r="55" spans="1:9" ht="20.399999999999999">
      <c r="A55" s="733">
        <v>51</v>
      </c>
      <c r="B55" s="731" t="s">
        <v>577</v>
      </c>
      <c r="C55" s="733" t="s">
        <v>382</v>
      </c>
      <c r="D55" s="733" t="s">
        <v>578</v>
      </c>
      <c r="E55" s="733" t="s">
        <v>555</v>
      </c>
      <c r="F55" s="733" t="s">
        <v>402</v>
      </c>
      <c r="G55" s="733"/>
      <c r="H55" s="740" t="s">
        <v>558</v>
      </c>
      <c r="I55" s="733">
        <v>2</v>
      </c>
    </row>
    <row r="56" spans="1:9" ht="20.399999999999999">
      <c r="A56" s="730">
        <v>52</v>
      </c>
      <c r="B56" s="739" t="s">
        <v>579</v>
      </c>
      <c r="C56" s="733" t="s">
        <v>382</v>
      </c>
      <c r="D56" s="733" t="s">
        <v>578</v>
      </c>
      <c r="E56" s="733" t="s">
        <v>555</v>
      </c>
      <c r="F56" s="733" t="s">
        <v>402</v>
      </c>
      <c r="G56" s="733"/>
      <c r="H56" s="740" t="s">
        <v>558</v>
      </c>
      <c r="I56" s="733">
        <v>2</v>
      </c>
    </row>
    <row r="57" spans="1:9" ht="20.399999999999999">
      <c r="A57" s="730">
        <v>53</v>
      </c>
      <c r="B57" s="739" t="s">
        <v>580</v>
      </c>
      <c r="C57" s="733" t="s">
        <v>382</v>
      </c>
      <c r="D57" s="733" t="s">
        <v>581</v>
      </c>
      <c r="E57" s="733" t="s">
        <v>555</v>
      </c>
      <c r="F57" s="733" t="s">
        <v>402</v>
      </c>
      <c r="G57" s="733"/>
      <c r="H57" s="740" t="s">
        <v>558</v>
      </c>
      <c r="I57" s="733">
        <v>2</v>
      </c>
    </row>
    <row r="58" spans="1:9" ht="20.399999999999999">
      <c r="A58" s="730">
        <v>54</v>
      </c>
      <c r="B58" s="739" t="s">
        <v>582</v>
      </c>
      <c r="C58" s="733" t="s">
        <v>382</v>
      </c>
      <c r="D58" s="733" t="s">
        <v>583</v>
      </c>
      <c r="E58" s="733" t="s">
        <v>555</v>
      </c>
      <c r="F58" s="733" t="s">
        <v>402</v>
      </c>
      <c r="G58" s="733" t="s">
        <v>584</v>
      </c>
      <c r="H58" s="740" t="s">
        <v>558</v>
      </c>
      <c r="I58" s="733">
        <v>2</v>
      </c>
    </row>
    <row r="59" spans="1:9" ht="20.399999999999999">
      <c r="A59" s="733">
        <v>55</v>
      </c>
      <c r="B59" s="731" t="s">
        <v>585</v>
      </c>
      <c r="C59" s="732" t="s">
        <v>380</v>
      </c>
      <c r="D59" s="733" t="s">
        <v>586</v>
      </c>
      <c r="E59" s="733" t="s">
        <v>587</v>
      </c>
      <c r="F59" s="733" t="s">
        <v>408</v>
      </c>
      <c r="G59" s="732" t="s">
        <v>588</v>
      </c>
      <c r="H59" s="740" t="s">
        <v>589</v>
      </c>
      <c r="I59" s="730">
        <v>3</v>
      </c>
    </row>
    <row r="60" spans="1:9" ht="20.399999999999999">
      <c r="A60" s="730">
        <v>56</v>
      </c>
      <c r="B60" s="731" t="s">
        <v>590</v>
      </c>
      <c r="C60" s="732" t="s">
        <v>380</v>
      </c>
      <c r="D60" s="733" t="s">
        <v>586</v>
      </c>
      <c r="E60" s="733" t="s">
        <v>587</v>
      </c>
      <c r="F60" s="733" t="s">
        <v>408</v>
      </c>
      <c r="G60" s="732" t="s">
        <v>591</v>
      </c>
      <c r="H60" s="740" t="s">
        <v>589</v>
      </c>
      <c r="I60" s="730">
        <v>3</v>
      </c>
    </row>
    <row r="61" spans="1:9" ht="20.399999999999999">
      <c r="A61" s="730">
        <v>57</v>
      </c>
      <c r="B61" s="731" t="s">
        <v>592</v>
      </c>
      <c r="C61" s="732" t="s">
        <v>380</v>
      </c>
      <c r="D61" s="733" t="s">
        <v>586</v>
      </c>
      <c r="E61" s="733" t="s">
        <v>587</v>
      </c>
      <c r="F61" s="733" t="s">
        <v>408</v>
      </c>
      <c r="G61" s="732" t="s">
        <v>593</v>
      </c>
      <c r="H61" s="740" t="s">
        <v>589</v>
      </c>
      <c r="I61" s="730">
        <v>3</v>
      </c>
    </row>
    <row r="62" spans="1:9" ht="20.399999999999999">
      <c r="A62" s="730">
        <v>58</v>
      </c>
      <c r="B62" s="731" t="s">
        <v>242</v>
      </c>
      <c r="C62" s="732" t="s">
        <v>380</v>
      </c>
      <c r="D62" s="733" t="s">
        <v>586</v>
      </c>
      <c r="E62" s="733" t="s">
        <v>587</v>
      </c>
      <c r="F62" s="733" t="s">
        <v>408</v>
      </c>
      <c r="G62" s="732" t="s">
        <v>594</v>
      </c>
      <c r="H62" s="740" t="s">
        <v>589</v>
      </c>
      <c r="I62" s="730">
        <v>3</v>
      </c>
    </row>
    <row r="63" spans="1:9" ht="20.399999999999999">
      <c r="A63" s="733">
        <v>59</v>
      </c>
      <c r="B63" s="731" t="s">
        <v>595</v>
      </c>
      <c r="C63" s="732" t="s">
        <v>380</v>
      </c>
      <c r="D63" s="733" t="s">
        <v>586</v>
      </c>
      <c r="E63" s="733" t="s">
        <v>587</v>
      </c>
      <c r="F63" s="733" t="s">
        <v>408</v>
      </c>
      <c r="G63" s="732" t="s">
        <v>596</v>
      </c>
      <c r="H63" s="740" t="s">
        <v>589</v>
      </c>
      <c r="I63" s="730">
        <v>3</v>
      </c>
    </row>
    <row r="64" spans="1:9" ht="20.399999999999999">
      <c r="A64" s="730">
        <v>60</v>
      </c>
      <c r="B64" s="731" t="s">
        <v>597</v>
      </c>
      <c r="C64" s="732" t="s">
        <v>382</v>
      </c>
      <c r="D64" s="733" t="s">
        <v>598</v>
      </c>
      <c r="E64" s="733" t="s">
        <v>587</v>
      </c>
      <c r="F64" s="733" t="s">
        <v>408</v>
      </c>
      <c r="G64" s="732" t="s">
        <v>599</v>
      </c>
      <c r="H64" s="740" t="s">
        <v>589</v>
      </c>
      <c r="I64" s="730">
        <v>3</v>
      </c>
    </row>
    <row r="65" spans="1:9" ht="20.399999999999999">
      <c r="A65" s="730">
        <v>61</v>
      </c>
      <c r="B65" s="731" t="s">
        <v>600</v>
      </c>
      <c r="C65" s="732" t="s">
        <v>382</v>
      </c>
      <c r="D65" s="733" t="s">
        <v>598</v>
      </c>
      <c r="E65" s="733" t="s">
        <v>587</v>
      </c>
      <c r="F65" s="733" t="s">
        <v>408</v>
      </c>
      <c r="G65" s="732" t="s">
        <v>601</v>
      </c>
      <c r="H65" s="740" t="s">
        <v>589</v>
      </c>
      <c r="I65" s="730">
        <v>3</v>
      </c>
    </row>
    <row r="66" spans="1:9" ht="20.399999999999999">
      <c r="A66" s="730">
        <v>62</v>
      </c>
      <c r="B66" s="731" t="s">
        <v>602</v>
      </c>
      <c r="C66" s="732" t="s">
        <v>382</v>
      </c>
      <c r="D66" s="733" t="s">
        <v>598</v>
      </c>
      <c r="E66" s="733" t="s">
        <v>587</v>
      </c>
      <c r="F66" s="733" t="s">
        <v>408</v>
      </c>
      <c r="G66" s="732" t="s">
        <v>603</v>
      </c>
      <c r="H66" s="740" t="s">
        <v>589</v>
      </c>
      <c r="I66" s="730">
        <v>3</v>
      </c>
    </row>
    <row r="67" spans="1:9" ht="20.399999999999999">
      <c r="A67" s="733">
        <v>63</v>
      </c>
      <c r="B67" s="731" t="s">
        <v>604</v>
      </c>
      <c r="C67" s="732" t="s">
        <v>382</v>
      </c>
      <c r="D67" s="733" t="s">
        <v>598</v>
      </c>
      <c r="E67" s="733" t="s">
        <v>587</v>
      </c>
      <c r="F67" s="733" t="s">
        <v>408</v>
      </c>
      <c r="G67" s="732" t="s">
        <v>605</v>
      </c>
      <c r="H67" s="740" t="s">
        <v>589</v>
      </c>
      <c r="I67" s="730">
        <v>3</v>
      </c>
    </row>
    <row r="68" spans="1:9" ht="20.399999999999999">
      <c r="A68" s="730">
        <v>64</v>
      </c>
      <c r="B68" s="731" t="s">
        <v>606</v>
      </c>
      <c r="C68" s="732" t="s">
        <v>382</v>
      </c>
      <c r="D68" s="733" t="s">
        <v>607</v>
      </c>
      <c r="E68" s="733" t="s">
        <v>587</v>
      </c>
      <c r="F68" s="733" t="s">
        <v>408</v>
      </c>
      <c r="G68" s="732" t="s">
        <v>608</v>
      </c>
      <c r="H68" s="740" t="s">
        <v>589</v>
      </c>
      <c r="I68" s="730">
        <v>3</v>
      </c>
    </row>
    <row r="69" spans="1:9" ht="20.399999999999999">
      <c r="A69" s="730">
        <v>65</v>
      </c>
      <c r="B69" s="731" t="s">
        <v>609</v>
      </c>
      <c r="C69" s="732" t="s">
        <v>382</v>
      </c>
      <c r="D69" s="733" t="s">
        <v>607</v>
      </c>
      <c r="E69" s="733" t="s">
        <v>587</v>
      </c>
      <c r="F69" s="733" t="s">
        <v>408</v>
      </c>
      <c r="G69" s="732" t="s">
        <v>588</v>
      </c>
      <c r="H69" s="740" t="s">
        <v>589</v>
      </c>
      <c r="I69" s="730">
        <v>3</v>
      </c>
    </row>
    <row r="70" spans="1:9" ht="20.399999999999999">
      <c r="A70" s="730">
        <v>66</v>
      </c>
      <c r="B70" s="731" t="s">
        <v>610</v>
      </c>
      <c r="C70" s="732" t="s">
        <v>382</v>
      </c>
      <c r="D70" s="733" t="s">
        <v>611</v>
      </c>
      <c r="E70" s="733" t="s">
        <v>587</v>
      </c>
      <c r="F70" s="733" t="s">
        <v>408</v>
      </c>
      <c r="G70" s="732" t="s">
        <v>588</v>
      </c>
      <c r="H70" s="740" t="s">
        <v>589</v>
      </c>
      <c r="I70" s="730">
        <v>3</v>
      </c>
    </row>
    <row r="71" spans="1:9" ht="20.399999999999999">
      <c r="A71" s="733">
        <v>67</v>
      </c>
      <c r="B71" s="742" t="s">
        <v>612</v>
      </c>
      <c r="C71" s="732" t="s">
        <v>382</v>
      </c>
      <c r="D71" s="733" t="s">
        <v>613</v>
      </c>
      <c r="E71" s="733" t="s">
        <v>587</v>
      </c>
      <c r="F71" s="733" t="s">
        <v>408</v>
      </c>
      <c r="G71" s="732"/>
      <c r="H71" s="740" t="s">
        <v>589</v>
      </c>
      <c r="I71" s="730">
        <v>3</v>
      </c>
    </row>
    <row r="72" spans="1:9" ht="20.399999999999999">
      <c r="A72" s="730">
        <v>68</v>
      </c>
      <c r="B72" s="731" t="s">
        <v>614</v>
      </c>
      <c r="C72" s="732" t="s">
        <v>382</v>
      </c>
      <c r="D72" s="733" t="s">
        <v>607</v>
      </c>
      <c r="E72" s="733" t="s">
        <v>587</v>
      </c>
      <c r="F72" s="733" t="s">
        <v>408</v>
      </c>
      <c r="G72" s="732" t="s">
        <v>615</v>
      </c>
      <c r="H72" s="740" t="s">
        <v>589</v>
      </c>
      <c r="I72" s="730">
        <v>3</v>
      </c>
    </row>
    <row r="73" spans="1:9" ht="20.399999999999999">
      <c r="A73" s="730">
        <v>69</v>
      </c>
      <c r="B73" s="731" t="s">
        <v>616</v>
      </c>
      <c r="C73" s="732" t="s">
        <v>382</v>
      </c>
      <c r="D73" s="733" t="s">
        <v>607</v>
      </c>
      <c r="E73" s="733" t="s">
        <v>587</v>
      </c>
      <c r="F73" s="733" t="s">
        <v>408</v>
      </c>
      <c r="G73" s="732" t="s">
        <v>617</v>
      </c>
      <c r="H73" s="740" t="s">
        <v>589</v>
      </c>
      <c r="I73" s="730">
        <v>3</v>
      </c>
    </row>
    <row r="74" spans="1:9" ht="20.399999999999999">
      <c r="A74" s="730">
        <v>70</v>
      </c>
      <c r="B74" s="731" t="s">
        <v>618</v>
      </c>
      <c r="C74" s="732" t="s">
        <v>382</v>
      </c>
      <c r="D74" s="733" t="s">
        <v>611</v>
      </c>
      <c r="E74" s="733" t="s">
        <v>587</v>
      </c>
      <c r="F74" s="733" t="s">
        <v>408</v>
      </c>
      <c r="G74" s="732"/>
      <c r="H74" s="740" t="s">
        <v>589</v>
      </c>
      <c r="I74" s="730">
        <v>3</v>
      </c>
    </row>
    <row r="75" spans="1:9" ht="20.399999999999999">
      <c r="A75" s="733">
        <v>71</v>
      </c>
      <c r="B75" s="731" t="s">
        <v>619</v>
      </c>
      <c r="C75" s="732" t="s">
        <v>382</v>
      </c>
      <c r="D75" s="733" t="s">
        <v>620</v>
      </c>
      <c r="E75" s="733" t="s">
        <v>621</v>
      </c>
      <c r="F75" s="733" t="s">
        <v>414</v>
      </c>
      <c r="G75" s="733" t="s">
        <v>622</v>
      </c>
      <c r="H75" s="743" t="s">
        <v>484</v>
      </c>
      <c r="I75" s="730">
        <v>4</v>
      </c>
    </row>
    <row r="76" spans="1:9" ht="20.399999999999999">
      <c r="A76" s="730">
        <v>72</v>
      </c>
      <c r="B76" s="731" t="s">
        <v>623</v>
      </c>
      <c r="C76" s="732" t="s">
        <v>382</v>
      </c>
      <c r="D76" s="733" t="s">
        <v>620</v>
      </c>
      <c r="E76" s="733" t="s">
        <v>621</v>
      </c>
      <c r="F76" s="733" t="s">
        <v>414</v>
      </c>
      <c r="G76" s="733" t="s">
        <v>624</v>
      </c>
      <c r="H76" s="743" t="s">
        <v>484</v>
      </c>
      <c r="I76" s="730">
        <v>4</v>
      </c>
    </row>
    <row r="77" spans="1:9" ht="20.399999999999999">
      <c r="A77" s="730">
        <v>73</v>
      </c>
      <c r="B77" s="731" t="s">
        <v>625</v>
      </c>
      <c r="C77" s="732" t="s">
        <v>381</v>
      </c>
      <c r="D77" s="733" t="s">
        <v>626</v>
      </c>
      <c r="E77" s="733" t="s">
        <v>621</v>
      </c>
      <c r="F77" s="733" t="s">
        <v>414</v>
      </c>
      <c r="G77" s="733"/>
      <c r="H77" s="743" t="s">
        <v>484</v>
      </c>
      <c r="I77" s="730">
        <v>4</v>
      </c>
    </row>
    <row r="78" spans="1:9" ht="20.399999999999999">
      <c r="A78" s="730">
        <v>74</v>
      </c>
      <c r="B78" s="731" t="s">
        <v>627</v>
      </c>
      <c r="C78" s="732" t="s">
        <v>382</v>
      </c>
      <c r="D78" s="733" t="s">
        <v>626</v>
      </c>
      <c r="E78" s="733" t="s">
        <v>621</v>
      </c>
      <c r="F78" s="733" t="s">
        <v>414</v>
      </c>
      <c r="G78" s="733"/>
      <c r="H78" s="743" t="s">
        <v>484</v>
      </c>
      <c r="I78" s="730">
        <v>4</v>
      </c>
    </row>
    <row r="79" spans="1:9" ht="20.399999999999999">
      <c r="A79" s="733">
        <v>75</v>
      </c>
      <c r="B79" s="731" t="s">
        <v>628</v>
      </c>
      <c r="C79" s="732" t="s">
        <v>381</v>
      </c>
      <c r="D79" s="733" t="s">
        <v>629</v>
      </c>
      <c r="E79" s="733" t="s">
        <v>621</v>
      </c>
      <c r="F79" s="733" t="s">
        <v>414</v>
      </c>
      <c r="G79" s="733" t="s">
        <v>630</v>
      </c>
      <c r="H79" s="743" t="s">
        <v>484</v>
      </c>
      <c r="I79" s="730">
        <v>4</v>
      </c>
    </row>
    <row r="80" spans="1:9" ht="20.399999999999999">
      <c r="A80" s="730">
        <v>76</v>
      </c>
      <c r="B80" s="731" t="s">
        <v>631</v>
      </c>
      <c r="C80" s="732" t="s">
        <v>381</v>
      </c>
      <c r="D80" s="733" t="s">
        <v>629</v>
      </c>
      <c r="E80" s="733" t="s">
        <v>621</v>
      </c>
      <c r="F80" s="733" t="s">
        <v>414</v>
      </c>
      <c r="G80" s="733" t="s">
        <v>632</v>
      </c>
      <c r="H80" s="743" t="s">
        <v>484</v>
      </c>
      <c r="I80" s="730">
        <v>4</v>
      </c>
    </row>
    <row r="81" spans="1:9" ht="20.399999999999999">
      <c r="A81" s="730">
        <v>77</v>
      </c>
      <c r="B81" s="731" t="s">
        <v>633</v>
      </c>
      <c r="C81" s="732" t="s">
        <v>381</v>
      </c>
      <c r="D81" s="733" t="s">
        <v>629</v>
      </c>
      <c r="E81" s="733" t="s">
        <v>621</v>
      </c>
      <c r="F81" s="733" t="s">
        <v>414</v>
      </c>
      <c r="G81" s="733" t="s">
        <v>634</v>
      </c>
      <c r="H81" s="743" t="s">
        <v>484</v>
      </c>
      <c r="I81" s="730">
        <v>4</v>
      </c>
    </row>
    <row r="82" spans="1:9" ht="20.399999999999999">
      <c r="A82" s="730">
        <v>78</v>
      </c>
      <c r="B82" s="739" t="s">
        <v>635</v>
      </c>
      <c r="C82" s="732" t="s">
        <v>382</v>
      </c>
      <c r="D82" s="733" t="s">
        <v>636</v>
      </c>
      <c r="E82" s="733" t="s">
        <v>621</v>
      </c>
      <c r="F82" s="733" t="s">
        <v>414</v>
      </c>
      <c r="G82" s="733"/>
      <c r="H82" s="743" t="s">
        <v>484</v>
      </c>
      <c r="I82" s="730">
        <v>4</v>
      </c>
    </row>
    <row r="83" spans="1:9" ht="20.399999999999999">
      <c r="A83" s="733">
        <v>79</v>
      </c>
      <c r="B83" s="739" t="s">
        <v>637</v>
      </c>
      <c r="C83" s="732" t="s">
        <v>382</v>
      </c>
      <c r="D83" s="733" t="s">
        <v>638</v>
      </c>
      <c r="E83" s="733" t="s">
        <v>621</v>
      </c>
      <c r="F83" s="733" t="s">
        <v>414</v>
      </c>
      <c r="G83" s="733" t="s">
        <v>639</v>
      </c>
      <c r="H83" s="743" t="s">
        <v>484</v>
      </c>
      <c r="I83" s="730">
        <v>4</v>
      </c>
    </row>
    <row r="84" spans="1:9" ht="20.399999999999999">
      <c r="A84" s="730">
        <v>80</v>
      </c>
      <c r="B84" s="739" t="s">
        <v>640</v>
      </c>
      <c r="C84" s="732" t="s">
        <v>382</v>
      </c>
      <c r="D84" s="733" t="s">
        <v>641</v>
      </c>
      <c r="E84" s="733" t="s">
        <v>621</v>
      </c>
      <c r="F84" s="733" t="s">
        <v>414</v>
      </c>
      <c r="G84" s="733" t="s">
        <v>642</v>
      </c>
      <c r="H84" s="743" t="s">
        <v>484</v>
      </c>
      <c r="I84" s="730">
        <v>4</v>
      </c>
    </row>
    <row r="85" spans="1:9" ht="20.399999999999999">
      <c r="A85" s="730">
        <v>81</v>
      </c>
      <c r="B85" s="739" t="s">
        <v>643</v>
      </c>
      <c r="C85" s="732" t="s">
        <v>382</v>
      </c>
      <c r="D85" s="733" t="s">
        <v>644</v>
      </c>
      <c r="E85" s="733" t="s">
        <v>621</v>
      </c>
      <c r="F85" s="733" t="s">
        <v>414</v>
      </c>
      <c r="G85" s="733" t="s">
        <v>645</v>
      </c>
      <c r="H85" s="743" t="s">
        <v>484</v>
      </c>
      <c r="I85" s="730">
        <v>4</v>
      </c>
    </row>
    <row r="86" spans="1:9" ht="20.399999999999999">
      <c r="A86" s="730">
        <v>82</v>
      </c>
      <c r="B86" s="739" t="s">
        <v>627</v>
      </c>
      <c r="C86" s="732" t="s">
        <v>382</v>
      </c>
      <c r="D86" s="733" t="s">
        <v>626</v>
      </c>
      <c r="E86" s="733" t="s">
        <v>621</v>
      </c>
      <c r="F86" s="733" t="s">
        <v>414</v>
      </c>
      <c r="G86" s="733"/>
      <c r="H86" s="743" t="s">
        <v>484</v>
      </c>
      <c r="I86" s="730">
        <v>4</v>
      </c>
    </row>
    <row r="87" spans="1:9" ht="20.399999999999999">
      <c r="A87" s="733">
        <v>83</v>
      </c>
      <c r="B87" s="739" t="s">
        <v>646</v>
      </c>
      <c r="C87" s="732" t="s">
        <v>382</v>
      </c>
      <c r="D87" s="733" t="s">
        <v>629</v>
      </c>
      <c r="E87" s="733" t="s">
        <v>621</v>
      </c>
      <c r="F87" s="733" t="s">
        <v>414</v>
      </c>
      <c r="G87" s="733" t="s">
        <v>647</v>
      </c>
      <c r="H87" s="743" t="s">
        <v>484</v>
      </c>
      <c r="I87" s="730">
        <v>4</v>
      </c>
    </row>
    <row r="88" spans="1:9" ht="20.399999999999999">
      <c r="A88" s="730">
        <v>84</v>
      </c>
      <c r="B88" s="744" t="s">
        <v>648</v>
      </c>
      <c r="C88" s="745" t="s">
        <v>382</v>
      </c>
      <c r="D88" s="746" t="s">
        <v>649</v>
      </c>
      <c r="E88" s="733" t="s">
        <v>621</v>
      </c>
      <c r="F88" s="733" t="s">
        <v>420</v>
      </c>
      <c r="G88" s="747" t="s">
        <v>650</v>
      </c>
      <c r="H88" s="743" t="s">
        <v>651</v>
      </c>
      <c r="I88" s="748">
        <v>3</v>
      </c>
    </row>
    <row r="89" spans="1:9" ht="20.399999999999999">
      <c r="A89" s="730">
        <v>85</v>
      </c>
      <c r="B89" s="731" t="s">
        <v>652</v>
      </c>
      <c r="C89" s="733" t="s">
        <v>382</v>
      </c>
      <c r="D89" s="733" t="s">
        <v>653</v>
      </c>
      <c r="E89" s="733" t="s">
        <v>621</v>
      </c>
      <c r="F89" s="733" t="s">
        <v>420</v>
      </c>
      <c r="G89" s="730" t="s">
        <v>654</v>
      </c>
      <c r="H89" s="743" t="s">
        <v>249</v>
      </c>
      <c r="I89" s="748">
        <v>3</v>
      </c>
    </row>
    <row r="90" spans="1:9" ht="20.399999999999999">
      <c r="A90" s="730">
        <v>86</v>
      </c>
      <c r="B90" s="731" t="s">
        <v>655</v>
      </c>
      <c r="C90" s="730" t="s">
        <v>382</v>
      </c>
      <c r="D90" s="733" t="s">
        <v>653</v>
      </c>
      <c r="E90" s="733" t="s">
        <v>621</v>
      </c>
      <c r="F90" s="733" t="s">
        <v>420</v>
      </c>
      <c r="G90" s="730" t="s">
        <v>656</v>
      </c>
      <c r="H90" s="743" t="s">
        <v>249</v>
      </c>
      <c r="I90" s="748">
        <v>3</v>
      </c>
    </row>
    <row r="91" spans="1:9" ht="20.399999999999999">
      <c r="A91" s="733">
        <v>87</v>
      </c>
      <c r="B91" s="731" t="s">
        <v>657</v>
      </c>
      <c r="C91" s="730" t="s">
        <v>382</v>
      </c>
      <c r="D91" s="733" t="s">
        <v>653</v>
      </c>
      <c r="E91" s="733" t="s">
        <v>621</v>
      </c>
      <c r="F91" s="733" t="s">
        <v>420</v>
      </c>
      <c r="G91" s="730"/>
      <c r="H91" s="743" t="s">
        <v>249</v>
      </c>
      <c r="I91" s="748">
        <v>3</v>
      </c>
    </row>
    <row r="92" spans="1:9" ht="20.399999999999999">
      <c r="A92" s="730">
        <v>88</v>
      </c>
      <c r="B92" s="731" t="s">
        <v>658</v>
      </c>
      <c r="C92" s="730" t="s">
        <v>382</v>
      </c>
      <c r="D92" s="733" t="s">
        <v>659</v>
      </c>
      <c r="E92" s="733" t="s">
        <v>621</v>
      </c>
      <c r="F92" s="733" t="s">
        <v>420</v>
      </c>
      <c r="G92" s="730" t="s">
        <v>660</v>
      </c>
      <c r="H92" s="743" t="s">
        <v>246</v>
      </c>
      <c r="I92" s="748">
        <v>3</v>
      </c>
    </row>
    <row r="93" spans="1:9" ht="20.399999999999999">
      <c r="A93" s="730">
        <v>89</v>
      </c>
      <c r="B93" s="731" t="s">
        <v>661</v>
      </c>
      <c r="C93" s="730" t="s">
        <v>382</v>
      </c>
      <c r="D93" s="733" t="s">
        <v>659</v>
      </c>
      <c r="E93" s="733" t="s">
        <v>621</v>
      </c>
      <c r="F93" s="733" t="s">
        <v>420</v>
      </c>
      <c r="G93" s="730" t="s">
        <v>662</v>
      </c>
      <c r="H93" s="743" t="s">
        <v>246</v>
      </c>
      <c r="I93" s="748">
        <v>3</v>
      </c>
    </row>
    <row r="94" spans="1:9" ht="20.399999999999999">
      <c r="A94" s="730">
        <v>90</v>
      </c>
      <c r="B94" s="731" t="s">
        <v>663</v>
      </c>
      <c r="C94" s="730" t="s">
        <v>382</v>
      </c>
      <c r="D94" s="733" t="s">
        <v>659</v>
      </c>
      <c r="E94" s="733" t="s">
        <v>621</v>
      </c>
      <c r="F94" s="733" t="s">
        <v>420</v>
      </c>
      <c r="G94" s="730" t="s">
        <v>664</v>
      </c>
      <c r="H94" s="743" t="s">
        <v>246</v>
      </c>
      <c r="I94" s="748">
        <v>3</v>
      </c>
    </row>
    <row r="95" spans="1:9" ht="20.399999999999999">
      <c r="A95" s="733">
        <v>91</v>
      </c>
      <c r="B95" s="731" t="s">
        <v>665</v>
      </c>
      <c r="C95" s="730" t="s">
        <v>382</v>
      </c>
      <c r="D95" s="733" t="s">
        <v>666</v>
      </c>
      <c r="E95" s="733" t="s">
        <v>621</v>
      </c>
      <c r="F95" s="733" t="s">
        <v>420</v>
      </c>
      <c r="G95" s="730" t="s">
        <v>667</v>
      </c>
      <c r="H95" s="743" t="s">
        <v>246</v>
      </c>
      <c r="I95" s="748">
        <v>3</v>
      </c>
    </row>
    <row r="96" spans="1:9" ht="20.399999999999999">
      <c r="A96" s="730">
        <v>92</v>
      </c>
      <c r="B96" s="731" t="s">
        <v>668</v>
      </c>
      <c r="C96" s="730" t="s">
        <v>382</v>
      </c>
      <c r="D96" s="733" t="s">
        <v>666</v>
      </c>
      <c r="E96" s="733" t="s">
        <v>621</v>
      </c>
      <c r="F96" s="733" t="s">
        <v>420</v>
      </c>
      <c r="G96" s="730"/>
      <c r="H96" s="743" t="s">
        <v>246</v>
      </c>
      <c r="I96" s="748">
        <v>3</v>
      </c>
    </row>
    <row r="97" spans="1:98" s="750" customFormat="1" ht="20.399999999999999">
      <c r="A97" s="730">
        <v>93</v>
      </c>
      <c r="B97" s="739" t="s">
        <v>669</v>
      </c>
      <c r="C97" s="730" t="s">
        <v>382</v>
      </c>
      <c r="D97" s="733" t="s">
        <v>666</v>
      </c>
      <c r="E97" s="733" t="s">
        <v>621</v>
      </c>
      <c r="F97" s="733" t="s">
        <v>420</v>
      </c>
      <c r="G97" s="730"/>
      <c r="H97" s="743" t="s">
        <v>246</v>
      </c>
      <c r="I97" s="748">
        <v>3</v>
      </c>
      <c r="J97" s="749"/>
      <c r="K97" s="749"/>
      <c r="L97" s="749"/>
      <c r="M97" s="749"/>
      <c r="N97" s="749"/>
      <c r="O97" s="749"/>
      <c r="P97" s="749"/>
      <c r="Q97" s="749"/>
      <c r="R97" s="749"/>
      <c r="S97" s="749"/>
      <c r="T97" s="749"/>
      <c r="U97" s="749"/>
      <c r="V97" s="749"/>
      <c r="W97" s="749"/>
      <c r="X97" s="749"/>
      <c r="Y97" s="749"/>
      <c r="Z97" s="749"/>
      <c r="AA97" s="749"/>
      <c r="AB97" s="749"/>
      <c r="AC97" s="749"/>
      <c r="AD97" s="749"/>
      <c r="AE97" s="749"/>
      <c r="AF97" s="749"/>
      <c r="AG97" s="749"/>
      <c r="AH97" s="749"/>
      <c r="AI97" s="749"/>
      <c r="AJ97" s="749"/>
      <c r="AK97" s="749"/>
      <c r="AL97" s="749"/>
      <c r="AM97" s="749"/>
      <c r="AN97" s="749"/>
      <c r="AO97" s="749"/>
      <c r="AP97" s="749"/>
      <c r="AQ97" s="749"/>
      <c r="AR97" s="749"/>
      <c r="AS97" s="749"/>
      <c r="AT97" s="749"/>
      <c r="AU97" s="749"/>
      <c r="AV97" s="749"/>
      <c r="AW97" s="749"/>
      <c r="AX97" s="749"/>
      <c r="AY97" s="749"/>
      <c r="AZ97" s="749"/>
      <c r="BA97" s="749"/>
      <c r="BB97" s="749"/>
      <c r="BC97" s="749"/>
      <c r="BD97" s="749"/>
      <c r="BE97" s="749"/>
      <c r="BF97" s="749"/>
      <c r="BG97" s="749"/>
      <c r="BH97" s="749"/>
      <c r="BI97" s="749"/>
      <c r="BJ97" s="749"/>
      <c r="BK97" s="749"/>
      <c r="BL97" s="749"/>
      <c r="BM97" s="749"/>
      <c r="BN97" s="749"/>
      <c r="BO97" s="749"/>
      <c r="BP97" s="749"/>
      <c r="BQ97" s="749"/>
      <c r="BR97" s="749"/>
      <c r="BS97" s="749"/>
      <c r="BT97" s="749"/>
      <c r="BU97" s="749"/>
      <c r="BV97" s="749"/>
      <c r="BW97" s="749"/>
      <c r="BX97" s="749"/>
      <c r="BY97" s="749"/>
      <c r="BZ97" s="749"/>
      <c r="CA97" s="749"/>
      <c r="CB97" s="749"/>
      <c r="CC97" s="749"/>
      <c r="CD97" s="749"/>
      <c r="CE97" s="749"/>
      <c r="CF97" s="749"/>
      <c r="CG97" s="749"/>
      <c r="CH97" s="749"/>
      <c r="CI97" s="749"/>
      <c r="CJ97" s="749"/>
      <c r="CK97" s="749"/>
      <c r="CL97" s="749"/>
      <c r="CM97" s="749"/>
      <c r="CN97" s="749"/>
      <c r="CO97" s="749"/>
      <c r="CP97" s="749"/>
      <c r="CQ97" s="749"/>
      <c r="CR97" s="749"/>
      <c r="CS97" s="749"/>
      <c r="CT97" s="749"/>
    </row>
    <row r="98" spans="1:98" ht="20.399999999999999">
      <c r="A98" s="730">
        <v>94</v>
      </c>
      <c r="B98" s="739" t="s">
        <v>670</v>
      </c>
      <c r="C98" s="730" t="s">
        <v>382</v>
      </c>
      <c r="D98" s="733" t="s">
        <v>248</v>
      </c>
      <c r="E98" s="733" t="s">
        <v>621</v>
      </c>
      <c r="F98" s="733" t="s">
        <v>420</v>
      </c>
      <c r="G98" s="730" t="s">
        <v>671</v>
      </c>
      <c r="H98" s="743" t="s">
        <v>246</v>
      </c>
      <c r="I98" s="748">
        <v>3</v>
      </c>
    </row>
    <row r="99" spans="1:98" ht="20.399999999999999">
      <c r="A99" s="733">
        <v>95</v>
      </c>
      <c r="B99" s="731" t="s">
        <v>672</v>
      </c>
      <c r="C99" s="733" t="s">
        <v>382</v>
      </c>
      <c r="D99" s="733" t="s">
        <v>673</v>
      </c>
      <c r="E99" s="733" t="s">
        <v>674</v>
      </c>
      <c r="F99" s="733" t="s">
        <v>424</v>
      </c>
      <c r="G99" s="741" t="s">
        <v>675</v>
      </c>
      <c r="H99" s="743" t="s">
        <v>249</v>
      </c>
      <c r="I99" s="730">
        <v>3</v>
      </c>
    </row>
    <row r="100" spans="1:98" s="751" customFormat="1" ht="20.399999999999999">
      <c r="A100" s="730">
        <v>96</v>
      </c>
      <c r="B100" s="731" t="s">
        <v>676</v>
      </c>
      <c r="C100" s="733" t="s">
        <v>381</v>
      </c>
      <c r="D100" s="733" t="s">
        <v>673</v>
      </c>
      <c r="E100" s="733" t="s">
        <v>674</v>
      </c>
      <c r="F100" s="733" t="s">
        <v>424</v>
      </c>
      <c r="G100" s="733" t="s">
        <v>677</v>
      </c>
      <c r="H100" s="743" t="s">
        <v>249</v>
      </c>
      <c r="I100" s="730">
        <v>3</v>
      </c>
    </row>
    <row r="101" spans="1:98" s="751" customFormat="1" ht="20.399999999999999">
      <c r="A101" s="730">
        <v>97</v>
      </c>
      <c r="B101" s="731" t="s">
        <v>678</v>
      </c>
      <c r="C101" s="733" t="s">
        <v>382</v>
      </c>
      <c r="D101" s="733" t="s">
        <v>673</v>
      </c>
      <c r="E101" s="733" t="s">
        <v>674</v>
      </c>
      <c r="F101" s="733" t="s">
        <v>424</v>
      </c>
      <c r="G101" s="733" t="s">
        <v>679</v>
      </c>
      <c r="H101" s="743" t="s">
        <v>249</v>
      </c>
      <c r="I101" s="730">
        <v>3</v>
      </c>
    </row>
    <row r="102" spans="1:98" s="751" customFormat="1" ht="20.399999999999999">
      <c r="A102" s="730">
        <v>98</v>
      </c>
      <c r="B102" s="731" t="s">
        <v>680</v>
      </c>
      <c r="C102" s="733" t="s">
        <v>382</v>
      </c>
      <c r="D102" s="733" t="s">
        <v>681</v>
      </c>
      <c r="E102" s="733" t="s">
        <v>674</v>
      </c>
      <c r="F102" s="733" t="s">
        <v>424</v>
      </c>
      <c r="G102" s="733" t="s">
        <v>682</v>
      </c>
      <c r="H102" s="743" t="s">
        <v>249</v>
      </c>
      <c r="I102" s="730">
        <v>3</v>
      </c>
    </row>
    <row r="103" spans="1:98" s="751" customFormat="1" ht="20.399999999999999">
      <c r="A103" s="733">
        <v>99</v>
      </c>
      <c r="B103" s="731" t="s">
        <v>683</v>
      </c>
      <c r="C103" s="733" t="s">
        <v>382</v>
      </c>
      <c r="D103" s="733" t="s">
        <v>681</v>
      </c>
      <c r="E103" s="733" t="s">
        <v>674</v>
      </c>
      <c r="F103" s="733" t="s">
        <v>424</v>
      </c>
      <c r="G103" s="733" t="s">
        <v>684</v>
      </c>
      <c r="H103" s="743" t="s">
        <v>249</v>
      </c>
      <c r="I103" s="730">
        <v>3</v>
      </c>
    </row>
    <row r="104" spans="1:98" ht="20.399999999999999">
      <c r="A104" s="730">
        <v>100</v>
      </c>
      <c r="B104" s="731" t="s">
        <v>685</v>
      </c>
      <c r="C104" s="733" t="s">
        <v>382</v>
      </c>
      <c r="D104" s="733" t="s">
        <v>681</v>
      </c>
      <c r="E104" s="733" t="s">
        <v>674</v>
      </c>
      <c r="F104" s="733" t="s">
        <v>424</v>
      </c>
      <c r="G104" s="733" t="s">
        <v>686</v>
      </c>
      <c r="H104" s="743" t="s">
        <v>249</v>
      </c>
      <c r="I104" s="730">
        <v>3</v>
      </c>
    </row>
    <row r="105" spans="1:98" ht="20.399999999999999">
      <c r="A105" s="730">
        <v>101</v>
      </c>
      <c r="B105" s="731" t="s">
        <v>687</v>
      </c>
      <c r="C105" s="733" t="s">
        <v>382</v>
      </c>
      <c r="D105" s="733" t="s">
        <v>673</v>
      </c>
      <c r="E105" s="733" t="s">
        <v>674</v>
      </c>
      <c r="F105" s="733" t="s">
        <v>424</v>
      </c>
      <c r="G105" s="733"/>
      <c r="H105" s="743" t="s">
        <v>249</v>
      </c>
      <c r="I105" s="730">
        <v>3</v>
      </c>
    </row>
    <row r="106" spans="1:98" ht="20.399999999999999">
      <c r="A106" s="730">
        <v>102</v>
      </c>
      <c r="B106" s="731" t="s">
        <v>688</v>
      </c>
      <c r="C106" s="733" t="s">
        <v>382</v>
      </c>
      <c r="D106" s="733" t="s">
        <v>681</v>
      </c>
      <c r="E106" s="733" t="s">
        <v>674</v>
      </c>
      <c r="F106" s="733" t="s">
        <v>424</v>
      </c>
      <c r="G106" s="733"/>
      <c r="H106" s="743" t="s">
        <v>249</v>
      </c>
      <c r="I106" s="730">
        <v>3</v>
      </c>
    </row>
    <row r="107" spans="1:98" ht="20.399999999999999">
      <c r="A107" s="733">
        <v>103</v>
      </c>
      <c r="B107" s="731" t="s">
        <v>689</v>
      </c>
      <c r="C107" s="733" t="s">
        <v>382</v>
      </c>
      <c r="D107" s="733" t="s">
        <v>690</v>
      </c>
      <c r="E107" s="733" t="s">
        <v>674</v>
      </c>
      <c r="F107" s="733" t="s">
        <v>424</v>
      </c>
      <c r="G107" s="727" t="s">
        <v>691</v>
      </c>
      <c r="H107" s="743" t="s">
        <v>249</v>
      </c>
      <c r="I107" s="730">
        <v>3</v>
      </c>
    </row>
    <row r="108" spans="1:98" ht="20.399999999999999">
      <c r="A108" s="730">
        <v>104</v>
      </c>
      <c r="B108" s="731" t="s">
        <v>692</v>
      </c>
      <c r="C108" s="733" t="s">
        <v>382</v>
      </c>
      <c r="D108" s="733" t="s">
        <v>690</v>
      </c>
      <c r="E108" s="733" t="s">
        <v>674</v>
      </c>
      <c r="F108" s="733" t="s">
        <v>424</v>
      </c>
      <c r="G108" s="727" t="s">
        <v>693</v>
      </c>
      <c r="H108" s="743" t="s">
        <v>249</v>
      </c>
      <c r="I108" s="730">
        <v>3</v>
      </c>
    </row>
    <row r="109" spans="1:98" ht="20.399999999999999">
      <c r="A109" s="730">
        <v>105</v>
      </c>
      <c r="B109" s="731" t="s">
        <v>694</v>
      </c>
      <c r="C109" s="733" t="s">
        <v>382</v>
      </c>
      <c r="D109" s="733" t="s">
        <v>673</v>
      </c>
      <c r="E109" s="733" t="s">
        <v>674</v>
      </c>
      <c r="F109" s="733" t="s">
        <v>424</v>
      </c>
      <c r="G109" s="727" t="s">
        <v>695</v>
      </c>
      <c r="H109" s="743" t="s">
        <v>249</v>
      </c>
      <c r="I109" s="730">
        <v>3</v>
      </c>
    </row>
    <row r="110" spans="1:98" ht="20.399999999999999">
      <c r="A110" s="730">
        <v>106</v>
      </c>
      <c r="B110" s="731" t="s">
        <v>696</v>
      </c>
      <c r="C110" s="732" t="s">
        <v>382</v>
      </c>
      <c r="D110" s="752" t="s">
        <v>697</v>
      </c>
      <c r="E110" s="733" t="s">
        <v>621</v>
      </c>
      <c r="F110" s="733" t="s">
        <v>428</v>
      </c>
      <c r="G110" s="737"/>
      <c r="H110" s="743" t="s">
        <v>214</v>
      </c>
      <c r="I110" s="730">
        <v>3</v>
      </c>
    </row>
    <row r="111" spans="1:98" ht="20.399999999999999">
      <c r="A111" s="733">
        <v>107</v>
      </c>
      <c r="B111" s="731" t="s">
        <v>698</v>
      </c>
      <c r="C111" s="732" t="s">
        <v>382</v>
      </c>
      <c r="D111" s="752" t="s">
        <v>697</v>
      </c>
      <c r="E111" s="733" t="s">
        <v>621</v>
      </c>
      <c r="F111" s="733" t="s">
        <v>428</v>
      </c>
      <c r="G111" s="733" t="s">
        <v>699</v>
      </c>
      <c r="H111" s="743" t="s">
        <v>214</v>
      </c>
      <c r="I111" s="730">
        <v>3</v>
      </c>
    </row>
    <row r="112" spans="1:98" ht="20.399999999999999">
      <c r="A112" s="730">
        <v>108</v>
      </c>
      <c r="B112" s="731" t="s">
        <v>700</v>
      </c>
      <c r="C112" s="732" t="s">
        <v>382</v>
      </c>
      <c r="D112" s="752" t="s">
        <v>701</v>
      </c>
      <c r="E112" s="733" t="s">
        <v>621</v>
      </c>
      <c r="F112" s="733" t="s">
        <v>428</v>
      </c>
      <c r="G112" s="733" t="s">
        <v>702</v>
      </c>
      <c r="H112" s="743" t="s">
        <v>214</v>
      </c>
      <c r="I112" s="730">
        <v>3</v>
      </c>
    </row>
    <row r="113" spans="1:9" ht="20.399999999999999">
      <c r="A113" s="730">
        <v>109</v>
      </c>
      <c r="B113" s="731" t="s">
        <v>569</v>
      </c>
      <c r="C113" s="732" t="s">
        <v>382</v>
      </c>
      <c r="D113" s="752" t="s">
        <v>701</v>
      </c>
      <c r="E113" s="733" t="s">
        <v>621</v>
      </c>
      <c r="F113" s="733" t="s">
        <v>428</v>
      </c>
      <c r="G113" s="733" t="s">
        <v>703</v>
      </c>
      <c r="H113" s="743" t="s">
        <v>214</v>
      </c>
      <c r="I113" s="730">
        <v>3</v>
      </c>
    </row>
    <row r="114" spans="1:9" ht="20.399999999999999">
      <c r="A114" s="730">
        <v>110</v>
      </c>
      <c r="B114" s="731" t="s">
        <v>704</v>
      </c>
      <c r="C114" s="732" t="s">
        <v>382</v>
      </c>
      <c r="D114" s="752" t="s">
        <v>226</v>
      </c>
      <c r="E114" s="733" t="s">
        <v>621</v>
      </c>
      <c r="F114" s="733" t="s">
        <v>428</v>
      </c>
      <c r="G114" s="733" t="s">
        <v>705</v>
      </c>
      <c r="H114" s="743" t="s">
        <v>214</v>
      </c>
      <c r="I114" s="730">
        <v>3</v>
      </c>
    </row>
    <row r="115" spans="1:9" ht="20.399999999999999">
      <c r="A115" s="733">
        <v>111</v>
      </c>
      <c r="B115" s="731" t="s">
        <v>706</v>
      </c>
      <c r="C115" s="732" t="s">
        <v>381</v>
      </c>
      <c r="D115" s="752" t="s">
        <v>707</v>
      </c>
      <c r="E115" s="733" t="s">
        <v>621</v>
      </c>
      <c r="F115" s="733" t="s">
        <v>428</v>
      </c>
      <c r="G115" s="733" t="s">
        <v>708</v>
      </c>
      <c r="H115" s="743" t="s">
        <v>214</v>
      </c>
      <c r="I115" s="730">
        <v>3</v>
      </c>
    </row>
    <row r="116" spans="1:9" ht="20.399999999999999">
      <c r="A116" s="730">
        <v>112</v>
      </c>
      <c r="B116" s="731" t="s">
        <v>709</v>
      </c>
      <c r="C116" s="732" t="s">
        <v>381</v>
      </c>
      <c r="D116" s="752" t="s">
        <v>710</v>
      </c>
      <c r="E116" s="733" t="s">
        <v>621</v>
      </c>
      <c r="F116" s="733" t="s">
        <v>428</v>
      </c>
      <c r="G116" s="733" t="s">
        <v>711</v>
      </c>
      <c r="H116" s="743" t="s">
        <v>214</v>
      </c>
      <c r="I116" s="730">
        <v>3</v>
      </c>
    </row>
    <row r="117" spans="1:9" ht="20.399999999999999">
      <c r="A117" s="730">
        <v>113</v>
      </c>
      <c r="B117" s="731" t="s">
        <v>712</v>
      </c>
      <c r="C117" s="732" t="s">
        <v>381</v>
      </c>
      <c r="D117" s="752" t="s">
        <v>713</v>
      </c>
      <c r="E117" s="733" t="s">
        <v>621</v>
      </c>
      <c r="F117" s="733" t="s">
        <v>428</v>
      </c>
      <c r="G117" s="733" t="s">
        <v>714</v>
      </c>
      <c r="H117" s="743" t="s">
        <v>214</v>
      </c>
      <c r="I117" s="730">
        <v>3</v>
      </c>
    </row>
    <row r="118" spans="1:9" ht="20.399999999999999">
      <c r="A118" s="730">
        <v>114</v>
      </c>
      <c r="B118" s="731" t="s">
        <v>661</v>
      </c>
      <c r="C118" s="732" t="s">
        <v>381</v>
      </c>
      <c r="D118" s="752" t="s">
        <v>697</v>
      </c>
      <c r="E118" s="733" t="s">
        <v>621</v>
      </c>
      <c r="F118" s="733" t="s">
        <v>428</v>
      </c>
      <c r="G118" s="733" t="s">
        <v>715</v>
      </c>
      <c r="H118" s="743" t="s">
        <v>214</v>
      </c>
      <c r="I118" s="730">
        <v>3</v>
      </c>
    </row>
    <row r="119" spans="1:9" ht="20.399999999999999">
      <c r="A119" s="733">
        <v>115</v>
      </c>
      <c r="B119" s="731" t="s">
        <v>716</v>
      </c>
      <c r="C119" s="732" t="s">
        <v>382</v>
      </c>
      <c r="D119" s="733" t="s">
        <v>717</v>
      </c>
      <c r="E119" s="733" t="s">
        <v>555</v>
      </c>
      <c r="F119" s="733" t="s">
        <v>432</v>
      </c>
      <c r="G119" s="727" t="s">
        <v>718</v>
      </c>
      <c r="H119" s="743" t="s">
        <v>719</v>
      </c>
      <c r="I119" s="730">
        <v>3</v>
      </c>
    </row>
    <row r="120" spans="1:9" ht="20.399999999999999">
      <c r="A120" s="730">
        <v>116</v>
      </c>
      <c r="B120" s="731" t="s">
        <v>720</v>
      </c>
      <c r="C120" s="732" t="s">
        <v>382</v>
      </c>
      <c r="D120" s="733" t="s">
        <v>717</v>
      </c>
      <c r="E120" s="733" t="s">
        <v>555</v>
      </c>
      <c r="F120" s="733" t="s">
        <v>432</v>
      </c>
      <c r="G120" s="733" t="s">
        <v>721</v>
      </c>
      <c r="H120" s="743" t="s">
        <v>719</v>
      </c>
      <c r="I120" s="730">
        <v>3</v>
      </c>
    </row>
    <row r="121" spans="1:9" ht="20.399999999999999">
      <c r="A121" s="730">
        <v>117</v>
      </c>
      <c r="B121" s="731" t="s">
        <v>722</v>
      </c>
      <c r="C121" s="732" t="s">
        <v>382</v>
      </c>
      <c r="D121" s="733" t="s">
        <v>717</v>
      </c>
      <c r="E121" s="733" t="s">
        <v>555</v>
      </c>
      <c r="F121" s="733" t="s">
        <v>432</v>
      </c>
      <c r="G121" s="733" t="s">
        <v>723</v>
      </c>
      <c r="H121" s="743" t="s">
        <v>719</v>
      </c>
      <c r="I121" s="730">
        <v>3</v>
      </c>
    </row>
    <row r="122" spans="1:9" ht="20.399999999999999">
      <c r="A122" s="730">
        <v>118</v>
      </c>
      <c r="B122" s="731" t="s">
        <v>724</v>
      </c>
      <c r="C122" s="732" t="s">
        <v>382</v>
      </c>
      <c r="D122" s="733" t="s">
        <v>717</v>
      </c>
      <c r="E122" s="733" t="s">
        <v>555</v>
      </c>
      <c r="F122" s="733" t="s">
        <v>432</v>
      </c>
      <c r="G122" s="733" t="s">
        <v>721</v>
      </c>
      <c r="H122" s="743" t="s">
        <v>719</v>
      </c>
      <c r="I122" s="730">
        <v>3</v>
      </c>
    </row>
    <row r="123" spans="1:9" ht="20.399999999999999">
      <c r="A123" s="733">
        <v>119</v>
      </c>
      <c r="B123" s="731" t="s">
        <v>725</v>
      </c>
      <c r="C123" s="732" t="s">
        <v>382</v>
      </c>
      <c r="D123" s="733" t="s">
        <v>717</v>
      </c>
      <c r="E123" s="733" t="s">
        <v>555</v>
      </c>
      <c r="F123" s="733" t="s">
        <v>432</v>
      </c>
      <c r="G123" s="733" t="s">
        <v>726</v>
      </c>
      <c r="H123" s="743" t="s">
        <v>719</v>
      </c>
      <c r="I123" s="730">
        <v>3</v>
      </c>
    </row>
    <row r="124" spans="1:9" ht="20.399999999999999">
      <c r="A124" s="730">
        <v>120</v>
      </c>
      <c r="B124" s="753" t="s">
        <v>727</v>
      </c>
      <c r="C124" s="732" t="s">
        <v>382</v>
      </c>
      <c r="D124" s="732" t="s">
        <v>728</v>
      </c>
      <c r="E124" s="733" t="s">
        <v>555</v>
      </c>
      <c r="F124" s="733" t="s">
        <v>432</v>
      </c>
      <c r="G124" s="733" t="s">
        <v>729</v>
      </c>
      <c r="H124" s="743" t="s">
        <v>730</v>
      </c>
      <c r="I124" s="730">
        <v>3</v>
      </c>
    </row>
    <row r="125" spans="1:9" ht="20.399999999999999">
      <c r="A125" s="730">
        <v>121</v>
      </c>
      <c r="B125" s="753" t="s">
        <v>731</v>
      </c>
      <c r="C125" s="732" t="s">
        <v>382</v>
      </c>
      <c r="D125" s="732" t="s">
        <v>728</v>
      </c>
      <c r="E125" s="733" t="s">
        <v>555</v>
      </c>
      <c r="F125" s="733" t="s">
        <v>432</v>
      </c>
      <c r="G125" s="733"/>
      <c r="H125" s="743" t="s">
        <v>730</v>
      </c>
      <c r="I125" s="730">
        <v>3</v>
      </c>
    </row>
    <row r="126" spans="1:9" ht="20.399999999999999">
      <c r="A126" s="730">
        <v>122</v>
      </c>
      <c r="B126" s="754" t="s">
        <v>732</v>
      </c>
      <c r="C126" s="732" t="s">
        <v>382</v>
      </c>
      <c r="D126" s="732" t="s">
        <v>733</v>
      </c>
      <c r="E126" s="733" t="s">
        <v>555</v>
      </c>
      <c r="F126" s="733" t="s">
        <v>432</v>
      </c>
      <c r="G126" s="733" t="s">
        <v>734</v>
      </c>
      <c r="H126" s="743" t="s">
        <v>484</v>
      </c>
      <c r="I126" s="730">
        <v>3</v>
      </c>
    </row>
    <row r="127" spans="1:9" ht="20.399999999999999">
      <c r="A127" s="733">
        <v>123</v>
      </c>
      <c r="B127" s="754" t="s">
        <v>735</v>
      </c>
      <c r="C127" s="732" t="s">
        <v>382</v>
      </c>
      <c r="D127" s="732" t="s">
        <v>736</v>
      </c>
      <c r="E127" s="733" t="s">
        <v>555</v>
      </c>
      <c r="F127" s="733" t="s">
        <v>432</v>
      </c>
      <c r="G127" s="733" t="s">
        <v>737</v>
      </c>
      <c r="H127" s="743" t="s">
        <v>738</v>
      </c>
      <c r="I127" s="730">
        <v>3</v>
      </c>
    </row>
    <row r="128" spans="1:9" ht="20.399999999999999">
      <c r="A128" s="730">
        <v>124</v>
      </c>
      <c r="B128" s="754" t="s">
        <v>739</v>
      </c>
      <c r="C128" s="732" t="s">
        <v>382</v>
      </c>
      <c r="D128" s="732" t="s">
        <v>736</v>
      </c>
      <c r="E128" s="733" t="s">
        <v>555</v>
      </c>
      <c r="F128" s="733" t="s">
        <v>432</v>
      </c>
      <c r="G128" s="733" t="s">
        <v>740</v>
      </c>
      <c r="H128" s="743" t="s">
        <v>738</v>
      </c>
      <c r="I128" s="730">
        <v>3</v>
      </c>
    </row>
    <row r="129" spans="1:9" ht="20.399999999999999">
      <c r="A129" s="730">
        <v>125</v>
      </c>
      <c r="B129" s="731" t="s">
        <v>741</v>
      </c>
      <c r="C129" s="730" t="s">
        <v>382</v>
      </c>
      <c r="D129" s="733" t="s">
        <v>742</v>
      </c>
      <c r="E129" s="733" t="s">
        <v>587</v>
      </c>
      <c r="F129" s="733" t="s">
        <v>436</v>
      </c>
      <c r="G129" s="733" t="s">
        <v>743</v>
      </c>
      <c r="H129" s="743" t="s">
        <v>589</v>
      </c>
      <c r="I129" s="730">
        <v>3</v>
      </c>
    </row>
    <row r="130" spans="1:9" ht="20.399999999999999">
      <c r="A130" s="730">
        <v>126</v>
      </c>
      <c r="B130" s="731" t="s">
        <v>744</v>
      </c>
      <c r="C130" s="730" t="s">
        <v>382</v>
      </c>
      <c r="D130" s="733" t="s">
        <v>742</v>
      </c>
      <c r="E130" s="733" t="s">
        <v>587</v>
      </c>
      <c r="F130" s="733" t="s">
        <v>436</v>
      </c>
      <c r="G130" s="741" t="s">
        <v>745</v>
      </c>
      <c r="H130" s="743" t="s">
        <v>589</v>
      </c>
      <c r="I130" s="730">
        <v>3</v>
      </c>
    </row>
    <row r="131" spans="1:9" ht="20.399999999999999">
      <c r="A131" s="733">
        <v>127</v>
      </c>
      <c r="B131" s="731" t="s">
        <v>746</v>
      </c>
      <c r="C131" s="730" t="s">
        <v>380</v>
      </c>
      <c r="D131" s="733" t="s">
        <v>747</v>
      </c>
      <c r="E131" s="733" t="s">
        <v>587</v>
      </c>
      <c r="F131" s="733" t="s">
        <v>436</v>
      </c>
      <c r="G131" s="733" t="s">
        <v>748</v>
      </c>
      <c r="H131" s="743" t="s">
        <v>738</v>
      </c>
      <c r="I131" s="730">
        <v>3</v>
      </c>
    </row>
    <row r="132" spans="1:9" ht="20.399999999999999">
      <c r="A132" s="730">
        <v>128</v>
      </c>
      <c r="B132" s="731" t="s">
        <v>749</v>
      </c>
      <c r="C132" s="730" t="s">
        <v>382</v>
      </c>
      <c r="D132" s="733" t="s">
        <v>742</v>
      </c>
      <c r="E132" s="733" t="s">
        <v>587</v>
      </c>
      <c r="F132" s="733" t="s">
        <v>436</v>
      </c>
      <c r="G132" s="733" t="s">
        <v>750</v>
      </c>
      <c r="H132" s="743" t="s">
        <v>589</v>
      </c>
      <c r="I132" s="730">
        <v>3</v>
      </c>
    </row>
    <row r="133" spans="1:9" ht="20.399999999999999">
      <c r="A133" s="730">
        <v>129</v>
      </c>
      <c r="B133" s="731" t="s">
        <v>751</v>
      </c>
      <c r="C133" s="730" t="s">
        <v>382</v>
      </c>
      <c r="D133" s="733" t="s">
        <v>742</v>
      </c>
      <c r="E133" s="733" t="s">
        <v>587</v>
      </c>
      <c r="F133" s="733" t="s">
        <v>436</v>
      </c>
      <c r="G133" s="733" t="s">
        <v>752</v>
      </c>
      <c r="H133" s="743" t="s">
        <v>589</v>
      </c>
      <c r="I133" s="730">
        <v>3</v>
      </c>
    </row>
    <row r="134" spans="1:9" ht="20.399999999999999">
      <c r="A134" s="730">
        <v>130</v>
      </c>
      <c r="B134" s="755" t="s">
        <v>753</v>
      </c>
      <c r="C134" s="730" t="s">
        <v>382</v>
      </c>
      <c r="D134" s="733" t="s">
        <v>754</v>
      </c>
      <c r="E134" s="733" t="s">
        <v>587</v>
      </c>
      <c r="F134" s="733" t="s">
        <v>436</v>
      </c>
      <c r="G134" s="733" t="s">
        <v>755</v>
      </c>
      <c r="H134" s="743" t="s">
        <v>348</v>
      </c>
      <c r="I134" s="730">
        <v>3</v>
      </c>
    </row>
    <row r="135" spans="1:9" ht="20.399999999999999">
      <c r="A135" s="733">
        <v>131</v>
      </c>
      <c r="B135" s="742" t="s">
        <v>756</v>
      </c>
      <c r="C135" s="730" t="s">
        <v>382</v>
      </c>
      <c r="D135" s="733" t="s">
        <v>754</v>
      </c>
      <c r="E135" s="733" t="s">
        <v>587</v>
      </c>
      <c r="F135" s="733" t="s">
        <v>436</v>
      </c>
      <c r="G135" s="733" t="s">
        <v>757</v>
      </c>
      <c r="H135" s="743" t="s">
        <v>348</v>
      </c>
      <c r="I135" s="730">
        <v>3</v>
      </c>
    </row>
    <row r="136" spans="1:9" ht="20.399999999999999">
      <c r="A136" s="730">
        <v>132</v>
      </c>
      <c r="B136" s="755" t="s">
        <v>758</v>
      </c>
      <c r="C136" s="730" t="s">
        <v>382</v>
      </c>
      <c r="D136" s="733" t="s">
        <v>759</v>
      </c>
      <c r="E136" s="733" t="s">
        <v>587</v>
      </c>
      <c r="F136" s="733" t="s">
        <v>436</v>
      </c>
      <c r="G136" s="733" t="s">
        <v>760</v>
      </c>
      <c r="H136" s="743" t="s">
        <v>348</v>
      </c>
      <c r="I136" s="730">
        <v>3</v>
      </c>
    </row>
    <row r="137" spans="1:9" ht="20.399999999999999">
      <c r="A137" s="730">
        <v>133</v>
      </c>
      <c r="B137" s="755" t="s">
        <v>761</v>
      </c>
      <c r="C137" s="730" t="s">
        <v>382</v>
      </c>
      <c r="D137" s="733" t="s">
        <v>759</v>
      </c>
      <c r="E137" s="733" t="s">
        <v>587</v>
      </c>
      <c r="F137" s="733" t="s">
        <v>436</v>
      </c>
      <c r="G137" s="733" t="s">
        <v>762</v>
      </c>
      <c r="H137" s="743" t="s">
        <v>348</v>
      </c>
      <c r="I137" s="730">
        <v>3</v>
      </c>
    </row>
    <row r="138" spans="1:9" ht="20.399999999999999">
      <c r="A138" s="730">
        <v>134</v>
      </c>
      <c r="B138" s="731" t="s">
        <v>763</v>
      </c>
      <c r="C138" s="730" t="s">
        <v>382</v>
      </c>
      <c r="D138" s="733" t="s">
        <v>764</v>
      </c>
      <c r="E138" s="733" t="s">
        <v>587</v>
      </c>
      <c r="F138" s="733" t="s">
        <v>436</v>
      </c>
      <c r="G138" s="727" t="s">
        <v>765</v>
      </c>
      <c r="H138" s="743" t="s">
        <v>589</v>
      </c>
      <c r="I138" s="730">
        <v>3</v>
      </c>
    </row>
    <row r="139" spans="1:9" ht="20.399999999999999">
      <c r="A139" s="733">
        <v>135</v>
      </c>
      <c r="B139" s="731" t="s">
        <v>766</v>
      </c>
      <c r="C139" s="730" t="s">
        <v>382</v>
      </c>
      <c r="D139" s="733" t="s">
        <v>764</v>
      </c>
      <c r="E139" s="733" t="s">
        <v>587</v>
      </c>
      <c r="F139" s="733" t="s">
        <v>436</v>
      </c>
      <c r="G139" s="727" t="s">
        <v>767</v>
      </c>
      <c r="H139" s="743" t="s">
        <v>589</v>
      </c>
      <c r="I139" s="730">
        <v>3</v>
      </c>
    </row>
    <row r="140" spans="1:9" ht="20.399999999999999">
      <c r="A140" s="730">
        <v>136</v>
      </c>
      <c r="B140" s="742" t="s">
        <v>768</v>
      </c>
      <c r="C140" s="730" t="s">
        <v>382</v>
      </c>
      <c r="D140" s="733" t="s">
        <v>764</v>
      </c>
      <c r="E140" s="733" t="s">
        <v>587</v>
      </c>
      <c r="F140" s="733" t="s">
        <v>436</v>
      </c>
      <c r="G140" s="727" t="s">
        <v>769</v>
      </c>
      <c r="H140" s="743" t="s">
        <v>589</v>
      </c>
      <c r="I140" s="730">
        <v>3</v>
      </c>
    </row>
    <row r="141" spans="1:9" ht="20.399999999999999">
      <c r="A141" s="730">
        <v>137</v>
      </c>
      <c r="B141" s="742" t="s">
        <v>572</v>
      </c>
      <c r="C141" s="730" t="s">
        <v>382</v>
      </c>
      <c r="D141" s="733" t="s">
        <v>764</v>
      </c>
      <c r="E141" s="733" t="s">
        <v>587</v>
      </c>
      <c r="F141" s="733" t="s">
        <v>436</v>
      </c>
      <c r="G141" s="737" t="s">
        <v>770</v>
      </c>
      <c r="H141" s="743" t="s">
        <v>589</v>
      </c>
      <c r="I141" s="730">
        <v>3</v>
      </c>
    </row>
    <row r="142" spans="1:9" ht="20.399999999999999">
      <c r="A142" s="730">
        <v>138</v>
      </c>
      <c r="B142" s="756" t="s">
        <v>771</v>
      </c>
      <c r="C142" s="756" t="s">
        <v>382</v>
      </c>
      <c r="D142" s="756" t="s">
        <v>772</v>
      </c>
      <c r="E142" s="733" t="s">
        <v>470</v>
      </c>
      <c r="F142" s="733" t="s">
        <v>386</v>
      </c>
      <c r="G142" s="737" t="s">
        <v>773</v>
      </c>
      <c r="H142" s="740" t="s">
        <v>214</v>
      </c>
      <c r="I142" s="757">
        <v>3</v>
      </c>
    </row>
    <row r="143" spans="1:9" ht="20.399999999999999">
      <c r="A143" s="733">
        <v>139</v>
      </c>
      <c r="B143" s="756" t="s">
        <v>774</v>
      </c>
      <c r="C143" s="756" t="s">
        <v>382</v>
      </c>
      <c r="D143" s="756" t="s">
        <v>772</v>
      </c>
      <c r="E143" s="733" t="s">
        <v>470</v>
      </c>
      <c r="F143" s="733" t="s">
        <v>386</v>
      </c>
      <c r="G143" s="737" t="s">
        <v>775</v>
      </c>
      <c r="H143" s="740" t="s">
        <v>214</v>
      </c>
      <c r="I143" s="757">
        <v>3</v>
      </c>
    </row>
    <row r="144" spans="1:9" ht="20.399999999999999">
      <c r="A144" s="730">
        <v>140</v>
      </c>
      <c r="B144" s="756" t="s">
        <v>776</v>
      </c>
      <c r="C144" s="756" t="s">
        <v>382</v>
      </c>
      <c r="D144" s="756" t="s">
        <v>777</v>
      </c>
      <c r="E144" s="733" t="s">
        <v>470</v>
      </c>
      <c r="F144" s="733" t="s">
        <v>386</v>
      </c>
      <c r="G144" s="737" t="s">
        <v>778</v>
      </c>
      <c r="H144" s="740" t="s">
        <v>214</v>
      </c>
      <c r="I144" s="757">
        <v>3</v>
      </c>
    </row>
    <row r="145" spans="1:9" ht="20.399999999999999">
      <c r="A145" s="730">
        <v>141</v>
      </c>
      <c r="B145" s="756" t="s">
        <v>779</v>
      </c>
      <c r="C145" s="756" t="s">
        <v>382</v>
      </c>
      <c r="D145" s="756" t="s">
        <v>777</v>
      </c>
      <c r="E145" s="733" t="s">
        <v>470</v>
      </c>
      <c r="F145" s="733" t="s">
        <v>386</v>
      </c>
      <c r="G145" s="737"/>
      <c r="H145" s="740" t="s">
        <v>214</v>
      </c>
      <c r="I145" s="757">
        <v>3</v>
      </c>
    </row>
    <row r="146" spans="1:9" ht="20.399999999999999">
      <c r="A146" s="730">
        <v>142</v>
      </c>
      <c r="B146" s="756" t="s">
        <v>780</v>
      </c>
      <c r="C146" s="756" t="s">
        <v>382</v>
      </c>
      <c r="D146" s="756" t="s">
        <v>781</v>
      </c>
      <c r="E146" s="733" t="s">
        <v>470</v>
      </c>
      <c r="F146" s="733" t="s">
        <v>386</v>
      </c>
      <c r="G146" s="737" t="s">
        <v>782</v>
      </c>
      <c r="H146" s="740" t="s">
        <v>214</v>
      </c>
      <c r="I146" s="757">
        <v>3</v>
      </c>
    </row>
    <row r="147" spans="1:9" ht="20.399999999999999">
      <c r="A147" s="733">
        <v>143</v>
      </c>
      <c r="B147" s="756" t="s">
        <v>783</v>
      </c>
      <c r="C147" s="756" t="s">
        <v>382</v>
      </c>
      <c r="D147" s="756" t="s">
        <v>781</v>
      </c>
      <c r="E147" s="733" t="s">
        <v>470</v>
      </c>
      <c r="F147" s="733" t="s">
        <v>386</v>
      </c>
      <c r="G147" s="737" t="s">
        <v>784</v>
      </c>
      <c r="H147" s="740" t="s">
        <v>214</v>
      </c>
      <c r="I147" s="757">
        <v>3</v>
      </c>
    </row>
    <row r="148" spans="1:9" ht="20.399999999999999">
      <c r="A148" s="730">
        <v>144</v>
      </c>
      <c r="B148" s="756" t="s">
        <v>785</v>
      </c>
      <c r="C148" s="756" t="s">
        <v>382</v>
      </c>
      <c r="D148" s="756" t="s">
        <v>781</v>
      </c>
      <c r="E148" s="733" t="s">
        <v>470</v>
      </c>
      <c r="F148" s="733" t="s">
        <v>386</v>
      </c>
      <c r="G148" s="737"/>
      <c r="H148" s="740" t="s">
        <v>214</v>
      </c>
      <c r="I148" s="757">
        <v>3</v>
      </c>
    </row>
    <row r="149" spans="1:9" ht="20.399999999999999">
      <c r="A149" s="730">
        <v>145</v>
      </c>
      <c r="B149" s="756" t="s">
        <v>786</v>
      </c>
      <c r="C149" s="756" t="s">
        <v>382</v>
      </c>
      <c r="D149" s="756" t="s">
        <v>787</v>
      </c>
      <c r="E149" s="733" t="s">
        <v>470</v>
      </c>
      <c r="F149" s="733" t="s">
        <v>386</v>
      </c>
      <c r="G149" s="737" t="s">
        <v>788</v>
      </c>
      <c r="H149" s="740" t="s">
        <v>789</v>
      </c>
      <c r="I149" s="757">
        <v>3</v>
      </c>
    </row>
    <row r="150" spans="1:9" ht="20.399999999999999">
      <c r="A150" s="730">
        <v>146</v>
      </c>
      <c r="B150" s="756" t="s">
        <v>790</v>
      </c>
      <c r="C150" s="756" t="s">
        <v>382</v>
      </c>
      <c r="D150" s="756" t="s">
        <v>787</v>
      </c>
      <c r="E150" s="733" t="s">
        <v>470</v>
      </c>
      <c r="F150" s="733" t="s">
        <v>386</v>
      </c>
      <c r="G150" s="737" t="s">
        <v>791</v>
      </c>
      <c r="H150" s="740" t="s">
        <v>789</v>
      </c>
      <c r="I150" s="757">
        <v>3</v>
      </c>
    </row>
    <row r="151" spans="1:9" ht="20.399999999999999">
      <c r="A151" s="733">
        <v>147</v>
      </c>
      <c r="B151" s="756" t="s">
        <v>792</v>
      </c>
      <c r="C151" s="756" t="s">
        <v>382</v>
      </c>
      <c r="D151" s="756" t="s">
        <v>787</v>
      </c>
      <c r="E151" s="733" t="s">
        <v>470</v>
      </c>
      <c r="F151" s="733" t="s">
        <v>386</v>
      </c>
      <c r="G151" s="727" t="s">
        <v>793</v>
      </c>
      <c r="H151" s="740" t="s">
        <v>789</v>
      </c>
      <c r="I151" s="757">
        <v>3</v>
      </c>
    </row>
    <row r="152" spans="1:9" ht="20.399999999999999">
      <c r="A152" s="730">
        <v>148</v>
      </c>
      <c r="B152" s="756" t="s">
        <v>794</v>
      </c>
      <c r="C152" s="756" t="s">
        <v>382</v>
      </c>
      <c r="D152" s="756" t="s">
        <v>787</v>
      </c>
      <c r="E152" s="733" t="s">
        <v>470</v>
      </c>
      <c r="F152" s="733" t="s">
        <v>386</v>
      </c>
      <c r="G152" s="737" t="s">
        <v>795</v>
      </c>
      <c r="H152" s="740" t="s">
        <v>789</v>
      </c>
      <c r="I152" s="757">
        <v>3</v>
      </c>
    </row>
    <row r="153" spans="1:9" ht="20.399999999999999">
      <c r="A153" s="730">
        <v>149</v>
      </c>
      <c r="B153" s="756" t="s">
        <v>796</v>
      </c>
      <c r="C153" s="756" t="s">
        <v>382</v>
      </c>
      <c r="D153" s="756" t="s">
        <v>787</v>
      </c>
      <c r="E153" s="733" t="s">
        <v>470</v>
      </c>
      <c r="F153" s="733" t="s">
        <v>386</v>
      </c>
      <c r="G153" s="737" t="s">
        <v>797</v>
      </c>
      <c r="H153" s="740" t="s">
        <v>789</v>
      </c>
      <c r="I153" s="757">
        <v>3</v>
      </c>
    </row>
    <row r="154" spans="1:9" ht="20.399999999999999">
      <c r="A154" s="730">
        <v>150</v>
      </c>
      <c r="B154" s="756" t="s">
        <v>798</v>
      </c>
      <c r="C154" s="758" t="s">
        <v>382</v>
      </c>
      <c r="D154" s="756" t="s">
        <v>799</v>
      </c>
      <c r="E154" s="733" t="s">
        <v>800</v>
      </c>
      <c r="F154" s="733" t="s">
        <v>392</v>
      </c>
      <c r="G154" s="727" t="s">
        <v>801</v>
      </c>
      <c r="H154" s="740" t="s">
        <v>802</v>
      </c>
      <c r="I154" s="727">
        <v>3</v>
      </c>
    </row>
    <row r="155" spans="1:9" ht="20.399999999999999">
      <c r="A155" s="733">
        <v>151</v>
      </c>
      <c r="B155" s="756" t="s">
        <v>803</v>
      </c>
      <c r="C155" s="758" t="s">
        <v>382</v>
      </c>
      <c r="D155" s="756" t="s">
        <v>804</v>
      </c>
      <c r="E155" s="733" t="s">
        <v>800</v>
      </c>
      <c r="F155" s="733" t="s">
        <v>392</v>
      </c>
      <c r="G155" s="737" t="s">
        <v>805</v>
      </c>
      <c r="H155" s="740" t="s">
        <v>802</v>
      </c>
      <c r="I155" s="727">
        <v>3</v>
      </c>
    </row>
    <row r="156" spans="1:9" ht="20.399999999999999">
      <c r="A156" s="730">
        <v>152</v>
      </c>
      <c r="B156" s="756" t="s">
        <v>806</v>
      </c>
      <c r="C156" s="758" t="s">
        <v>382</v>
      </c>
      <c r="D156" s="756" t="s">
        <v>804</v>
      </c>
      <c r="E156" s="733" t="s">
        <v>800</v>
      </c>
      <c r="F156" s="733" t="s">
        <v>392</v>
      </c>
      <c r="G156" s="737" t="s">
        <v>807</v>
      </c>
      <c r="H156" s="740" t="s">
        <v>269</v>
      </c>
      <c r="I156" s="727">
        <v>3</v>
      </c>
    </row>
    <row r="157" spans="1:9" ht="20.399999999999999">
      <c r="A157" s="730">
        <v>153</v>
      </c>
      <c r="B157" s="756" t="s">
        <v>808</v>
      </c>
      <c r="C157" s="758" t="s">
        <v>382</v>
      </c>
      <c r="D157" s="756" t="s">
        <v>804</v>
      </c>
      <c r="E157" s="733" t="s">
        <v>800</v>
      </c>
      <c r="F157" s="733" t="s">
        <v>392</v>
      </c>
      <c r="G157" s="737" t="s">
        <v>809</v>
      </c>
      <c r="H157" s="740" t="s">
        <v>802</v>
      </c>
      <c r="I157" s="727">
        <v>3</v>
      </c>
    </row>
    <row r="158" spans="1:9" ht="20.399999999999999">
      <c r="A158" s="730">
        <v>154</v>
      </c>
      <c r="B158" s="756" t="s">
        <v>810</v>
      </c>
      <c r="C158" s="758" t="s">
        <v>382</v>
      </c>
      <c r="D158" s="756" t="s">
        <v>804</v>
      </c>
      <c r="E158" s="733" t="s">
        <v>800</v>
      </c>
      <c r="F158" s="733" t="s">
        <v>392</v>
      </c>
      <c r="G158" s="737" t="s">
        <v>811</v>
      </c>
      <c r="H158" s="740" t="s">
        <v>802</v>
      </c>
      <c r="I158" s="727">
        <v>3</v>
      </c>
    </row>
    <row r="159" spans="1:9" ht="20.399999999999999">
      <c r="A159" s="733">
        <v>155</v>
      </c>
      <c r="B159" s="756" t="s">
        <v>812</v>
      </c>
      <c r="C159" s="758" t="s">
        <v>382</v>
      </c>
      <c r="D159" s="756" t="s">
        <v>804</v>
      </c>
      <c r="E159" s="733" t="s">
        <v>800</v>
      </c>
      <c r="F159" s="733" t="s">
        <v>392</v>
      </c>
      <c r="G159" s="737" t="s">
        <v>813</v>
      </c>
      <c r="H159" s="740" t="s">
        <v>802</v>
      </c>
      <c r="I159" s="727">
        <v>3</v>
      </c>
    </row>
    <row r="160" spans="1:9" ht="20.399999999999999">
      <c r="A160" s="730">
        <v>156</v>
      </c>
      <c r="B160" s="756" t="s">
        <v>814</v>
      </c>
      <c r="C160" s="758" t="s">
        <v>382</v>
      </c>
      <c r="D160" s="756" t="s">
        <v>804</v>
      </c>
      <c r="E160" s="733" t="s">
        <v>800</v>
      </c>
      <c r="F160" s="733" t="s">
        <v>392</v>
      </c>
      <c r="G160" s="737" t="s">
        <v>815</v>
      </c>
      <c r="H160" s="740" t="s">
        <v>802</v>
      </c>
      <c r="I160" s="727">
        <v>3</v>
      </c>
    </row>
    <row r="161" spans="1:9" ht="20.399999999999999">
      <c r="A161" s="730">
        <v>157</v>
      </c>
      <c r="B161" s="756" t="s">
        <v>816</v>
      </c>
      <c r="C161" s="758" t="s">
        <v>382</v>
      </c>
      <c r="D161" s="756" t="s">
        <v>804</v>
      </c>
      <c r="E161" s="733" t="s">
        <v>800</v>
      </c>
      <c r="F161" s="733" t="s">
        <v>392</v>
      </c>
      <c r="G161" s="737"/>
      <c r="H161" s="740" t="s">
        <v>802</v>
      </c>
      <c r="I161" s="727">
        <v>3</v>
      </c>
    </row>
    <row r="162" spans="1:9" ht="20.399999999999999">
      <c r="A162" s="730">
        <v>158</v>
      </c>
      <c r="B162" s="756" t="s">
        <v>817</v>
      </c>
      <c r="C162" s="758" t="s">
        <v>382</v>
      </c>
      <c r="D162" s="756" t="s">
        <v>818</v>
      </c>
      <c r="E162" s="733" t="s">
        <v>800</v>
      </c>
      <c r="F162" s="733" t="s">
        <v>392</v>
      </c>
      <c r="G162" s="737" t="s">
        <v>819</v>
      </c>
      <c r="H162" s="740" t="s">
        <v>802</v>
      </c>
      <c r="I162" s="727">
        <v>3</v>
      </c>
    </row>
    <row r="163" spans="1:9" ht="20.399999999999999">
      <c r="A163" s="733">
        <v>159</v>
      </c>
      <c r="B163" s="756" t="s">
        <v>820</v>
      </c>
      <c r="C163" s="758" t="s">
        <v>382</v>
      </c>
      <c r="D163" s="756" t="s">
        <v>818</v>
      </c>
      <c r="E163" s="733" t="s">
        <v>800</v>
      </c>
      <c r="F163" s="733" t="s">
        <v>392</v>
      </c>
      <c r="G163" s="737"/>
      <c r="H163" s="740" t="s">
        <v>802</v>
      </c>
      <c r="I163" s="727">
        <v>3</v>
      </c>
    </row>
    <row r="164" spans="1:9" ht="20.399999999999999">
      <c r="A164" s="730">
        <v>160</v>
      </c>
      <c r="B164" s="756" t="s">
        <v>821</v>
      </c>
      <c r="C164" s="758" t="s">
        <v>382</v>
      </c>
      <c r="D164" s="756" t="s">
        <v>818</v>
      </c>
      <c r="E164" s="733" t="s">
        <v>800</v>
      </c>
      <c r="F164" s="733" t="s">
        <v>392</v>
      </c>
      <c r="G164" s="737" t="s">
        <v>822</v>
      </c>
      <c r="H164" s="740" t="s">
        <v>802</v>
      </c>
      <c r="I164" s="727">
        <v>3</v>
      </c>
    </row>
    <row r="165" spans="1:9" ht="20.399999999999999">
      <c r="A165" s="730">
        <v>161</v>
      </c>
      <c r="B165" s="756" t="s">
        <v>823</v>
      </c>
      <c r="C165" s="758" t="s">
        <v>382</v>
      </c>
      <c r="D165" s="756" t="s">
        <v>818</v>
      </c>
      <c r="E165" s="733" t="s">
        <v>800</v>
      </c>
      <c r="F165" s="733" t="s">
        <v>392</v>
      </c>
      <c r="G165" s="737" t="s">
        <v>824</v>
      </c>
      <c r="H165" s="740" t="s">
        <v>802</v>
      </c>
      <c r="I165" s="727">
        <v>3</v>
      </c>
    </row>
    <row r="166" spans="1:9" ht="20.399999999999999">
      <c r="A166" s="730">
        <v>162</v>
      </c>
      <c r="B166" s="756" t="s">
        <v>825</v>
      </c>
      <c r="C166" s="758" t="s">
        <v>382</v>
      </c>
      <c r="D166" s="756" t="s">
        <v>804</v>
      </c>
      <c r="E166" s="733" t="s">
        <v>800</v>
      </c>
      <c r="F166" s="733" t="s">
        <v>392</v>
      </c>
      <c r="G166" s="727"/>
      <c r="H166" s="740" t="s">
        <v>802</v>
      </c>
      <c r="I166" s="727">
        <v>3</v>
      </c>
    </row>
    <row r="167" spans="1:9" ht="20.399999999999999">
      <c r="A167" s="733">
        <v>163</v>
      </c>
      <c r="B167" s="756" t="s">
        <v>826</v>
      </c>
      <c r="C167" s="758" t="s">
        <v>382</v>
      </c>
      <c r="D167" s="756" t="s">
        <v>827</v>
      </c>
      <c r="E167" s="733" t="s">
        <v>800</v>
      </c>
      <c r="F167" s="733" t="s">
        <v>392</v>
      </c>
      <c r="G167" s="737" t="s">
        <v>828</v>
      </c>
      <c r="H167" s="740" t="s">
        <v>802</v>
      </c>
      <c r="I167" s="727">
        <v>3</v>
      </c>
    </row>
    <row r="168" spans="1:9" ht="20.399999999999999">
      <c r="A168" s="730">
        <v>164</v>
      </c>
      <c r="B168" s="756" t="s">
        <v>829</v>
      </c>
      <c r="C168" s="758" t="s">
        <v>382</v>
      </c>
      <c r="D168" s="756" t="s">
        <v>830</v>
      </c>
      <c r="E168" s="733" t="s">
        <v>800</v>
      </c>
      <c r="F168" s="733" t="s">
        <v>392</v>
      </c>
      <c r="G168" s="727"/>
      <c r="H168" s="740" t="s">
        <v>802</v>
      </c>
      <c r="I168" s="727">
        <v>3</v>
      </c>
    </row>
    <row r="169" spans="1:9" ht="20.399999999999999">
      <c r="A169" s="730">
        <v>165</v>
      </c>
      <c r="B169" s="756" t="s">
        <v>831</v>
      </c>
      <c r="C169" s="756" t="s">
        <v>382</v>
      </c>
      <c r="D169" s="756" t="s">
        <v>832</v>
      </c>
      <c r="E169" s="733" t="s">
        <v>800</v>
      </c>
      <c r="F169" s="733" t="s">
        <v>398</v>
      </c>
      <c r="G169" s="727" t="s">
        <v>833</v>
      </c>
      <c r="H169" s="734" t="s">
        <v>834</v>
      </c>
      <c r="I169" s="727">
        <v>3</v>
      </c>
    </row>
    <row r="170" spans="1:9" ht="20.399999999999999">
      <c r="A170" s="730">
        <v>166</v>
      </c>
      <c r="B170" s="756" t="s">
        <v>835</v>
      </c>
      <c r="C170" s="756" t="s">
        <v>382</v>
      </c>
      <c r="D170" s="756" t="s">
        <v>836</v>
      </c>
      <c r="E170" s="733" t="s">
        <v>800</v>
      </c>
      <c r="F170" s="733" t="s">
        <v>398</v>
      </c>
      <c r="G170" s="727" t="s">
        <v>837</v>
      </c>
      <c r="H170" s="734" t="s">
        <v>230</v>
      </c>
      <c r="I170" s="727">
        <v>3</v>
      </c>
    </row>
    <row r="171" spans="1:9" ht="20.399999999999999">
      <c r="A171" s="733">
        <v>167</v>
      </c>
      <c r="B171" s="756" t="s">
        <v>569</v>
      </c>
      <c r="C171" s="756" t="s">
        <v>382</v>
      </c>
      <c r="D171" s="756" t="s">
        <v>832</v>
      </c>
      <c r="E171" s="733" t="s">
        <v>800</v>
      </c>
      <c r="F171" s="733" t="s">
        <v>398</v>
      </c>
      <c r="G171" s="727" t="s">
        <v>838</v>
      </c>
      <c r="H171" s="734" t="s">
        <v>230</v>
      </c>
      <c r="I171" s="727">
        <v>3</v>
      </c>
    </row>
    <row r="172" spans="1:9" ht="20.399999999999999">
      <c r="A172" s="730">
        <v>168</v>
      </c>
      <c r="B172" s="756" t="s">
        <v>839</v>
      </c>
      <c r="C172" s="756" t="s">
        <v>382</v>
      </c>
      <c r="D172" s="756" t="s">
        <v>836</v>
      </c>
      <c r="E172" s="733" t="s">
        <v>800</v>
      </c>
      <c r="F172" s="733" t="s">
        <v>398</v>
      </c>
      <c r="G172" s="727" t="s">
        <v>840</v>
      </c>
      <c r="H172" s="734" t="s">
        <v>230</v>
      </c>
      <c r="I172" s="727">
        <v>3</v>
      </c>
    </row>
    <row r="173" spans="1:9" ht="20.399999999999999">
      <c r="A173" s="730">
        <v>169</v>
      </c>
      <c r="B173" s="756" t="s">
        <v>841</v>
      </c>
      <c r="C173" s="758" t="s">
        <v>382</v>
      </c>
      <c r="D173" s="756" t="s">
        <v>832</v>
      </c>
      <c r="E173" s="733" t="s">
        <v>800</v>
      </c>
      <c r="F173" s="733" t="s">
        <v>398</v>
      </c>
      <c r="G173" s="727" t="s">
        <v>842</v>
      </c>
      <c r="H173" s="734" t="s">
        <v>834</v>
      </c>
      <c r="I173" s="727">
        <v>3</v>
      </c>
    </row>
    <row r="174" spans="1:9" ht="20.399999999999999">
      <c r="A174" s="730">
        <v>170</v>
      </c>
      <c r="B174" s="756" t="s">
        <v>843</v>
      </c>
      <c r="C174" s="758" t="s">
        <v>382</v>
      </c>
      <c r="D174" s="756" t="s">
        <v>844</v>
      </c>
      <c r="E174" s="733" t="s">
        <v>800</v>
      </c>
      <c r="F174" s="733" t="s">
        <v>398</v>
      </c>
      <c r="G174" s="727" t="s">
        <v>845</v>
      </c>
      <c r="H174" s="734" t="s">
        <v>230</v>
      </c>
      <c r="I174" s="727">
        <v>3</v>
      </c>
    </row>
    <row r="175" spans="1:9" ht="20.399999999999999">
      <c r="A175" s="733">
        <v>171</v>
      </c>
      <c r="B175" s="756" t="s">
        <v>846</v>
      </c>
      <c r="C175" s="758" t="s">
        <v>382</v>
      </c>
      <c r="D175" s="756" t="s">
        <v>844</v>
      </c>
      <c r="E175" s="733" t="s">
        <v>800</v>
      </c>
      <c r="F175" s="733" t="s">
        <v>398</v>
      </c>
      <c r="G175" s="727" t="s">
        <v>847</v>
      </c>
      <c r="H175" s="737" t="s">
        <v>214</v>
      </c>
      <c r="I175" s="727">
        <v>3</v>
      </c>
    </row>
    <row r="176" spans="1:9" ht="20.399999999999999">
      <c r="A176" s="730">
        <v>172</v>
      </c>
      <c r="B176" s="756" t="s">
        <v>848</v>
      </c>
      <c r="C176" s="758" t="s">
        <v>382</v>
      </c>
      <c r="D176" s="756" t="s">
        <v>849</v>
      </c>
      <c r="E176" s="733" t="s">
        <v>800</v>
      </c>
      <c r="F176" s="733" t="s">
        <v>398</v>
      </c>
      <c r="G176" s="727" t="s">
        <v>850</v>
      </c>
      <c r="H176" s="734" t="s">
        <v>230</v>
      </c>
      <c r="I176" s="727">
        <v>3</v>
      </c>
    </row>
    <row r="177" spans="1:9" ht="20.399999999999999">
      <c r="A177" s="730">
        <v>173</v>
      </c>
      <c r="B177" s="756" t="s">
        <v>709</v>
      </c>
      <c r="C177" s="758" t="s">
        <v>382</v>
      </c>
      <c r="D177" s="756" t="s">
        <v>832</v>
      </c>
      <c r="E177" s="733" t="s">
        <v>800</v>
      </c>
      <c r="F177" s="733" t="s">
        <v>398</v>
      </c>
      <c r="G177" s="748" t="s">
        <v>851</v>
      </c>
      <c r="H177" s="734" t="s">
        <v>834</v>
      </c>
      <c r="I177" s="727">
        <v>3</v>
      </c>
    </row>
    <row r="178" spans="1:9" ht="20.399999999999999">
      <c r="A178" s="730">
        <v>174</v>
      </c>
      <c r="B178" s="756" t="s">
        <v>852</v>
      </c>
      <c r="C178" s="758" t="s">
        <v>382</v>
      </c>
      <c r="D178" s="756" t="s">
        <v>273</v>
      </c>
      <c r="E178" s="733" t="s">
        <v>800</v>
      </c>
      <c r="F178" s="733" t="s">
        <v>398</v>
      </c>
      <c r="G178" s="748" t="s">
        <v>853</v>
      </c>
      <c r="H178" s="737" t="s">
        <v>230</v>
      </c>
      <c r="I178" s="727">
        <v>3</v>
      </c>
    </row>
    <row r="179" spans="1:9" ht="20.399999999999999">
      <c r="A179" s="733">
        <v>175</v>
      </c>
      <c r="B179" s="756" t="s">
        <v>854</v>
      </c>
      <c r="C179" s="758" t="s">
        <v>382</v>
      </c>
      <c r="D179" s="756" t="s">
        <v>273</v>
      </c>
      <c r="E179" s="733" t="s">
        <v>800</v>
      </c>
      <c r="F179" s="733" t="s">
        <v>398</v>
      </c>
      <c r="G179" s="727"/>
      <c r="H179" s="737" t="s">
        <v>230</v>
      </c>
      <c r="I179" s="727">
        <v>3</v>
      </c>
    </row>
    <row r="180" spans="1:9" ht="20.399999999999999">
      <c r="A180" s="730">
        <v>176</v>
      </c>
      <c r="B180" s="756" t="s">
        <v>855</v>
      </c>
      <c r="C180" s="758" t="s">
        <v>382</v>
      </c>
      <c r="D180" s="756" t="s">
        <v>832</v>
      </c>
      <c r="E180" s="733" t="s">
        <v>800</v>
      </c>
      <c r="F180" s="733" t="s">
        <v>398</v>
      </c>
      <c r="G180" s="727"/>
      <c r="H180" s="734" t="s">
        <v>214</v>
      </c>
      <c r="I180" s="727">
        <v>3</v>
      </c>
    </row>
    <row r="181" spans="1:9" ht="20.399999999999999">
      <c r="A181" s="730">
        <v>177</v>
      </c>
      <c r="B181" s="756" t="s">
        <v>856</v>
      </c>
      <c r="C181" s="758" t="s">
        <v>382</v>
      </c>
      <c r="D181" s="756" t="s">
        <v>849</v>
      </c>
      <c r="E181" s="733" t="s">
        <v>800</v>
      </c>
      <c r="F181" s="733" t="s">
        <v>398</v>
      </c>
      <c r="G181" s="727" t="s">
        <v>857</v>
      </c>
      <c r="H181" s="734" t="s">
        <v>214</v>
      </c>
      <c r="I181" s="727">
        <v>3</v>
      </c>
    </row>
    <row r="182" spans="1:9" ht="20.399999999999999">
      <c r="A182" s="730">
        <v>178</v>
      </c>
      <c r="B182" s="756" t="s">
        <v>858</v>
      </c>
      <c r="C182" s="758" t="s">
        <v>382</v>
      </c>
      <c r="D182" s="756" t="s">
        <v>859</v>
      </c>
      <c r="E182" s="733" t="s">
        <v>800</v>
      </c>
      <c r="F182" s="733" t="s">
        <v>398</v>
      </c>
      <c r="G182" s="727" t="s">
        <v>860</v>
      </c>
      <c r="H182" s="734" t="s">
        <v>230</v>
      </c>
      <c r="I182" s="727">
        <v>3</v>
      </c>
    </row>
    <row r="183" spans="1:9" ht="20.399999999999999">
      <c r="A183" s="733">
        <v>179</v>
      </c>
      <c r="B183" s="756" t="s">
        <v>861</v>
      </c>
      <c r="C183" s="759" t="s">
        <v>382</v>
      </c>
      <c r="D183" s="756" t="s">
        <v>832</v>
      </c>
      <c r="E183" s="733" t="s">
        <v>800</v>
      </c>
      <c r="F183" s="733" t="s">
        <v>398</v>
      </c>
      <c r="G183" s="727" t="s">
        <v>862</v>
      </c>
      <c r="H183" s="734" t="s">
        <v>214</v>
      </c>
      <c r="I183" s="727">
        <v>3</v>
      </c>
    </row>
    <row r="184" spans="1:9" ht="20.399999999999999">
      <c r="A184" s="730">
        <v>180</v>
      </c>
      <c r="B184" s="756" t="s">
        <v>230</v>
      </c>
      <c r="C184" s="758" t="s">
        <v>382</v>
      </c>
      <c r="D184" s="756" t="s">
        <v>863</v>
      </c>
      <c r="E184" s="733" t="s">
        <v>800</v>
      </c>
      <c r="F184" s="733" t="s">
        <v>404</v>
      </c>
      <c r="G184" s="737" t="s">
        <v>864</v>
      </c>
      <c r="H184" s="740" t="s">
        <v>230</v>
      </c>
      <c r="I184" s="760">
        <v>3</v>
      </c>
    </row>
    <row r="185" spans="1:9" ht="20.399999999999999">
      <c r="A185" s="730">
        <v>181</v>
      </c>
      <c r="B185" s="756" t="s">
        <v>865</v>
      </c>
      <c r="C185" s="758" t="s">
        <v>382</v>
      </c>
      <c r="D185" s="756" t="s">
        <v>863</v>
      </c>
      <c r="E185" s="733" t="s">
        <v>800</v>
      </c>
      <c r="F185" s="733" t="s">
        <v>404</v>
      </c>
      <c r="G185" s="737" t="s">
        <v>866</v>
      </c>
      <c r="H185" s="740" t="s">
        <v>230</v>
      </c>
      <c r="I185" s="760">
        <v>3</v>
      </c>
    </row>
    <row r="186" spans="1:9" ht="20.399999999999999">
      <c r="A186" s="730">
        <v>182</v>
      </c>
      <c r="B186" s="756" t="s">
        <v>867</v>
      </c>
      <c r="C186" s="758" t="s">
        <v>382</v>
      </c>
      <c r="D186" s="756" t="s">
        <v>868</v>
      </c>
      <c r="E186" s="733" t="s">
        <v>800</v>
      </c>
      <c r="F186" s="733" t="s">
        <v>404</v>
      </c>
      <c r="G186" s="737" t="s">
        <v>869</v>
      </c>
      <c r="H186" s="740" t="s">
        <v>230</v>
      </c>
      <c r="I186" s="760">
        <v>3</v>
      </c>
    </row>
    <row r="187" spans="1:9" ht="20.399999999999999">
      <c r="A187" s="733">
        <v>183</v>
      </c>
      <c r="B187" s="756" t="s">
        <v>870</v>
      </c>
      <c r="C187" s="758" t="s">
        <v>382</v>
      </c>
      <c r="D187" s="756" t="s">
        <v>871</v>
      </c>
      <c r="E187" s="733" t="s">
        <v>800</v>
      </c>
      <c r="F187" s="733" t="s">
        <v>404</v>
      </c>
      <c r="G187" s="737"/>
      <c r="H187" s="740" t="s">
        <v>230</v>
      </c>
      <c r="I187" s="760">
        <v>3</v>
      </c>
    </row>
    <row r="188" spans="1:9" ht="20.399999999999999">
      <c r="A188" s="730">
        <v>184</v>
      </c>
      <c r="B188" s="756" t="s">
        <v>872</v>
      </c>
      <c r="C188" s="758" t="s">
        <v>382</v>
      </c>
      <c r="D188" s="756" t="s">
        <v>873</v>
      </c>
      <c r="E188" s="733" t="s">
        <v>800</v>
      </c>
      <c r="F188" s="733" t="s">
        <v>404</v>
      </c>
      <c r="G188" s="727" t="s">
        <v>874</v>
      </c>
      <c r="H188" s="740" t="s">
        <v>230</v>
      </c>
      <c r="I188" s="760">
        <v>3</v>
      </c>
    </row>
    <row r="189" spans="1:9" ht="20.399999999999999">
      <c r="A189" s="730">
        <v>185</v>
      </c>
      <c r="B189" s="756" t="s">
        <v>510</v>
      </c>
      <c r="C189" s="758" t="s">
        <v>382</v>
      </c>
      <c r="D189" s="756" t="s">
        <v>875</v>
      </c>
      <c r="E189" s="733" t="s">
        <v>800</v>
      </c>
      <c r="F189" s="733" t="s">
        <v>404</v>
      </c>
      <c r="G189" s="727" t="s">
        <v>876</v>
      </c>
      <c r="H189" s="740" t="s">
        <v>230</v>
      </c>
      <c r="I189" s="760">
        <v>3</v>
      </c>
    </row>
    <row r="190" spans="1:9" ht="20.399999999999999">
      <c r="A190" s="730">
        <v>186</v>
      </c>
      <c r="B190" s="756" t="s">
        <v>877</v>
      </c>
      <c r="C190" s="758" t="s">
        <v>382</v>
      </c>
      <c r="D190" s="756" t="s">
        <v>878</v>
      </c>
      <c r="E190" s="733" t="s">
        <v>800</v>
      </c>
      <c r="F190" s="733" t="s">
        <v>404</v>
      </c>
      <c r="G190" s="737" t="s">
        <v>879</v>
      </c>
      <c r="H190" s="740" t="s">
        <v>230</v>
      </c>
      <c r="I190" s="760">
        <v>3</v>
      </c>
    </row>
    <row r="191" spans="1:9" ht="20.399999999999999">
      <c r="A191" s="733">
        <v>187</v>
      </c>
      <c r="B191" s="756" t="s">
        <v>880</v>
      </c>
      <c r="C191" s="758" t="s">
        <v>382</v>
      </c>
      <c r="D191" s="756" t="s">
        <v>878</v>
      </c>
      <c r="E191" s="733" t="s">
        <v>800</v>
      </c>
      <c r="F191" s="733" t="s">
        <v>404</v>
      </c>
      <c r="G191" s="737" t="s">
        <v>881</v>
      </c>
      <c r="H191" s="740" t="s">
        <v>230</v>
      </c>
      <c r="I191" s="760">
        <v>3</v>
      </c>
    </row>
    <row r="192" spans="1:9" ht="20.399999999999999">
      <c r="A192" s="730">
        <v>188</v>
      </c>
      <c r="B192" s="758" t="s">
        <v>882</v>
      </c>
      <c r="C192" s="758" t="s">
        <v>382</v>
      </c>
      <c r="D192" s="758" t="s">
        <v>883</v>
      </c>
      <c r="E192" s="733" t="s">
        <v>800</v>
      </c>
      <c r="F192" s="733" t="s">
        <v>404</v>
      </c>
      <c r="G192" s="727" t="s">
        <v>884</v>
      </c>
      <c r="H192" s="740" t="s">
        <v>230</v>
      </c>
      <c r="I192" s="760">
        <v>3</v>
      </c>
    </row>
    <row r="193" spans="1:9" ht="20.399999999999999">
      <c r="A193" s="730">
        <v>189</v>
      </c>
      <c r="B193" s="758" t="s">
        <v>885</v>
      </c>
      <c r="C193" s="758" t="s">
        <v>382</v>
      </c>
      <c r="D193" s="756" t="s">
        <v>875</v>
      </c>
      <c r="E193" s="733" t="s">
        <v>800</v>
      </c>
      <c r="F193" s="733" t="s">
        <v>404</v>
      </c>
      <c r="G193" s="727"/>
      <c r="H193" s="740" t="s">
        <v>230</v>
      </c>
      <c r="I193" s="760">
        <v>3</v>
      </c>
    </row>
    <row r="194" spans="1:9" ht="20.399999999999999">
      <c r="A194" s="730">
        <v>190</v>
      </c>
      <c r="B194" s="758" t="s">
        <v>886</v>
      </c>
      <c r="C194" s="758" t="s">
        <v>382</v>
      </c>
      <c r="D194" s="758" t="s">
        <v>878</v>
      </c>
      <c r="E194" s="733" t="s">
        <v>800</v>
      </c>
      <c r="F194" s="733" t="s">
        <v>404</v>
      </c>
      <c r="G194" s="737"/>
      <c r="H194" s="740" t="s">
        <v>230</v>
      </c>
      <c r="I194" s="760">
        <v>3</v>
      </c>
    </row>
    <row r="195" spans="1:9" ht="20.399999999999999">
      <c r="A195" s="733">
        <v>191</v>
      </c>
      <c r="B195" s="758" t="s">
        <v>887</v>
      </c>
      <c r="C195" s="758" t="s">
        <v>382</v>
      </c>
      <c r="D195" s="758" t="s">
        <v>871</v>
      </c>
      <c r="E195" s="733" t="s">
        <v>800</v>
      </c>
      <c r="F195" s="733" t="s">
        <v>404</v>
      </c>
      <c r="G195" s="727"/>
      <c r="H195" s="740" t="s">
        <v>230</v>
      </c>
      <c r="I195" s="760">
        <v>3</v>
      </c>
    </row>
    <row r="196" spans="1:9" ht="20.399999999999999">
      <c r="A196" s="730">
        <v>192</v>
      </c>
      <c r="B196" s="758" t="s">
        <v>888</v>
      </c>
      <c r="C196" s="758" t="s">
        <v>382</v>
      </c>
      <c r="D196" s="758" t="s">
        <v>889</v>
      </c>
      <c r="E196" s="733" t="s">
        <v>800</v>
      </c>
      <c r="F196" s="733" t="s">
        <v>404</v>
      </c>
      <c r="G196" s="727" t="s">
        <v>890</v>
      </c>
      <c r="H196" s="740" t="s">
        <v>230</v>
      </c>
      <c r="I196" s="760">
        <v>3</v>
      </c>
    </row>
    <row r="197" spans="1:9" ht="20.399999999999999">
      <c r="A197" s="730">
        <v>193</v>
      </c>
      <c r="B197" s="756" t="s">
        <v>891</v>
      </c>
      <c r="C197" s="759" t="s">
        <v>382</v>
      </c>
      <c r="D197" s="756" t="s">
        <v>892</v>
      </c>
      <c r="E197" s="733" t="s">
        <v>800</v>
      </c>
      <c r="F197" s="733" t="s">
        <v>410</v>
      </c>
      <c r="G197" s="761" t="s">
        <v>893</v>
      </c>
      <c r="H197" s="740" t="s">
        <v>271</v>
      </c>
      <c r="I197" s="760">
        <v>3</v>
      </c>
    </row>
    <row r="198" spans="1:9" ht="20.399999999999999">
      <c r="A198" s="730">
        <v>194</v>
      </c>
      <c r="B198" s="756" t="s">
        <v>894</v>
      </c>
      <c r="C198" s="759" t="s">
        <v>382</v>
      </c>
      <c r="D198" s="756" t="s">
        <v>892</v>
      </c>
      <c r="E198" s="733" t="s">
        <v>800</v>
      </c>
      <c r="F198" s="733" t="s">
        <v>410</v>
      </c>
      <c r="G198" s="737" t="s">
        <v>895</v>
      </c>
      <c r="H198" s="740" t="s">
        <v>271</v>
      </c>
      <c r="I198" s="760">
        <v>3</v>
      </c>
    </row>
    <row r="199" spans="1:9" ht="20.399999999999999">
      <c r="A199" s="733">
        <v>195</v>
      </c>
      <c r="B199" s="756" t="s">
        <v>896</v>
      </c>
      <c r="C199" s="759" t="s">
        <v>382</v>
      </c>
      <c r="D199" s="756" t="s">
        <v>897</v>
      </c>
      <c r="E199" s="733" t="s">
        <v>800</v>
      </c>
      <c r="F199" s="733" t="s">
        <v>410</v>
      </c>
      <c r="G199" s="737" t="s">
        <v>898</v>
      </c>
      <c r="H199" s="740" t="s">
        <v>269</v>
      </c>
      <c r="I199" s="760">
        <v>3</v>
      </c>
    </row>
    <row r="200" spans="1:9" ht="20.399999999999999">
      <c r="A200" s="730">
        <v>196</v>
      </c>
      <c r="B200" s="756" t="s">
        <v>899</v>
      </c>
      <c r="C200" s="759" t="s">
        <v>382</v>
      </c>
      <c r="D200" s="756" t="s">
        <v>900</v>
      </c>
      <c r="E200" s="733" t="s">
        <v>800</v>
      </c>
      <c r="F200" s="733" t="s">
        <v>410</v>
      </c>
      <c r="G200" s="737" t="s">
        <v>901</v>
      </c>
      <c r="H200" s="740" t="s">
        <v>230</v>
      </c>
      <c r="I200" s="760">
        <v>3</v>
      </c>
    </row>
    <row r="201" spans="1:9" ht="20.399999999999999">
      <c r="A201" s="730">
        <v>197</v>
      </c>
      <c r="B201" s="756" t="s">
        <v>902</v>
      </c>
      <c r="C201" s="759" t="s">
        <v>382</v>
      </c>
      <c r="D201" s="756" t="s">
        <v>900</v>
      </c>
      <c r="E201" s="733" t="s">
        <v>800</v>
      </c>
      <c r="F201" s="733" t="s">
        <v>410</v>
      </c>
      <c r="G201" s="737" t="s">
        <v>903</v>
      </c>
      <c r="H201" s="740" t="s">
        <v>230</v>
      </c>
      <c r="I201" s="760">
        <v>3</v>
      </c>
    </row>
    <row r="202" spans="1:9" ht="20.399999999999999">
      <c r="A202" s="730">
        <v>198</v>
      </c>
      <c r="B202" s="756" t="s">
        <v>597</v>
      </c>
      <c r="C202" s="759" t="s">
        <v>382</v>
      </c>
      <c r="D202" s="756" t="s">
        <v>904</v>
      </c>
      <c r="E202" s="733" t="s">
        <v>800</v>
      </c>
      <c r="F202" s="733" t="s">
        <v>410</v>
      </c>
      <c r="G202" s="737" t="s">
        <v>905</v>
      </c>
      <c r="H202" s="740" t="s">
        <v>230</v>
      </c>
      <c r="I202" s="760">
        <v>3</v>
      </c>
    </row>
    <row r="203" spans="1:9" ht="20.399999999999999">
      <c r="A203" s="733">
        <v>199</v>
      </c>
      <c r="B203" s="756" t="s">
        <v>906</v>
      </c>
      <c r="C203" s="759" t="s">
        <v>382</v>
      </c>
      <c r="D203" s="756" t="s">
        <v>907</v>
      </c>
      <c r="E203" s="733" t="s">
        <v>800</v>
      </c>
      <c r="F203" s="733" t="s">
        <v>410</v>
      </c>
      <c r="G203" s="737" t="s">
        <v>908</v>
      </c>
      <c r="H203" s="740" t="s">
        <v>214</v>
      </c>
      <c r="I203" s="760">
        <v>3</v>
      </c>
    </row>
    <row r="204" spans="1:9" ht="20.399999999999999">
      <c r="A204" s="730">
        <v>200</v>
      </c>
      <c r="B204" s="756" t="s">
        <v>909</v>
      </c>
      <c r="C204" s="759" t="s">
        <v>382</v>
      </c>
      <c r="D204" s="756" t="s">
        <v>900</v>
      </c>
      <c r="E204" s="733" t="s">
        <v>800</v>
      </c>
      <c r="F204" s="733" t="s">
        <v>410</v>
      </c>
      <c r="G204" s="735" t="s">
        <v>910</v>
      </c>
      <c r="H204" s="740" t="s">
        <v>230</v>
      </c>
      <c r="I204" s="760">
        <v>3</v>
      </c>
    </row>
    <row r="205" spans="1:9" ht="20.399999999999999">
      <c r="A205" s="730">
        <v>201</v>
      </c>
      <c r="B205" s="756" t="s">
        <v>911</v>
      </c>
      <c r="C205" s="759" t="s">
        <v>382</v>
      </c>
      <c r="D205" s="756" t="s">
        <v>892</v>
      </c>
      <c r="E205" s="733" t="s">
        <v>800</v>
      </c>
      <c r="F205" s="733" t="s">
        <v>410</v>
      </c>
      <c r="G205" s="762" t="s">
        <v>912</v>
      </c>
      <c r="H205" s="740" t="s">
        <v>271</v>
      </c>
      <c r="I205" s="760">
        <v>3</v>
      </c>
    </row>
    <row r="206" spans="1:9" ht="20.399999999999999">
      <c r="A206" s="730">
        <v>202</v>
      </c>
      <c r="B206" s="756" t="s">
        <v>913</v>
      </c>
      <c r="C206" s="763" t="s">
        <v>381</v>
      </c>
      <c r="D206" s="756" t="s">
        <v>764</v>
      </c>
      <c r="E206" s="733" t="s">
        <v>800</v>
      </c>
      <c r="F206" s="733" t="s">
        <v>416</v>
      </c>
      <c r="G206" s="733" t="s">
        <v>914</v>
      </c>
      <c r="H206" s="740" t="s">
        <v>214</v>
      </c>
      <c r="I206" s="733">
        <v>3</v>
      </c>
    </row>
    <row r="207" spans="1:9" ht="20.399999999999999">
      <c r="A207" s="733">
        <v>203</v>
      </c>
      <c r="B207" s="756" t="s">
        <v>915</v>
      </c>
      <c r="C207" s="705" t="s">
        <v>382</v>
      </c>
      <c r="D207" s="756" t="s">
        <v>916</v>
      </c>
      <c r="E207" s="733" t="s">
        <v>800</v>
      </c>
      <c r="F207" s="733" t="s">
        <v>416</v>
      </c>
      <c r="G207" s="733" t="s">
        <v>917</v>
      </c>
      <c r="H207" s="740" t="s">
        <v>269</v>
      </c>
      <c r="I207" s="733">
        <v>3</v>
      </c>
    </row>
    <row r="208" spans="1:9" ht="20.399999999999999">
      <c r="A208" s="730">
        <v>204</v>
      </c>
      <c r="B208" s="756" t="s">
        <v>918</v>
      </c>
      <c r="C208" s="759" t="s">
        <v>382</v>
      </c>
      <c r="D208" s="756" t="s">
        <v>919</v>
      </c>
      <c r="E208" s="733" t="s">
        <v>800</v>
      </c>
      <c r="F208" s="733" t="s">
        <v>416</v>
      </c>
      <c r="G208" s="733" t="s">
        <v>920</v>
      </c>
      <c r="H208" s="740" t="s">
        <v>269</v>
      </c>
      <c r="I208" s="733">
        <v>3</v>
      </c>
    </row>
    <row r="209" spans="1:9" ht="20.399999999999999">
      <c r="A209" s="730">
        <v>205</v>
      </c>
      <c r="B209" s="756" t="s">
        <v>921</v>
      </c>
      <c r="C209" s="759" t="s">
        <v>382</v>
      </c>
      <c r="D209" s="756" t="s">
        <v>764</v>
      </c>
      <c r="E209" s="733" t="s">
        <v>800</v>
      </c>
      <c r="F209" s="733" t="s">
        <v>416</v>
      </c>
      <c r="G209" s="733" t="s">
        <v>922</v>
      </c>
      <c r="H209" s="740" t="s">
        <v>269</v>
      </c>
      <c r="I209" s="733">
        <v>3</v>
      </c>
    </row>
    <row r="210" spans="1:9" ht="20.399999999999999">
      <c r="A210" s="730">
        <v>206</v>
      </c>
      <c r="B210" s="756" t="s">
        <v>923</v>
      </c>
      <c r="C210" s="759" t="s">
        <v>382</v>
      </c>
      <c r="D210" s="756" t="s">
        <v>919</v>
      </c>
      <c r="E210" s="733" t="s">
        <v>800</v>
      </c>
      <c r="F210" s="733" t="s">
        <v>416</v>
      </c>
      <c r="G210" s="733" t="s">
        <v>924</v>
      </c>
      <c r="H210" s="740" t="s">
        <v>269</v>
      </c>
      <c r="I210" s="733">
        <v>3</v>
      </c>
    </row>
    <row r="211" spans="1:9" ht="20.399999999999999">
      <c r="A211" s="733">
        <v>207</v>
      </c>
      <c r="B211" s="756" t="s">
        <v>925</v>
      </c>
      <c r="C211" s="759" t="s">
        <v>382</v>
      </c>
      <c r="D211" s="764" t="s">
        <v>926</v>
      </c>
      <c r="E211" s="733" t="s">
        <v>800</v>
      </c>
      <c r="F211" s="733" t="s">
        <v>416</v>
      </c>
      <c r="G211" s="733" t="s">
        <v>927</v>
      </c>
      <c r="H211" s="740" t="s">
        <v>269</v>
      </c>
      <c r="I211" s="733">
        <v>3</v>
      </c>
    </row>
    <row r="212" spans="1:9" ht="20.399999999999999">
      <c r="A212" s="730">
        <v>208</v>
      </c>
      <c r="B212" s="756" t="s">
        <v>928</v>
      </c>
      <c r="C212" s="756" t="s">
        <v>382</v>
      </c>
      <c r="D212" s="756" t="s">
        <v>929</v>
      </c>
      <c r="E212" s="733" t="s">
        <v>470</v>
      </c>
      <c r="F212" s="733" t="s">
        <v>422</v>
      </c>
      <c r="G212" s="748" t="s">
        <v>930</v>
      </c>
      <c r="H212" s="737" t="s">
        <v>931</v>
      </c>
      <c r="I212" s="733">
        <v>3</v>
      </c>
    </row>
    <row r="213" spans="1:9" ht="20.399999999999999">
      <c r="A213" s="730">
        <v>209</v>
      </c>
      <c r="B213" s="756" t="s">
        <v>932</v>
      </c>
      <c r="C213" s="756" t="s">
        <v>382</v>
      </c>
      <c r="D213" s="756" t="s">
        <v>933</v>
      </c>
      <c r="E213" s="733" t="s">
        <v>470</v>
      </c>
      <c r="F213" s="733" t="s">
        <v>422</v>
      </c>
      <c r="G213" s="727" t="s">
        <v>934</v>
      </c>
      <c r="H213" s="737" t="s">
        <v>719</v>
      </c>
      <c r="I213" s="733">
        <v>3</v>
      </c>
    </row>
    <row r="214" spans="1:9" ht="20.399999999999999">
      <c r="A214" s="730">
        <v>210</v>
      </c>
      <c r="B214" s="756" t="s">
        <v>614</v>
      </c>
      <c r="C214" s="756" t="s">
        <v>382</v>
      </c>
      <c r="D214" s="756" t="s">
        <v>929</v>
      </c>
      <c r="E214" s="733" t="s">
        <v>470</v>
      </c>
      <c r="F214" s="733" t="s">
        <v>422</v>
      </c>
      <c r="G214" s="727" t="s">
        <v>935</v>
      </c>
      <c r="H214" s="735" t="s">
        <v>936</v>
      </c>
      <c r="I214" s="733">
        <v>3</v>
      </c>
    </row>
    <row r="215" spans="1:9" ht="20.399999999999999">
      <c r="A215" s="733">
        <v>211</v>
      </c>
      <c r="B215" s="756" t="s">
        <v>499</v>
      </c>
      <c r="C215" s="756" t="s">
        <v>382</v>
      </c>
      <c r="D215" s="756" t="s">
        <v>929</v>
      </c>
      <c r="E215" s="733" t="s">
        <v>470</v>
      </c>
      <c r="F215" s="733" t="s">
        <v>422</v>
      </c>
      <c r="G215" s="727" t="s">
        <v>937</v>
      </c>
      <c r="H215" s="735" t="s">
        <v>936</v>
      </c>
      <c r="I215" s="733">
        <v>3</v>
      </c>
    </row>
    <row r="216" spans="1:9" ht="20.399999999999999">
      <c r="A216" s="730">
        <v>212</v>
      </c>
      <c r="B216" s="756" t="s">
        <v>938</v>
      </c>
      <c r="C216" s="756" t="s">
        <v>382</v>
      </c>
      <c r="D216" s="756" t="s">
        <v>929</v>
      </c>
      <c r="E216" s="733" t="s">
        <v>470</v>
      </c>
      <c r="F216" s="733" t="s">
        <v>422</v>
      </c>
      <c r="G216" s="727" t="s">
        <v>939</v>
      </c>
      <c r="H216" s="735" t="s">
        <v>936</v>
      </c>
      <c r="I216" s="733">
        <v>3</v>
      </c>
    </row>
    <row r="217" spans="1:9" ht="20.399999999999999">
      <c r="A217" s="730">
        <v>213</v>
      </c>
      <c r="B217" s="756" t="s">
        <v>940</v>
      </c>
      <c r="C217" s="756" t="s">
        <v>382</v>
      </c>
      <c r="D217" s="756" t="s">
        <v>929</v>
      </c>
      <c r="E217" s="733" t="s">
        <v>470</v>
      </c>
      <c r="F217" s="733" t="s">
        <v>422</v>
      </c>
      <c r="G217" s="727" t="s">
        <v>941</v>
      </c>
      <c r="H217" s="735" t="s">
        <v>936</v>
      </c>
      <c r="I217" s="733">
        <v>3</v>
      </c>
    </row>
    <row r="218" spans="1:9" ht="20.399999999999999">
      <c r="A218" s="730">
        <v>214</v>
      </c>
      <c r="B218" s="756" t="s">
        <v>942</v>
      </c>
      <c r="C218" s="756" t="s">
        <v>382</v>
      </c>
      <c r="D218" s="756" t="s">
        <v>929</v>
      </c>
      <c r="E218" s="733" t="s">
        <v>470</v>
      </c>
      <c r="F218" s="733" t="s">
        <v>422</v>
      </c>
      <c r="G218" s="727" t="s">
        <v>943</v>
      </c>
      <c r="H218" s="735" t="s">
        <v>936</v>
      </c>
      <c r="I218" s="733">
        <v>3</v>
      </c>
    </row>
    <row r="219" spans="1:9" ht="20.399999999999999">
      <c r="A219" s="733">
        <v>215</v>
      </c>
      <c r="B219" s="756" t="s">
        <v>758</v>
      </c>
      <c r="C219" s="756" t="s">
        <v>382</v>
      </c>
      <c r="D219" s="756" t="s">
        <v>933</v>
      </c>
      <c r="E219" s="733" t="s">
        <v>470</v>
      </c>
      <c r="F219" s="733" t="s">
        <v>422</v>
      </c>
      <c r="G219" s="727" t="s">
        <v>944</v>
      </c>
      <c r="H219" s="735" t="s">
        <v>936</v>
      </c>
      <c r="I219" s="733">
        <v>3</v>
      </c>
    </row>
    <row r="220" spans="1:9" ht="20.399999999999999">
      <c r="A220" s="730">
        <v>216</v>
      </c>
      <c r="B220" s="756" t="s">
        <v>945</v>
      </c>
      <c r="C220" s="756" t="s">
        <v>382</v>
      </c>
      <c r="D220" s="756" t="s">
        <v>946</v>
      </c>
      <c r="E220" s="733" t="s">
        <v>470</v>
      </c>
      <c r="F220" s="733" t="s">
        <v>422</v>
      </c>
      <c r="G220" s="727" t="s">
        <v>947</v>
      </c>
      <c r="H220" s="735" t="s">
        <v>936</v>
      </c>
      <c r="I220" s="733">
        <v>3</v>
      </c>
    </row>
    <row r="221" spans="1:9" ht="20.399999999999999">
      <c r="A221" s="730">
        <v>217</v>
      </c>
      <c r="B221" s="756" t="s">
        <v>739</v>
      </c>
      <c r="C221" s="756" t="s">
        <v>382</v>
      </c>
      <c r="D221" s="756" t="s">
        <v>948</v>
      </c>
      <c r="E221" s="733" t="s">
        <v>470</v>
      </c>
      <c r="F221" s="733" t="s">
        <v>422</v>
      </c>
      <c r="G221" s="727" t="s">
        <v>949</v>
      </c>
      <c r="H221" s="740" t="s">
        <v>950</v>
      </c>
      <c r="I221" s="733">
        <v>3</v>
      </c>
    </row>
    <row r="222" spans="1:9" ht="20.399999999999999">
      <c r="A222" s="730">
        <v>218</v>
      </c>
      <c r="B222" s="756" t="s">
        <v>951</v>
      </c>
      <c r="C222" s="756" t="s">
        <v>382</v>
      </c>
      <c r="D222" s="756" t="s">
        <v>948</v>
      </c>
      <c r="E222" s="733" t="s">
        <v>470</v>
      </c>
      <c r="F222" s="733" t="s">
        <v>422</v>
      </c>
      <c r="G222" s="727" t="s">
        <v>952</v>
      </c>
      <c r="H222" s="740" t="s">
        <v>950</v>
      </c>
      <c r="I222" s="733">
        <v>3</v>
      </c>
    </row>
    <row r="223" spans="1:9" ht="20.399999999999999">
      <c r="A223" s="733">
        <v>219</v>
      </c>
      <c r="B223" s="756" t="s">
        <v>953</v>
      </c>
      <c r="C223" s="756" t="s">
        <v>382</v>
      </c>
      <c r="D223" s="756" t="s">
        <v>948</v>
      </c>
      <c r="E223" s="733" t="s">
        <v>470</v>
      </c>
      <c r="F223" s="733" t="s">
        <v>422</v>
      </c>
      <c r="G223" s="727" t="s">
        <v>954</v>
      </c>
      <c r="H223" s="740" t="s">
        <v>950</v>
      </c>
      <c r="I223" s="733">
        <v>3</v>
      </c>
    </row>
    <row r="224" spans="1:9" ht="20.399999999999999">
      <c r="A224" s="730">
        <v>220</v>
      </c>
      <c r="B224" s="756" t="s">
        <v>955</v>
      </c>
      <c r="C224" s="756" t="s">
        <v>382</v>
      </c>
      <c r="D224" s="756" t="s">
        <v>948</v>
      </c>
      <c r="E224" s="733" t="s">
        <v>470</v>
      </c>
      <c r="F224" s="733" t="s">
        <v>422</v>
      </c>
      <c r="G224" s="727" t="s">
        <v>956</v>
      </c>
      <c r="H224" s="740" t="s">
        <v>950</v>
      </c>
      <c r="I224" s="733">
        <v>3</v>
      </c>
    </row>
    <row r="225" spans="1:9" ht="20.399999999999999">
      <c r="A225" s="730">
        <v>221</v>
      </c>
      <c r="B225" s="756" t="s">
        <v>957</v>
      </c>
      <c r="C225" s="756" t="s">
        <v>382</v>
      </c>
      <c r="D225" s="756" t="s">
        <v>948</v>
      </c>
      <c r="E225" s="733" t="s">
        <v>470</v>
      </c>
      <c r="F225" s="733" t="s">
        <v>422</v>
      </c>
      <c r="G225" s="727" t="s">
        <v>958</v>
      </c>
      <c r="H225" s="740" t="s">
        <v>950</v>
      </c>
      <c r="I225" s="733">
        <v>3</v>
      </c>
    </row>
    <row r="226" spans="1:9" ht="20.399999999999999">
      <c r="A226" s="730">
        <v>222</v>
      </c>
      <c r="B226" s="756" t="s">
        <v>959</v>
      </c>
      <c r="C226" s="756" t="s">
        <v>382</v>
      </c>
      <c r="D226" s="756" t="s">
        <v>948</v>
      </c>
      <c r="E226" s="733" t="s">
        <v>470</v>
      </c>
      <c r="F226" s="733" t="s">
        <v>422</v>
      </c>
      <c r="G226" s="727" t="s">
        <v>960</v>
      </c>
      <c r="H226" s="740" t="s">
        <v>950</v>
      </c>
      <c r="I226" s="733">
        <v>3</v>
      </c>
    </row>
    <row r="227" spans="1:9" ht="20.399999999999999">
      <c r="A227" s="733">
        <v>223</v>
      </c>
      <c r="B227" s="756" t="s">
        <v>961</v>
      </c>
      <c r="C227" s="756" t="s">
        <v>382</v>
      </c>
      <c r="D227" s="756" t="s">
        <v>929</v>
      </c>
      <c r="E227" s="733" t="s">
        <v>470</v>
      </c>
      <c r="F227" s="733" t="s">
        <v>422</v>
      </c>
      <c r="G227" s="727" t="s">
        <v>962</v>
      </c>
      <c r="H227" s="735" t="s">
        <v>936</v>
      </c>
      <c r="I227" s="733">
        <v>3</v>
      </c>
    </row>
    <row r="228" spans="1:9" ht="20.399999999999999">
      <c r="A228" s="730">
        <v>224</v>
      </c>
      <c r="B228" s="756" t="s">
        <v>732</v>
      </c>
      <c r="C228" s="756" t="s">
        <v>382</v>
      </c>
      <c r="D228" s="756" t="s">
        <v>948</v>
      </c>
      <c r="E228" s="733" t="s">
        <v>470</v>
      </c>
      <c r="F228" s="733" t="s">
        <v>422</v>
      </c>
      <c r="G228" s="727" t="s">
        <v>963</v>
      </c>
      <c r="H228" s="740" t="s">
        <v>950</v>
      </c>
      <c r="I228" s="733">
        <v>3</v>
      </c>
    </row>
    <row r="229" spans="1:9" ht="20.399999999999999">
      <c r="A229" s="730">
        <v>225</v>
      </c>
      <c r="B229" s="733" t="s">
        <v>964</v>
      </c>
      <c r="C229" s="756" t="s">
        <v>382</v>
      </c>
      <c r="D229" s="733" t="s">
        <v>965</v>
      </c>
      <c r="E229" s="733" t="s">
        <v>470</v>
      </c>
      <c r="F229" s="733" t="s">
        <v>426</v>
      </c>
      <c r="G229" s="737" t="s">
        <v>966</v>
      </c>
      <c r="H229" s="737" t="s">
        <v>967</v>
      </c>
      <c r="I229" s="733">
        <v>3</v>
      </c>
    </row>
    <row r="230" spans="1:9" ht="20.399999999999999">
      <c r="A230" s="730">
        <v>226</v>
      </c>
      <c r="B230" s="733" t="s">
        <v>968</v>
      </c>
      <c r="C230" s="756" t="s">
        <v>382</v>
      </c>
      <c r="D230" s="733" t="s">
        <v>969</v>
      </c>
      <c r="E230" s="733" t="s">
        <v>470</v>
      </c>
      <c r="F230" s="733" t="s">
        <v>426</v>
      </c>
      <c r="G230" s="727" t="s">
        <v>970</v>
      </c>
      <c r="H230" s="737" t="s">
        <v>967</v>
      </c>
      <c r="I230" s="733">
        <v>3</v>
      </c>
    </row>
    <row r="231" spans="1:9" ht="20.399999999999999">
      <c r="A231" s="733">
        <v>227</v>
      </c>
      <c r="B231" s="733" t="s">
        <v>971</v>
      </c>
      <c r="C231" s="756" t="s">
        <v>382</v>
      </c>
      <c r="D231" s="733" t="s">
        <v>972</v>
      </c>
      <c r="E231" s="733" t="s">
        <v>470</v>
      </c>
      <c r="F231" s="733" t="s">
        <v>426</v>
      </c>
      <c r="G231" s="727" t="s">
        <v>973</v>
      </c>
      <c r="H231" s="737" t="s">
        <v>967</v>
      </c>
      <c r="I231" s="733">
        <v>3</v>
      </c>
    </row>
    <row r="232" spans="1:9" ht="20.399999999999999">
      <c r="A232" s="730">
        <v>228</v>
      </c>
      <c r="B232" s="733" t="s">
        <v>974</v>
      </c>
      <c r="C232" s="756" t="s">
        <v>382</v>
      </c>
      <c r="D232" s="733" t="s">
        <v>972</v>
      </c>
      <c r="E232" s="733" t="s">
        <v>470</v>
      </c>
      <c r="F232" s="733" t="s">
        <v>426</v>
      </c>
      <c r="G232" s="727" t="s">
        <v>975</v>
      </c>
      <c r="H232" s="737" t="s">
        <v>967</v>
      </c>
      <c r="I232" s="733">
        <v>3</v>
      </c>
    </row>
    <row r="233" spans="1:9" ht="20.399999999999999">
      <c r="A233" s="730">
        <v>229</v>
      </c>
      <c r="B233" s="733" t="s">
        <v>976</v>
      </c>
      <c r="C233" s="756" t="s">
        <v>382</v>
      </c>
      <c r="D233" s="733" t="s">
        <v>972</v>
      </c>
      <c r="E233" s="733" t="s">
        <v>470</v>
      </c>
      <c r="F233" s="733" t="s">
        <v>426</v>
      </c>
      <c r="G233" s="727" t="s">
        <v>977</v>
      </c>
      <c r="H233" s="737" t="s">
        <v>967</v>
      </c>
      <c r="I233" s="733">
        <v>3</v>
      </c>
    </row>
    <row r="234" spans="1:9" ht="20.399999999999999">
      <c r="A234" s="730">
        <v>230</v>
      </c>
      <c r="B234" s="733" t="s">
        <v>978</v>
      </c>
      <c r="C234" s="756" t="s">
        <v>382</v>
      </c>
      <c r="D234" s="733" t="s">
        <v>979</v>
      </c>
      <c r="E234" s="733" t="s">
        <v>470</v>
      </c>
      <c r="F234" s="733" t="s">
        <v>426</v>
      </c>
      <c r="G234" s="727" t="s">
        <v>980</v>
      </c>
      <c r="H234" s="737" t="s">
        <v>967</v>
      </c>
      <c r="I234" s="733">
        <v>3</v>
      </c>
    </row>
    <row r="235" spans="1:9" ht="20.399999999999999">
      <c r="A235" s="733">
        <v>231</v>
      </c>
      <c r="B235" s="733" t="s">
        <v>981</v>
      </c>
      <c r="C235" s="756" t="s">
        <v>382</v>
      </c>
      <c r="D235" s="733" t="s">
        <v>982</v>
      </c>
      <c r="E235" s="733" t="s">
        <v>470</v>
      </c>
      <c r="F235" s="733" t="s">
        <v>426</v>
      </c>
      <c r="G235" s="727" t="s">
        <v>983</v>
      </c>
      <c r="H235" s="748" t="s">
        <v>984</v>
      </c>
      <c r="I235" s="733">
        <v>3</v>
      </c>
    </row>
    <row r="236" spans="1:9" ht="20.399999999999999">
      <c r="A236" s="730">
        <v>232</v>
      </c>
      <c r="B236" s="733" t="s">
        <v>985</v>
      </c>
      <c r="C236" s="756" t="s">
        <v>382</v>
      </c>
      <c r="D236" s="733" t="s">
        <v>986</v>
      </c>
      <c r="E236" s="733" t="s">
        <v>470</v>
      </c>
      <c r="F236" s="733" t="s">
        <v>426</v>
      </c>
      <c r="G236" s="727" t="s">
        <v>987</v>
      </c>
      <c r="H236" s="735" t="s">
        <v>566</v>
      </c>
      <c r="I236" s="733">
        <v>3</v>
      </c>
    </row>
    <row r="237" spans="1:9" ht="20.399999999999999">
      <c r="A237" s="730">
        <v>233</v>
      </c>
      <c r="B237" s="733" t="s">
        <v>988</v>
      </c>
      <c r="C237" s="756" t="s">
        <v>382</v>
      </c>
      <c r="D237" s="733" t="s">
        <v>986</v>
      </c>
      <c r="E237" s="733" t="s">
        <v>470</v>
      </c>
      <c r="F237" s="733" t="s">
        <v>426</v>
      </c>
      <c r="G237" s="727" t="s">
        <v>989</v>
      </c>
      <c r="H237" s="735" t="s">
        <v>566</v>
      </c>
      <c r="I237" s="733">
        <v>3</v>
      </c>
    </row>
    <row r="238" spans="1:9" ht="20.399999999999999">
      <c r="A238" s="730">
        <v>234</v>
      </c>
      <c r="B238" s="733" t="s">
        <v>990</v>
      </c>
      <c r="C238" s="756" t="s">
        <v>382</v>
      </c>
      <c r="D238" s="733" t="s">
        <v>991</v>
      </c>
      <c r="E238" s="733" t="s">
        <v>470</v>
      </c>
      <c r="F238" s="733" t="s">
        <v>426</v>
      </c>
      <c r="G238" s="727" t="s">
        <v>992</v>
      </c>
      <c r="H238" s="735" t="s">
        <v>566</v>
      </c>
      <c r="I238" s="733">
        <v>3</v>
      </c>
    </row>
    <row r="239" spans="1:9" ht="20.399999999999999">
      <c r="A239" s="733">
        <v>235</v>
      </c>
      <c r="B239" s="733" t="s">
        <v>993</v>
      </c>
      <c r="C239" s="756" t="s">
        <v>382</v>
      </c>
      <c r="D239" s="733" t="s">
        <v>994</v>
      </c>
      <c r="E239" s="733" t="s">
        <v>470</v>
      </c>
      <c r="F239" s="733" t="s">
        <v>426</v>
      </c>
      <c r="G239" s="727" t="s">
        <v>995</v>
      </c>
      <c r="H239" s="735" t="s">
        <v>566</v>
      </c>
      <c r="I239" s="733">
        <v>3</v>
      </c>
    </row>
    <row r="240" spans="1:9" ht="20.399999999999999">
      <c r="A240" s="730">
        <v>236</v>
      </c>
      <c r="B240" s="733" t="s">
        <v>996</v>
      </c>
      <c r="C240" s="756" t="s">
        <v>382</v>
      </c>
      <c r="D240" s="733" t="s">
        <v>994</v>
      </c>
      <c r="E240" s="733" t="s">
        <v>470</v>
      </c>
      <c r="F240" s="733" t="s">
        <v>426</v>
      </c>
      <c r="G240" s="727" t="s">
        <v>997</v>
      </c>
      <c r="H240" s="735" t="s">
        <v>566</v>
      </c>
      <c r="I240" s="733">
        <v>3</v>
      </c>
    </row>
    <row r="241" spans="1:9" ht="20.399999999999999">
      <c r="A241" s="730">
        <v>237</v>
      </c>
      <c r="B241" s="733" t="s">
        <v>998</v>
      </c>
      <c r="C241" s="756" t="s">
        <v>382</v>
      </c>
      <c r="D241" s="733" t="s">
        <v>979</v>
      </c>
      <c r="E241" s="733" t="s">
        <v>470</v>
      </c>
      <c r="F241" s="733" t="s">
        <v>426</v>
      </c>
      <c r="G241" s="727" t="s">
        <v>999</v>
      </c>
      <c r="H241" s="735" t="s">
        <v>566</v>
      </c>
      <c r="I241" s="733">
        <v>3</v>
      </c>
    </row>
    <row r="242" spans="1:9" ht="20.399999999999999">
      <c r="A242" s="730">
        <v>238</v>
      </c>
      <c r="B242" s="733" t="s">
        <v>1000</v>
      </c>
      <c r="C242" s="756" t="s">
        <v>382</v>
      </c>
      <c r="D242" s="733" t="s">
        <v>1001</v>
      </c>
      <c r="E242" s="733" t="s">
        <v>555</v>
      </c>
      <c r="F242" s="733" t="s">
        <v>430</v>
      </c>
      <c r="G242" s="737" t="s">
        <v>1002</v>
      </c>
      <c r="H242" s="737" t="s">
        <v>214</v>
      </c>
      <c r="I242" s="733">
        <v>3</v>
      </c>
    </row>
    <row r="243" spans="1:9" ht="20.399999999999999">
      <c r="A243" s="733">
        <v>239</v>
      </c>
      <c r="B243" s="733" t="s">
        <v>1003</v>
      </c>
      <c r="C243" s="756" t="s">
        <v>382</v>
      </c>
      <c r="D243" s="733" t="s">
        <v>1004</v>
      </c>
      <c r="E243" s="733" t="s">
        <v>555</v>
      </c>
      <c r="F243" s="733" t="s">
        <v>430</v>
      </c>
      <c r="G243" s="727"/>
      <c r="H243" s="737" t="s">
        <v>214</v>
      </c>
      <c r="I243" s="733">
        <v>3</v>
      </c>
    </row>
    <row r="244" spans="1:9" ht="20.399999999999999">
      <c r="A244" s="730">
        <v>240</v>
      </c>
      <c r="B244" s="733" t="s">
        <v>1005</v>
      </c>
      <c r="C244" s="756" t="s">
        <v>382</v>
      </c>
      <c r="D244" s="733" t="s">
        <v>1006</v>
      </c>
      <c r="E244" s="733" t="s">
        <v>555</v>
      </c>
      <c r="F244" s="733" t="s">
        <v>430</v>
      </c>
      <c r="G244" s="727" t="s">
        <v>1007</v>
      </c>
      <c r="H244" s="737" t="s">
        <v>214</v>
      </c>
      <c r="I244" s="733">
        <v>3</v>
      </c>
    </row>
    <row r="245" spans="1:9" ht="20.399999999999999">
      <c r="A245" s="730">
        <v>241</v>
      </c>
      <c r="B245" s="733" t="s">
        <v>993</v>
      </c>
      <c r="C245" s="756" t="s">
        <v>382</v>
      </c>
      <c r="D245" s="733" t="s">
        <v>1006</v>
      </c>
      <c r="E245" s="733" t="s">
        <v>555</v>
      </c>
      <c r="F245" s="733" t="s">
        <v>430</v>
      </c>
      <c r="G245" s="727" t="s">
        <v>1008</v>
      </c>
      <c r="H245" s="737" t="s">
        <v>214</v>
      </c>
      <c r="I245" s="733">
        <v>3</v>
      </c>
    </row>
    <row r="246" spans="1:9" ht="20.399999999999999">
      <c r="A246" s="730">
        <v>242</v>
      </c>
      <c r="B246" s="733" t="s">
        <v>1009</v>
      </c>
      <c r="C246" s="756" t="s">
        <v>382</v>
      </c>
      <c r="D246" s="733" t="s">
        <v>1010</v>
      </c>
      <c r="E246" s="733" t="s">
        <v>555</v>
      </c>
      <c r="F246" s="733" t="s">
        <v>430</v>
      </c>
      <c r="G246" s="727" t="s">
        <v>1011</v>
      </c>
      <c r="H246" s="737" t="s">
        <v>214</v>
      </c>
      <c r="I246" s="733">
        <v>3</v>
      </c>
    </row>
    <row r="247" spans="1:9" ht="20.399999999999999">
      <c r="A247" s="733">
        <v>243</v>
      </c>
      <c r="B247" s="733" t="s">
        <v>1012</v>
      </c>
      <c r="C247" s="756" t="s">
        <v>382</v>
      </c>
      <c r="D247" s="733" t="s">
        <v>1013</v>
      </c>
      <c r="E247" s="733" t="s">
        <v>555</v>
      </c>
      <c r="F247" s="733" t="s">
        <v>430</v>
      </c>
      <c r="G247" s="727" t="s">
        <v>1014</v>
      </c>
      <c r="H247" s="737" t="s">
        <v>214</v>
      </c>
      <c r="I247" s="733">
        <v>3</v>
      </c>
    </row>
    <row r="248" spans="1:9" ht="20.399999999999999">
      <c r="A248" s="730">
        <v>244</v>
      </c>
      <c r="B248" s="733" t="s">
        <v>1015</v>
      </c>
      <c r="C248" s="756" t="s">
        <v>382</v>
      </c>
      <c r="D248" s="733" t="s">
        <v>1013</v>
      </c>
      <c r="E248" s="733" t="s">
        <v>555</v>
      </c>
      <c r="F248" s="733" t="s">
        <v>430</v>
      </c>
      <c r="G248" s="727" t="s">
        <v>1016</v>
      </c>
      <c r="H248" s="737" t="s">
        <v>214</v>
      </c>
      <c r="I248" s="733">
        <v>3</v>
      </c>
    </row>
    <row r="249" spans="1:9" ht="20.399999999999999">
      <c r="A249" s="730">
        <v>245</v>
      </c>
      <c r="B249" s="733" t="s">
        <v>1017</v>
      </c>
      <c r="C249" s="756" t="s">
        <v>382</v>
      </c>
      <c r="D249" s="733" t="s">
        <v>1018</v>
      </c>
      <c r="E249" s="733" t="s">
        <v>555</v>
      </c>
      <c r="F249" s="733" t="s">
        <v>430</v>
      </c>
      <c r="G249" s="727" t="s">
        <v>1019</v>
      </c>
      <c r="H249" s="737" t="s">
        <v>214</v>
      </c>
      <c r="I249" s="733">
        <v>3</v>
      </c>
    </row>
    <row r="250" spans="1:9" ht="20.399999999999999">
      <c r="A250" s="730">
        <v>246</v>
      </c>
      <c r="B250" s="733" t="s">
        <v>1020</v>
      </c>
      <c r="C250" s="756" t="s">
        <v>382</v>
      </c>
      <c r="D250" s="733" t="s">
        <v>1018</v>
      </c>
      <c r="E250" s="733" t="s">
        <v>555</v>
      </c>
      <c r="F250" s="733" t="s">
        <v>430</v>
      </c>
      <c r="G250" s="727" t="s">
        <v>1021</v>
      </c>
      <c r="H250" s="737" t="s">
        <v>214</v>
      </c>
      <c r="I250" s="733">
        <v>3</v>
      </c>
    </row>
    <row r="251" spans="1:9" ht="20.399999999999999">
      <c r="A251" s="733">
        <v>247</v>
      </c>
      <c r="B251" s="733" t="s">
        <v>1022</v>
      </c>
      <c r="C251" s="756" t="s">
        <v>382</v>
      </c>
      <c r="D251" s="733" t="s">
        <v>1001</v>
      </c>
      <c r="E251" s="733" t="s">
        <v>555</v>
      </c>
      <c r="F251" s="733" t="s">
        <v>430</v>
      </c>
      <c r="G251" s="727"/>
      <c r="H251" s="737" t="s">
        <v>214</v>
      </c>
      <c r="I251" s="733">
        <v>3</v>
      </c>
    </row>
    <row r="252" spans="1:9" ht="20.399999999999999">
      <c r="A252" s="730">
        <v>248</v>
      </c>
      <c r="B252" s="733" t="s">
        <v>1023</v>
      </c>
      <c r="C252" s="756" t="s">
        <v>382</v>
      </c>
      <c r="D252" s="733" t="s">
        <v>1024</v>
      </c>
      <c r="E252" s="733" t="s">
        <v>555</v>
      </c>
      <c r="F252" s="733" t="s">
        <v>430</v>
      </c>
      <c r="G252" s="727"/>
      <c r="H252" s="737" t="s">
        <v>214</v>
      </c>
      <c r="I252" s="733">
        <v>3</v>
      </c>
    </row>
    <row r="253" spans="1:9" ht="20.399999999999999">
      <c r="A253" s="730">
        <v>249</v>
      </c>
      <c r="B253" s="733" t="s">
        <v>1025</v>
      </c>
      <c r="C253" s="756" t="s">
        <v>382</v>
      </c>
      <c r="D253" s="733" t="s">
        <v>1024</v>
      </c>
      <c r="E253" s="733" t="s">
        <v>555</v>
      </c>
      <c r="F253" s="733" t="s">
        <v>430</v>
      </c>
      <c r="G253" s="727"/>
      <c r="H253" s="737" t="s">
        <v>214</v>
      </c>
      <c r="I253" s="733">
        <v>3</v>
      </c>
    </row>
    <row r="254" spans="1:9" ht="20.399999999999999">
      <c r="A254" s="730">
        <v>250</v>
      </c>
      <c r="B254" s="733" t="s">
        <v>1026</v>
      </c>
      <c r="C254" s="756" t="s">
        <v>382</v>
      </c>
      <c r="D254" s="733" t="s">
        <v>1006</v>
      </c>
      <c r="E254" s="733" t="s">
        <v>555</v>
      </c>
      <c r="F254" s="733" t="s">
        <v>430</v>
      </c>
      <c r="G254" s="727" t="s">
        <v>1027</v>
      </c>
      <c r="H254" s="737" t="s">
        <v>214</v>
      </c>
      <c r="I254" s="733">
        <v>3</v>
      </c>
    </row>
    <row r="255" spans="1:9" ht="20.399999999999999">
      <c r="A255" s="733">
        <v>251</v>
      </c>
      <c r="B255" s="733" t="s">
        <v>1028</v>
      </c>
      <c r="C255" s="756" t="s">
        <v>380</v>
      </c>
      <c r="D255" s="733" t="s">
        <v>1029</v>
      </c>
      <c r="E255" s="733" t="s">
        <v>555</v>
      </c>
      <c r="F255" s="733" t="s">
        <v>430</v>
      </c>
      <c r="G255" s="727"/>
      <c r="H255" s="737" t="s">
        <v>214</v>
      </c>
      <c r="I255" s="733">
        <v>3</v>
      </c>
    </row>
    <row r="256" spans="1:9" ht="20.399999999999999">
      <c r="A256" s="730">
        <v>252</v>
      </c>
      <c r="B256" s="756" t="s">
        <v>1030</v>
      </c>
      <c r="C256" s="733" t="s">
        <v>382</v>
      </c>
      <c r="D256" s="756" t="s">
        <v>1031</v>
      </c>
      <c r="E256" s="733" t="s">
        <v>470</v>
      </c>
      <c r="F256" s="733" t="s">
        <v>434</v>
      </c>
      <c r="G256" s="737" t="s">
        <v>1032</v>
      </c>
      <c r="H256" s="737" t="s">
        <v>719</v>
      </c>
      <c r="I256" s="733">
        <v>3</v>
      </c>
    </row>
    <row r="257" spans="1:9" ht="20.399999999999999">
      <c r="A257" s="730">
        <v>253</v>
      </c>
      <c r="B257" s="756" t="s">
        <v>1033</v>
      </c>
      <c r="C257" s="733" t="s">
        <v>382</v>
      </c>
      <c r="D257" s="756" t="s">
        <v>1031</v>
      </c>
      <c r="E257" s="733" t="s">
        <v>470</v>
      </c>
      <c r="F257" s="733" t="s">
        <v>434</v>
      </c>
      <c r="G257" s="727" t="s">
        <v>1034</v>
      </c>
      <c r="H257" s="737" t="s">
        <v>719</v>
      </c>
      <c r="I257" s="733">
        <v>3</v>
      </c>
    </row>
    <row r="258" spans="1:9" ht="20.399999999999999">
      <c r="A258" s="730">
        <v>254</v>
      </c>
      <c r="B258" s="756" t="s">
        <v>1035</v>
      </c>
      <c r="C258" s="733" t="s">
        <v>382</v>
      </c>
      <c r="D258" s="756" t="s">
        <v>1036</v>
      </c>
      <c r="E258" s="733" t="s">
        <v>470</v>
      </c>
      <c r="F258" s="733" t="s">
        <v>434</v>
      </c>
      <c r="G258" s="727" t="s">
        <v>1037</v>
      </c>
      <c r="H258" s="737" t="s">
        <v>719</v>
      </c>
      <c r="I258" s="733">
        <v>3</v>
      </c>
    </row>
    <row r="259" spans="1:9" ht="20.399999999999999">
      <c r="A259" s="733">
        <v>255</v>
      </c>
      <c r="B259" s="756" t="s">
        <v>1038</v>
      </c>
      <c r="C259" s="733" t="s">
        <v>382</v>
      </c>
      <c r="D259" s="756" t="s">
        <v>1036</v>
      </c>
      <c r="E259" s="733" t="s">
        <v>470</v>
      </c>
      <c r="F259" s="733" t="s">
        <v>434</v>
      </c>
      <c r="G259" s="727" t="s">
        <v>1039</v>
      </c>
      <c r="H259" s="737" t="s">
        <v>719</v>
      </c>
      <c r="I259" s="733">
        <v>3</v>
      </c>
    </row>
    <row r="260" spans="1:9" ht="20.399999999999999">
      <c r="A260" s="730">
        <v>256</v>
      </c>
      <c r="B260" s="756" t="s">
        <v>1040</v>
      </c>
      <c r="C260" s="733" t="s">
        <v>382</v>
      </c>
      <c r="D260" s="756" t="s">
        <v>1036</v>
      </c>
      <c r="E260" s="733" t="s">
        <v>470</v>
      </c>
      <c r="F260" s="733" t="s">
        <v>434</v>
      </c>
      <c r="G260" s="727" t="s">
        <v>1041</v>
      </c>
      <c r="H260" s="737" t="s">
        <v>719</v>
      </c>
      <c r="I260" s="733">
        <v>3</v>
      </c>
    </row>
    <row r="261" spans="1:9" ht="20.399999999999999">
      <c r="A261" s="730">
        <v>257</v>
      </c>
      <c r="B261" s="756" t="s">
        <v>724</v>
      </c>
      <c r="C261" s="733" t="s">
        <v>382</v>
      </c>
      <c r="D261" s="756" t="s">
        <v>1042</v>
      </c>
      <c r="E261" s="733" t="s">
        <v>470</v>
      </c>
      <c r="F261" s="733" t="s">
        <v>434</v>
      </c>
      <c r="G261" s="727" t="s">
        <v>1043</v>
      </c>
      <c r="H261" s="737" t="s">
        <v>719</v>
      </c>
      <c r="I261" s="733">
        <v>3</v>
      </c>
    </row>
    <row r="262" spans="1:9" ht="20.399999999999999">
      <c r="A262" s="730">
        <v>258</v>
      </c>
      <c r="B262" s="756" t="s">
        <v>1044</v>
      </c>
      <c r="C262" s="733" t="s">
        <v>382</v>
      </c>
      <c r="D262" s="756" t="s">
        <v>1045</v>
      </c>
      <c r="E262" s="733" t="s">
        <v>470</v>
      </c>
      <c r="F262" s="733" t="s">
        <v>434</v>
      </c>
      <c r="G262" s="727" t="s">
        <v>1046</v>
      </c>
      <c r="H262" s="737" t="s">
        <v>719</v>
      </c>
      <c r="I262" s="733">
        <v>3</v>
      </c>
    </row>
    <row r="263" spans="1:9" ht="20.399999999999999">
      <c r="A263" s="733">
        <v>259</v>
      </c>
      <c r="B263" s="756" t="s">
        <v>1047</v>
      </c>
      <c r="C263" s="733" t="s">
        <v>382</v>
      </c>
      <c r="D263" s="756" t="s">
        <v>1048</v>
      </c>
      <c r="E263" s="733" t="s">
        <v>470</v>
      </c>
      <c r="F263" s="733" t="s">
        <v>434</v>
      </c>
      <c r="G263" s="727" t="s">
        <v>1049</v>
      </c>
      <c r="H263" s="737" t="s">
        <v>719</v>
      </c>
      <c r="I263" s="733">
        <v>3</v>
      </c>
    </row>
    <row r="264" spans="1:9" ht="20.399999999999999">
      <c r="A264" s="730">
        <v>260</v>
      </c>
      <c r="B264" s="756" t="s">
        <v>1050</v>
      </c>
      <c r="C264" s="733" t="s">
        <v>382</v>
      </c>
      <c r="D264" s="756" t="s">
        <v>1048</v>
      </c>
      <c r="E264" s="733" t="s">
        <v>470</v>
      </c>
      <c r="F264" s="733" t="s">
        <v>434</v>
      </c>
      <c r="G264" s="727" t="s">
        <v>1051</v>
      </c>
      <c r="H264" s="737" t="s">
        <v>719</v>
      </c>
      <c r="I264" s="733">
        <v>3</v>
      </c>
    </row>
    <row r="265" spans="1:9" ht="20.399999999999999">
      <c r="A265" s="730">
        <v>261</v>
      </c>
      <c r="B265" s="756" t="s">
        <v>1052</v>
      </c>
      <c r="C265" s="733" t="s">
        <v>382</v>
      </c>
      <c r="D265" s="756" t="s">
        <v>1048</v>
      </c>
      <c r="E265" s="733" t="s">
        <v>470</v>
      </c>
      <c r="F265" s="733" t="s">
        <v>434</v>
      </c>
      <c r="G265" s="727" t="s">
        <v>1053</v>
      </c>
      <c r="H265" s="737" t="s">
        <v>719</v>
      </c>
      <c r="I265" s="733">
        <v>3</v>
      </c>
    </row>
    <row r="266" spans="1:9" ht="20.399999999999999">
      <c r="A266" s="730">
        <v>262</v>
      </c>
      <c r="B266" s="756" t="s">
        <v>1054</v>
      </c>
      <c r="C266" s="733" t="s">
        <v>382</v>
      </c>
      <c r="D266" s="756" t="s">
        <v>1055</v>
      </c>
      <c r="E266" s="733" t="s">
        <v>470</v>
      </c>
      <c r="F266" s="733" t="s">
        <v>434</v>
      </c>
      <c r="G266" s="727" t="s">
        <v>1056</v>
      </c>
      <c r="H266" s="737" t="s">
        <v>719</v>
      </c>
      <c r="I266" s="733">
        <v>3</v>
      </c>
    </row>
    <row r="267" spans="1:9" ht="20.399999999999999">
      <c r="A267" s="733">
        <v>263</v>
      </c>
      <c r="B267" s="765" t="s">
        <v>1057</v>
      </c>
      <c r="C267" s="730" t="s">
        <v>382</v>
      </c>
      <c r="D267" s="730" t="s">
        <v>1058</v>
      </c>
      <c r="E267" s="733" t="s">
        <v>587</v>
      </c>
      <c r="F267" s="733" t="s">
        <v>1059</v>
      </c>
      <c r="G267" s="740" t="s">
        <v>1060</v>
      </c>
      <c r="H267" s="740" t="s">
        <v>1061</v>
      </c>
      <c r="I267" s="730">
        <v>2</v>
      </c>
    </row>
    <row r="268" spans="1:9" ht="20.399999999999999">
      <c r="A268" s="730">
        <v>264</v>
      </c>
      <c r="B268" s="765" t="s">
        <v>1062</v>
      </c>
      <c r="C268" s="730" t="s">
        <v>382</v>
      </c>
      <c r="D268" s="730" t="s">
        <v>1063</v>
      </c>
      <c r="E268" s="733" t="s">
        <v>587</v>
      </c>
      <c r="F268" s="733" t="s">
        <v>1059</v>
      </c>
      <c r="G268" s="740"/>
      <c r="H268" s="740" t="s">
        <v>1061</v>
      </c>
      <c r="I268" s="730">
        <v>2</v>
      </c>
    </row>
    <row r="269" spans="1:9" ht="20.399999999999999">
      <c r="A269" s="730">
        <v>265</v>
      </c>
      <c r="B269" s="765" t="s">
        <v>1064</v>
      </c>
      <c r="C269" s="730" t="s">
        <v>382</v>
      </c>
      <c r="D269" s="730" t="s">
        <v>1063</v>
      </c>
      <c r="E269" s="733" t="s">
        <v>587</v>
      </c>
      <c r="F269" s="733" t="s">
        <v>1059</v>
      </c>
      <c r="G269" s="740"/>
      <c r="H269" s="740" t="s">
        <v>1061</v>
      </c>
      <c r="I269" s="730">
        <v>2</v>
      </c>
    </row>
    <row r="270" spans="1:9" ht="20.399999999999999">
      <c r="A270" s="730">
        <v>266</v>
      </c>
      <c r="B270" s="765" t="s">
        <v>1065</v>
      </c>
      <c r="C270" s="730" t="s">
        <v>382</v>
      </c>
      <c r="D270" s="730" t="s">
        <v>1066</v>
      </c>
      <c r="E270" s="733" t="s">
        <v>587</v>
      </c>
      <c r="F270" s="733" t="s">
        <v>1059</v>
      </c>
      <c r="G270" s="740"/>
      <c r="H270" s="740" t="s">
        <v>1061</v>
      </c>
      <c r="I270" s="730">
        <v>2</v>
      </c>
    </row>
    <row r="271" spans="1:9" ht="20.399999999999999">
      <c r="A271" s="733">
        <v>267</v>
      </c>
      <c r="B271" s="765" t="s">
        <v>1067</v>
      </c>
      <c r="C271" s="730" t="s">
        <v>382</v>
      </c>
      <c r="D271" s="730" t="s">
        <v>1066</v>
      </c>
      <c r="E271" s="733" t="s">
        <v>587</v>
      </c>
      <c r="F271" s="733" t="s">
        <v>1059</v>
      </c>
      <c r="G271" s="740"/>
      <c r="H271" s="740" t="s">
        <v>1061</v>
      </c>
      <c r="I271" s="730">
        <v>2</v>
      </c>
    </row>
    <row r="272" spans="1:9" ht="20.399999999999999">
      <c r="A272" s="730">
        <v>268</v>
      </c>
      <c r="B272" s="765" t="s">
        <v>1068</v>
      </c>
      <c r="C272" s="730" t="s">
        <v>382</v>
      </c>
      <c r="D272" s="730" t="s">
        <v>1069</v>
      </c>
      <c r="E272" s="733" t="s">
        <v>587</v>
      </c>
      <c r="F272" s="733" t="s">
        <v>1059</v>
      </c>
      <c r="G272" s="740"/>
      <c r="H272" s="740" t="s">
        <v>1061</v>
      </c>
      <c r="I272" s="730">
        <v>2</v>
      </c>
    </row>
    <row r="273" spans="1:9" ht="20.399999999999999">
      <c r="A273" s="730">
        <v>269</v>
      </c>
      <c r="B273" s="765" t="s">
        <v>1070</v>
      </c>
      <c r="C273" s="730" t="s">
        <v>382</v>
      </c>
      <c r="D273" s="730" t="s">
        <v>1058</v>
      </c>
      <c r="E273" s="733" t="s">
        <v>587</v>
      </c>
      <c r="F273" s="733" t="s">
        <v>1059</v>
      </c>
      <c r="G273" s="737"/>
      <c r="H273" s="740" t="s">
        <v>1061</v>
      </c>
      <c r="I273" s="730">
        <v>2</v>
      </c>
    </row>
    <row r="274" spans="1:9" ht="20.399999999999999">
      <c r="A274" s="730">
        <v>270</v>
      </c>
      <c r="B274" s="765" t="s">
        <v>1071</v>
      </c>
      <c r="C274" s="730" t="s">
        <v>382</v>
      </c>
      <c r="D274" s="730" t="s">
        <v>1058</v>
      </c>
      <c r="E274" s="733" t="s">
        <v>587</v>
      </c>
      <c r="F274" s="733" t="s">
        <v>1059</v>
      </c>
      <c r="G274" s="737"/>
      <c r="H274" s="740" t="s">
        <v>1061</v>
      </c>
      <c r="I274" s="730">
        <v>2</v>
      </c>
    </row>
    <row r="275" spans="1:9" ht="20.399999999999999">
      <c r="A275" s="733">
        <v>271</v>
      </c>
      <c r="B275" s="765" t="s">
        <v>1072</v>
      </c>
      <c r="C275" s="730" t="s">
        <v>382</v>
      </c>
      <c r="D275" s="730" t="s">
        <v>1058</v>
      </c>
      <c r="E275" s="733" t="s">
        <v>587</v>
      </c>
      <c r="F275" s="733" t="s">
        <v>1059</v>
      </c>
      <c r="G275" s="737"/>
      <c r="H275" s="740" t="s">
        <v>1061</v>
      </c>
      <c r="I275" s="730">
        <v>2</v>
      </c>
    </row>
    <row r="276" spans="1:9" ht="20.399999999999999">
      <c r="A276" s="730">
        <v>272</v>
      </c>
      <c r="B276" s="765" t="s">
        <v>1073</v>
      </c>
      <c r="C276" s="730" t="s">
        <v>382</v>
      </c>
      <c r="D276" s="730" t="s">
        <v>1066</v>
      </c>
      <c r="E276" s="733" t="s">
        <v>587</v>
      </c>
      <c r="F276" s="733" t="s">
        <v>1059</v>
      </c>
      <c r="G276" s="737"/>
      <c r="H276" s="740" t="s">
        <v>1061</v>
      </c>
      <c r="I276" s="730">
        <v>2</v>
      </c>
    </row>
    <row r="277" spans="1:9" ht="20.399999999999999">
      <c r="A277" s="730">
        <v>273</v>
      </c>
      <c r="B277" s="740" t="s">
        <v>1074</v>
      </c>
      <c r="C277" s="730" t="s">
        <v>382</v>
      </c>
      <c r="D277" s="748" t="s">
        <v>1075</v>
      </c>
      <c r="E277" s="733" t="s">
        <v>587</v>
      </c>
      <c r="F277" s="733" t="s">
        <v>1076</v>
      </c>
      <c r="G277" s="737" t="s">
        <v>1077</v>
      </c>
      <c r="H277" s="735" t="s">
        <v>589</v>
      </c>
      <c r="I277" s="730">
        <v>2</v>
      </c>
    </row>
    <row r="278" spans="1:9" ht="20.399999999999999">
      <c r="A278" s="730">
        <v>274</v>
      </c>
      <c r="B278" s="740" t="s">
        <v>1078</v>
      </c>
      <c r="C278" s="730" t="s">
        <v>382</v>
      </c>
      <c r="D278" s="748" t="s">
        <v>1079</v>
      </c>
      <c r="E278" s="733" t="s">
        <v>587</v>
      </c>
      <c r="F278" s="733" t="s">
        <v>1076</v>
      </c>
      <c r="G278" s="737" t="s">
        <v>1080</v>
      </c>
      <c r="H278" s="735" t="s">
        <v>589</v>
      </c>
      <c r="I278" s="730">
        <v>2</v>
      </c>
    </row>
    <row r="279" spans="1:9" ht="20.399999999999999">
      <c r="A279" s="733">
        <v>275</v>
      </c>
      <c r="B279" s="740" t="s">
        <v>1081</v>
      </c>
      <c r="C279" s="730" t="s">
        <v>382</v>
      </c>
      <c r="D279" s="748" t="s">
        <v>1082</v>
      </c>
      <c r="E279" s="733" t="s">
        <v>587</v>
      </c>
      <c r="F279" s="733" t="s">
        <v>1076</v>
      </c>
      <c r="G279" s="737" t="s">
        <v>1083</v>
      </c>
      <c r="H279" s="735" t="s">
        <v>589</v>
      </c>
      <c r="I279" s="730">
        <v>2</v>
      </c>
    </row>
    <row r="280" spans="1:9" ht="20.399999999999999">
      <c r="A280" s="730">
        <v>276</v>
      </c>
      <c r="B280" s="740" t="s">
        <v>1084</v>
      </c>
      <c r="C280" s="730" t="s">
        <v>382</v>
      </c>
      <c r="D280" s="748" t="s">
        <v>1082</v>
      </c>
      <c r="E280" s="733" t="s">
        <v>587</v>
      </c>
      <c r="F280" s="733" t="s">
        <v>1076</v>
      </c>
      <c r="G280" s="737" t="s">
        <v>1085</v>
      </c>
      <c r="H280" s="735" t="s">
        <v>589</v>
      </c>
      <c r="I280" s="730">
        <v>2</v>
      </c>
    </row>
    <row r="281" spans="1:9" ht="20.399999999999999">
      <c r="A281" s="730">
        <v>277</v>
      </c>
      <c r="B281" s="740" t="s">
        <v>572</v>
      </c>
      <c r="C281" s="730" t="s">
        <v>382</v>
      </c>
      <c r="D281" s="748" t="s">
        <v>1082</v>
      </c>
      <c r="E281" s="733" t="s">
        <v>587</v>
      </c>
      <c r="F281" s="733" t="s">
        <v>1076</v>
      </c>
      <c r="G281" s="737" t="s">
        <v>1086</v>
      </c>
      <c r="H281" s="735" t="s">
        <v>589</v>
      </c>
      <c r="I281" s="730">
        <v>2</v>
      </c>
    </row>
    <row r="282" spans="1:9" ht="20.399999999999999">
      <c r="A282" s="730">
        <v>278</v>
      </c>
      <c r="B282" s="740" t="s">
        <v>1087</v>
      </c>
      <c r="C282" s="730" t="s">
        <v>382</v>
      </c>
      <c r="D282" s="748" t="s">
        <v>1082</v>
      </c>
      <c r="E282" s="733" t="s">
        <v>587</v>
      </c>
      <c r="F282" s="733" t="s">
        <v>1076</v>
      </c>
      <c r="G282" s="737"/>
      <c r="H282" s="735" t="s">
        <v>589</v>
      </c>
      <c r="I282" s="730">
        <v>2</v>
      </c>
    </row>
    <row r="283" spans="1:9" ht="20.399999999999999">
      <c r="A283" s="733">
        <v>279</v>
      </c>
      <c r="B283" s="766" t="s">
        <v>1088</v>
      </c>
      <c r="C283" s="730" t="s">
        <v>382</v>
      </c>
      <c r="D283" s="748" t="s">
        <v>1089</v>
      </c>
      <c r="E283" s="733" t="s">
        <v>587</v>
      </c>
      <c r="F283" s="733" t="s">
        <v>1076</v>
      </c>
      <c r="G283" s="737"/>
      <c r="H283" s="735" t="s">
        <v>1090</v>
      </c>
      <c r="I283" s="730">
        <v>2</v>
      </c>
    </row>
    <row r="284" spans="1:9" ht="20.399999999999999">
      <c r="A284" s="730">
        <v>280</v>
      </c>
      <c r="B284" s="740" t="s">
        <v>1091</v>
      </c>
      <c r="C284" s="730" t="s">
        <v>382</v>
      </c>
      <c r="D284" s="748" t="s">
        <v>1092</v>
      </c>
      <c r="E284" s="733" t="s">
        <v>587</v>
      </c>
      <c r="F284" s="733" t="s">
        <v>1076</v>
      </c>
      <c r="G284" s="737" t="s">
        <v>1093</v>
      </c>
      <c r="H284" s="735" t="s">
        <v>1090</v>
      </c>
      <c r="I284" s="730">
        <v>2</v>
      </c>
    </row>
    <row r="285" spans="1:9" ht="20.399999999999999">
      <c r="A285" s="730">
        <v>281</v>
      </c>
      <c r="B285" s="740" t="s">
        <v>1094</v>
      </c>
      <c r="C285" s="730" t="s">
        <v>382</v>
      </c>
      <c r="D285" s="748" t="s">
        <v>1095</v>
      </c>
      <c r="E285" s="733" t="s">
        <v>587</v>
      </c>
      <c r="F285" s="733" t="s">
        <v>1076</v>
      </c>
      <c r="G285" s="737"/>
      <c r="H285" s="735" t="s">
        <v>1090</v>
      </c>
      <c r="I285" s="730">
        <v>2</v>
      </c>
    </row>
    <row r="286" spans="1:9" ht="20.399999999999999">
      <c r="A286" s="730">
        <v>282</v>
      </c>
      <c r="B286" s="740" t="s">
        <v>1096</v>
      </c>
      <c r="C286" s="730" t="s">
        <v>382</v>
      </c>
      <c r="D286" s="748" t="s">
        <v>1095</v>
      </c>
      <c r="E286" s="733" t="s">
        <v>587</v>
      </c>
      <c r="F286" s="733" t="s">
        <v>1076</v>
      </c>
      <c r="G286" s="737"/>
      <c r="H286" s="735" t="s">
        <v>1090</v>
      </c>
      <c r="I286" s="730">
        <v>2</v>
      </c>
    </row>
    <row r="287" spans="1:9" ht="20.399999999999999">
      <c r="A287" s="733">
        <v>283</v>
      </c>
      <c r="B287" s="743" t="s">
        <v>1097</v>
      </c>
      <c r="C287" s="730" t="s">
        <v>382</v>
      </c>
      <c r="D287" s="730" t="s">
        <v>1098</v>
      </c>
      <c r="E287" s="733" t="s">
        <v>587</v>
      </c>
      <c r="F287" s="733" t="s">
        <v>1099</v>
      </c>
      <c r="G287" s="730"/>
      <c r="H287" s="735" t="s">
        <v>589</v>
      </c>
      <c r="I287" s="730">
        <v>2</v>
      </c>
    </row>
    <row r="288" spans="1:9" ht="20.399999999999999">
      <c r="A288" s="730">
        <v>284</v>
      </c>
      <c r="B288" s="743" t="s">
        <v>1047</v>
      </c>
      <c r="C288" s="730" t="s">
        <v>382</v>
      </c>
      <c r="D288" s="730" t="s">
        <v>1100</v>
      </c>
      <c r="E288" s="733" t="s">
        <v>587</v>
      </c>
      <c r="F288" s="733" t="s">
        <v>1099</v>
      </c>
      <c r="G288" s="730"/>
      <c r="H288" s="735" t="s">
        <v>589</v>
      </c>
      <c r="I288" s="730">
        <v>2</v>
      </c>
    </row>
    <row r="289" spans="1:9" ht="20.399999999999999">
      <c r="A289" s="730">
        <v>285</v>
      </c>
      <c r="B289" s="743" t="s">
        <v>1101</v>
      </c>
      <c r="C289" s="730" t="s">
        <v>382</v>
      </c>
      <c r="D289" s="730" t="s">
        <v>1100</v>
      </c>
      <c r="E289" s="733" t="s">
        <v>587</v>
      </c>
      <c r="F289" s="733" t="s">
        <v>1099</v>
      </c>
      <c r="G289" s="730"/>
      <c r="H289" s="735" t="s">
        <v>589</v>
      </c>
      <c r="I289" s="730">
        <v>2</v>
      </c>
    </row>
    <row r="290" spans="1:9" ht="20.399999999999999">
      <c r="A290" s="730">
        <v>286</v>
      </c>
      <c r="B290" s="743" t="s">
        <v>1102</v>
      </c>
      <c r="C290" s="730" t="s">
        <v>382</v>
      </c>
      <c r="D290" s="730" t="s">
        <v>1100</v>
      </c>
      <c r="E290" s="733" t="s">
        <v>587</v>
      </c>
      <c r="F290" s="733" t="s">
        <v>1099</v>
      </c>
      <c r="G290" s="730"/>
      <c r="H290" s="735" t="s">
        <v>589</v>
      </c>
      <c r="I290" s="730">
        <v>2</v>
      </c>
    </row>
    <row r="291" spans="1:9" ht="20.399999999999999">
      <c r="A291" s="733">
        <v>287</v>
      </c>
      <c r="B291" s="743" t="s">
        <v>1103</v>
      </c>
      <c r="C291" s="730" t="s">
        <v>382</v>
      </c>
      <c r="D291" s="730" t="s">
        <v>1100</v>
      </c>
      <c r="E291" s="733" t="s">
        <v>587</v>
      </c>
      <c r="F291" s="733" t="s">
        <v>1099</v>
      </c>
      <c r="G291" s="730"/>
      <c r="H291" s="735" t="s">
        <v>589</v>
      </c>
      <c r="I291" s="730">
        <v>2</v>
      </c>
    </row>
    <row r="292" spans="1:9" ht="20.399999999999999">
      <c r="A292" s="730">
        <v>288</v>
      </c>
      <c r="B292" s="743" t="s">
        <v>1104</v>
      </c>
      <c r="C292" s="730" t="s">
        <v>382</v>
      </c>
      <c r="D292" s="730" t="s">
        <v>1098</v>
      </c>
      <c r="E292" s="733" t="s">
        <v>587</v>
      </c>
      <c r="F292" s="733" t="s">
        <v>1099</v>
      </c>
      <c r="G292" s="730" t="s">
        <v>1105</v>
      </c>
      <c r="H292" s="735" t="s">
        <v>589</v>
      </c>
      <c r="I292" s="730">
        <v>2</v>
      </c>
    </row>
    <row r="293" spans="1:9" ht="20.399999999999999">
      <c r="A293" s="730">
        <v>289</v>
      </c>
      <c r="B293" s="743" t="s">
        <v>1106</v>
      </c>
      <c r="C293" s="730" t="s">
        <v>382</v>
      </c>
      <c r="D293" s="730" t="s">
        <v>1098</v>
      </c>
      <c r="E293" s="733" t="s">
        <v>587</v>
      </c>
      <c r="F293" s="733" t="s">
        <v>1099</v>
      </c>
      <c r="G293" s="730" t="s">
        <v>1107</v>
      </c>
      <c r="H293" s="735" t="s">
        <v>589</v>
      </c>
      <c r="I293" s="730">
        <v>2</v>
      </c>
    </row>
    <row r="294" spans="1:9" ht="20.399999999999999">
      <c r="A294" s="730">
        <v>290</v>
      </c>
      <c r="B294" s="743" t="s">
        <v>1108</v>
      </c>
      <c r="C294" s="730" t="s">
        <v>382</v>
      </c>
      <c r="D294" s="730" t="s">
        <v>1098</v>
      </c>
      <c r="E294" s="733" t="s">
        <v>587</v>
      </c>
      <c r="F294" s="733" t="s">
        <v>1099</v>
      </c>
      <c r="G294" s="730" t="s">
        <v>1109</v>
      </c>
      <c r="H294" s="735" t="s">
        <v>589</v>
      </c>
      <c r="I294" s="730">
        <v>2</v>
      </c>
    </row>
    <row r="295" spans="1:9" ht="20.399999999999999">
      <c r="A295" s="733">
        <v>291</v>
      </c>
      <c r="B295" s="743" t="s">
        <v>1110</v>
      </c>
      <c r="C295" s="730" t="s">
        <v>382</v>
      </c>
      <c r="D295" s="730" t="s">
        <v>1111</v>
      </c>
      <c r="E295" s="733" t="s">
        <v>587</v>
      </c>
      <c r="F295" s="733" t="s">
        <v>1099</v>
      </c>
      <c r="G295" s="730"/>
      <c r="H295" s="735" t="s">
        <v>589</v>
      </c>
      <c r="I295" s="730">
        <v>2</v>
      </c>
    </row>
    <row r="296" spans="1:9" ht="20.399999999999999">
      <c r="A296" s="730">
        <v>292</v>
      </c>
      <c r="B296" s="743" t="s">
        <v>1112</v>
      </c>
      <c r="C296" s="730" t="s">
        <v>382</v>
      </c>
      <c r="D296" s="730" t="s">
        <v>1111</v>
      </c>
      <c r="E296" s="733" t="s">
        <v>587</v>
      </c>
      <c r="F296" s="733" t="s">
        <v>1099</v>
      </c>
      <c r="G296" s="730"/>
      <c r="H296" s="735" t="s">
        <v>589</v>
      </c>
      <c r="I296" s="730">
        <v>2</v>
      </c>
    </row>
    <row r="297" spans="1:9" ht="20.399999999999999">
      <c r="A297" s="730">
        <v>293</v>
      </c>
      <c r="B297" s="743" t="s">
        <v>1113</v>
      </c>
      <c r="C297" s="730" t="s">
        <v>382</v>
      </c>
      <c r="D297" s="730" t="s">
        <v>1111</v>
      </c>
      <c r="E297" s="733" t="s">
        <v>587</v>
      </c>
      <c r="F297" s="733" t="s">
        <v>1099</v>
      </c>
      <c r="G297" s="730" t="s">
        <v>1114</v>
      </c>
      <c r="H297" s="735" t="s">
        <v>589</v>
      </c>
      <c r="I297" s="730">
        <v>2</v>
      </c>
    </row>
    <row r="298" spans="1:9" ht="20.399999999999999">
      <c r="A298" s="730">
        <v>294</v>
      </c>
      <c r="B298" s="743" t="s">
        <v>1115</v>
      </c>
      <c r="C298" s="730" t="s">
        <v>382</v>
      </c>
      <c r="D298" s="730" t="s">
        <v>1111</v>
      </c>
      <c r="E298" s="733" t="s">
        <v>587</v>
      </c>
      <c r="F298" s="733" t="s">
        <v>1099</v>
      </c>
      <c r="G298" s="730"/>
      <c r="H298" s="735" t="s">
        <v>589</v>
      </c>
      <c r="I298" s="730">
        <v>2</v>
      </c>
    </row>
    <row r="299" spans="1:9" ht="20.399999999999999">
      <c r="A299" s="733">
        <v>295</v>
      </c>
      <c r="B299" s="743" t="s">
        <v>1116</v>
      </c>
      <c r="C299" s="730" t="s">
        <v>382</v>
      </c>
      <c r="D299" s="730" t="s">
        <v>1111</v>
      </c>
      <c r="E299" s="733" t="s">
        <v>587</v>
      </c>
      <c r="F299" s="733" t="s">
        <v>1099</v>
      </c>
      <c r="G299" s="730"/>
      <c r="H299" s="735" t="s">
        <v>589</v>
      </c>
      <c r="I299" s="730">
        <v>2</v>
      </c>
    </row>
    <row r="300" spans="1:9" ht="20.399999999999999">
      <c r="A300" s="730">
        <v>296</v>
      </c>
      <c r="B300" s="743" t="s">
        <v>1117</v>
      </c>
      <c r="C300" s="730" t="s">
        <v>382</v>
      </c>
      <c r="D300" s="730" t="s">
        <v>1118</v>
      </c>
      <c r="E300" s="733" t="s">
        <v>587</v>
      </c>
      <c r="F300" s="733" t="s">
        <v>1119</v>
      </c>
      <c r="G300" s="748"/>
      <c r="H300" s="740" t="s">
        <v>1061</v>
      </c>
      <c r="I300" s="730">
        <v>2</v>
      </c>
    </row>
    <row r="301" spans="1:9" ht="20.399999999999999">
      <c r="A301" s="730">
        <v>297</v>
      </c>
      <c r="B301" s="743" t="s">
        <v>1120</v>
      </c>
      <c r="C301" s="730" t="s">
        <v>382</v>
      </c>
      <c r="D301" s="730" t="s">
        <v>736</v>
      </c>
      <c r="E301" s="733" t="s">
        <v>587</v>
      </c>
      <c r="F301" s="733" t="s">
        <v>1119</v>
      </c>
      <c r="G301" s="748"/>
      <c r="H301" s="740" t="s">
        <v>1061</v>
      </c>
      <c r="I301" s="730">
        <v>2</v>
      </c>
    </row>
    <row r="302" spans="1:9" ht="20.399999999999999">
      <c r="A302" s="730">
        <v>298</v>
      </c>
      <c r="B302" s="743" t="s">
        <v>1121</v>
      </c>
      <c r="C302" s="730" t="s">
        <v>382</v>
      </c>
      <c r="D302" s="730" t="s">
        <v>1122</v>
      </c>
      <c r="E302" s="733" t="s">
        <v>587</v>
      </c>
      <c r="F302" s="733" t="s">
        <v>1119</v>
      </c>
      <c r="G302" s="748"/>
      <c r="H302" s="740" t="s">
        <v>1061</v>
      </c>
      <c r="I302" s="730">
        <v>2</v>
      </c>
    </row>
    <row r="303" spans="1:9" ht="20.399999999999999">
      <c r="A303" s="733">
        <v>299</v>
      </c>
      <c r="B303" s="743" t="s">
        <v>1123</v>
      </c>
      <c r="C303" s="730" t="s">
        <v>382</v>
      </c>
      <c r="D303" s="730" t="s">
        <v>736</v>
      </c>
      <c r="E303" s="733" t="s">
        <v>587</v>
      </c>
      <c r="F303" s="733" t="s">
        <v>1119</v>
      </c>
      <c r="G303" s="748"/>
      <c r="H303" s="740" t="s">
        <v>1061</v>
      </c>
      <c r="I303" s="730">
        <v>2</v>
      </c>
    </row>
    <row r="304" spans="1:9" ht="20.399999999999999">
      <c r="A304" s="730">
        <v>300</v>
      </c>
      <c r="B304" s="743" t="s">
        <v>1124</v>
      </c>
      <c r="C304" s="730" t="s">
        <v>382</v>
      </c>
      <c r="D304" s="730" t="s">
        <v>736</v>
      </c>
      <c r="E304" s="733" t="s">
        <v>587</v>
      </c>
      <c r="F304" s="733" t="s">
        <v>1119</v>
      </c>
      <c r="G304" s="748"/>
      <c r="H304" s="740" t="s">
        <v>1061</v>
      </c>
      <c r="I304" s="730">
        <v>2</v>
      </c>
    </row>
    <row r="305" spans="1:9" ht="20.399999999999999">
      <c r="A305" s="730">
        <v>301</v>
      </c>
      <c r="B305" s="740" t="s">
        <v>1125</v>
      </c>
      <c r="C305" s="730" t="s">
        <v>382</v>
      </c>
      <c r="D305" s="727" t="s">
        <v>754</v>
      </c>
      <c r="E305" s="733" t="s">
        <v>587</v>
      </c>
      <c r="F305" s="733" t="s">
        <v>1126</v>
      </c>
      <c r="G305" s="748"/>
      <c r="H305" s="735" t="s">
        <v>589</v>
      </c>
      <c r="I305" s="730">
        <v>2</v>
      </c>
    </row>
    <row r="306" spans="1:9" ht="20.399999999999999">
      <c r="A306" s="730">
        <v>302</v>
      </c>
      <c r="B306" s="740" t="s">
        <v>1127</v>
      </c>
      <c r="C306" s="730" t="s">
        <v>382</v>
      </c>
      <c r="D306" s="727" t="s">
        <v>754</v>
      </c>
      <c r="E306" s="733" t="s">
        <v>587</v>
      </c>
      <c r="F306" s="733" t="s">
        <v>1126</v>
      </c>
      <c r="G306" s="748"/>
      <c r="H306" s="735" t="s">
        <v>589</v>
      </c>
      <c r="I306" s="730">
        <v>2</v>
      </c>
    </row>
    <row r="307" spans="1:9" ht="20.399999999999999">
      <c r="A307" s="733">
        <v>303</v>
      </c>
      <c r="B307" s="740" t="s">
        <v>1128</v>
      </c>
      <c r="C307" s="730" t="s">
        <v>382</v>
      </c>
      <c r="D307" s="727" t="s">
        <v>1129</v>
      </c>
      <c r="E307" s="733" t="s">
        <v>587</v>
      </c>
      <c r="F307" s="733" t="s">
        <v>1126</v>
      </c>
      <c r="G307" s="748"/>
      <c r="H307" s="735" t="s">
        <v>589</v>
      </c>
      <c r="I307" s="730">
        <v>2</v>
      </c>
    </row>
    <row r="308" spans="1:9" ht="20.399999999999999">
      <c r="A308" s="730">
        <v>304</v>
      </c>
      <c r="B308" s="743" t="s">
        <v>758</v>
      </c>
      <c r="C308" s="730" t="s">
        <v>382</v>
      </c>
      <c r="D308" s="727" t="s">
        <v>1129</v>
      </c>
      <c r="E308" s="733" t="s">
        <v>587</v>
      </c>
      <c r="F308" s="733" t="s">
        <v>1126</v>
      </c>
      <c r="G308" s="748"/>
      <c r="H308" s="735" t="s">
        <v>589</v>
      </c>
      <c r="I308" s="730">
        <v>2</v>
      </c>
    </row>
    <row r="309" spans="1:9" ht="20.399999999999999">
      <c r="A309" s="730">
        <v>305</v>
      </c>
      <c r="B309" s="743" t="s">
        <v>1130</v>
      </c>
      <c r="C309" s="730" t="s">
        <v>382</v>
      </c>
      <c r="D309" s="727" t="s">
        <v>1129</v>
      </c>
      <c r="E309" s="733" t="s">
        <v>587</v>
      </c>
      <c r="F309" s="733" t="s">
        <v>1126</v>
      </c>
      <c r="G309" s="748"/>
      <c r="H309" s="735" t="s">
        <v>589</v>
      </c>
      <c r="I309" s="730">
        <v>2</v>
      </c>
    </row>
    <row r="310" spans="1:9" ht="20.399999999999999">
      <c r="A310" s="730">
        <v>306</v>
      </c>
      <c r="B310" s="743" t="s">
        <v>1067</v>
      </c>
      <c r="C310" s="730" t="s">
        <v>382</v>
      </c>
      <c r="D310" s="730" t="s">
        <v>1006</v>
      </c>
      <c r="E310" s="733" t="s">
        <v>587</v>
      </c>
      <c r="F310" s="733" t="s">
        <v>1126</v>
      </c>
      <c r="G310" s="748"/>
      <c r="H310" s="735" t="s">
        <v>589</v>
      </c>
      <c r="I310" s="730">
        <v>2</v>
      </c>
    </row>
    <row r="311" spans="1:9" ht="20.399999999999999">
      <c r="A311" s="730">
        <v>307</v>
      </c>
      <c r="B311" s="737" t="s">
        <v>1131</v>
      </c>
      <c r="C311" s="730" t="s">
        <v>382</v>
      </c>
      <c r="D311" s="748" t="s">
        <v>586</v>
      </c>
      <c r="E311" s="733" t="s">
        <v>587</v>
      </c>
      <c r="F311" s="733" t="s">
        <v>1132</v>
      </c>
      <c r="G311" s="748"/>
      <c r="H311" s="735" t="s">
        <v>589</v>
      </c>
      <c r="I311" s="730">
        <v>2</v>
      </c>
    </row>
    <row r="312" spans="1:9" ht="20.399999999999999">
      <c r="A312" s="730">
        <v>308</v>
      </c>
      <c r="B312" s="737" t="s">
        <v>1133</v>
      </c>
      <c r="C312" s="730" t="s">
        <v>382</v>
      </c>
      <c r="D312" s="748" t="s">
        <v>1134</v>
      </c>
      <c r="E312" s="733" t="s">
        <v>587</v>
      </c>
      <c r="F312" s="733" t="s">
        <v>1132</v>
      </c>
      <c r="G312" s="748"/>
      <c r="H312" s="735" t="s">
        <v>589</v>
      </c>
      <c r="I312" s="730">
        <v>2</v>
      </c>
    </row>
    <row r="313" spans="1:9" ht="20.399999999999999">
      <c r="A313" s="730">
        <v>309</v>
      </c>
      <c r="B313" s="737" t="s">
        <v>1135</v>
      </c>
      <c r="C313" s="730" t="s">
        <v>382</v>
      </c>
      <c r="D313" s="748" t="s">
        <v>1134</v>
      </c>
      <c r="E313" s="733" t="s">
        <v>587</v>
      </c>
      <c r="F313" s="733" t="s">
        <v>1132</v>
      </c>
      <c r="G313" s="748"/>
      <c r="H313" s="735" t="s">
        <v>589</v>
      </c>
      <c r="I313" s="730">
        <v>2</v>
      </c>
    </row>
    <row r="314" spans="1:9" ht="20.399999999999999">
      <c r="A314" s="730">
        <v>310</v>
      </c>
      <c r="B314" s="740" t="s">
        <v>1136</v>
      </c>
      <c r="C314" s="730" t="s">
        <v>382</v>
      </c>
      <c r="D314" s="748" t="s">
        <v>1134</v>
      </c>
      <c r="E314" s="733" t="s">
        <v>587</v>
      </c>
      <c r="F314" s="733" t="s">
        <v>1132</v>
      </c>
      <c r="G314" s="748"/>
      <c r="H314" s="735" t="s">
        <v>589</v>
      </c>
      <c r="I314" s="730">
        <v>2</v>
      </c>
    </row>
    <row r="315" spans="1:9" ht="20.399999999999999">
      <c r="A315" s="730">
        <v>311</v>
      </c>
      <c r="B315" s="737" t="s">
        <v>720</v>
      </c>
      <c r="C315" s="730" t="s">
        <v>382</v>
      </c>
      <c r="D315" s="748" t="s">
        <v>1134</v>
      </c>
      <c r="E315" s="733" t="s">
        <v>587</v>
      </c>
      <c r="F315" s="733" t="s">
        <v>1132</v>
      </c>
      <c r="G315" s="748"/>
      <c r="H315" s="735" t="s">
        <v>589</v>
      </c>
      <c r="I315" s="730">
        <v>2</v>
      </c>
    </row>
    <row r="316" spans="1:9" ht="20.399999999999999">
      <c r="A316" s="730">
        <v>312</v>
      </c>
      <c r="B316" s="737" t="s">
        <v>1137</v>
      </c>
      <c r="C316" s="730" t="s">
        <v>382</v>
      </c>
      <c r="D316" s="748" t="s">
        <v>1134</v>
      </c>
      <c r="E316" s="733" t="s">
        <v>587</v>
      </c>
      <c r="F316" s="733" t="s">
        <v>1132</v>
      </c>
      <c r="G316" s="748"/>
      <c r="H316" s="735" t="s">
        <v>589</v>
      </c>
      <c r="I316" s="730">
        <v>2</v>
      </c>
    </row>
    <row r="317" spans="1:9" ht="20.399999999999999">
      <c r="A317" s="730">
        <v>313</v>
      </c>
      <c r="B317" s="737" t="s">
        <v>698</v>
      </c>
      <c r="C317" s="730" t="s">
        <v>382</v>
      </c>
      <c r="D317" s="748" t="s">
        <v>1134</v>
      </c>
      <c r="E317" s="733" t="s">
        <v>587</v>
      </c>
      <c r="F317" s="733" t="s">
        <v>1132</v>
      </c>
      <c r="G317" s="748"/>
      <c r="H317" s="735" t="s">
        <v>589</v>
      </c>
      <c r="I317" s="730">
        <v>2</v>
      </c>
    </row>
    <row r="318" spans="1:9" ht="20.399999999999999">
      <c r="A318" s="730">
        <v>314</v>
      </c>
      <c r="B318" s="737" t="s">
        <v>1138</v>
      </c>
      <c r="C318" s="730" t="s">
        <v>382</v>
      </c>
      <c r="D318" s="748" t="s">
        <v>1134</v>
      </c>
      <c r="E318" s="733" t="s">
        <v>587</v>
      </c>
      <c r="F318" s="733" t="s">
        <v>1132</v>
      </c>
      <c r="G318" s="748"/>
      <c r="H318" s="735" t="s">
        <v>589</v>
      </c>
      <c r="I318" s="730">
        <v>2</v>
      </c>
    </row>
    <row r="319" spans="1:9" ht="20.399999999999999">
      <c r="A319" s="730">
        <v>315</v>
      </c>
      <c r="B319" s="743" t="s">
        <v>1139</v>
      </c>
      <c r="C319" s="730" t="s">
        <v>382</v>
      </c>
      <c r="D319" s="730" t="s">
        <v>1140</v>
      </c>
      <c r="E319" s="733" t="s">
        <v>587</v>
      </c>
      <c r="F319" s="733" t="s">
        <v>1132</v>
      </c>
      <c r="G319" s="748"/>
      <c r="H319" s="735" t="s">
        <v>589</v>
      </c>
      <c r="I319" s="730">
        <v>2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6042-EC03-449B-92C8-A81C3FE15A9F}">
  <sheetPr>
    <tabColor rgb="FFFF0000"/>
  </sheetPr>
  <dimension ref="A1:J85"/>
  <sheetViews>
    <sheetView topLeftCell="A56" zoomScale="80" zoomScaleNormal="80" workbookViewId="0">
      <selection activeCell="X10" sqref="X10"/>
    </sheetView>
  </sheetViews>
  <sheetFormatPr defaultColWidth="9.109375" defaultRowHeight="13.8"/>
  <cols>
    <col min="1" max="1" width="12.5546875" style="675" bestFit="1" customWidth="1"/>
    <col min="2" max="2" width="5.33203125" style="675" bestFit="1" customWidth="1"/>
    <col min="3" max="3" width="10.33203125" style="675" customWidth="1"/>
    <col min="4" max="4" width="36.6640625" style="675" bestFit="1" customWidth="1"/>
    <col min="5" max="10" width="9.6640625" style="675" customWidth="1"/>
    <col min="11" max="16384" width="9.109375" style="675"/>
  </cols>
  <sheetData>
    <row r="1" spans="1:10" s="705" customFormat="1" ht="25.8">
      <c r="A1" s="702" t="s">
        <v>444</v>
      </c>
      <c r="B1" s="702" t="s">
        <v>445</v>
      </c>
      <c r="C1" s="702" t="s">
        <v>376</v>
      </c>
      <c r="D1" s="702" t="s">
        <v>446</v>
      </c>
      <c r="E1" s="702" t="s">
        <v>379</v>
      </c>
      <c r="F1" s="703" t="s">
        <v>380</v>
      </c>
      <c r="G1" s="703" t="s">
        <v>381</v>
      </c>
      <c r="H1" s="703" t="s">
        <v>382</v>
      </c>
      <c r="I1" s="703" t="s">
        <v>383</v>
      </c>
      <c r="J1" s="704" t="s">
        <v>447</v>
      </c>
    </row>
    <row r="2" spans="1:10" ht="22.8">
      <c r="A2" s="706">
        <v>46054</v>
      </c>
      <c r="B2" s="707" t="s">
        <v>450</v>
      </c>
      <c r="C2" s="708"/>
      <c r="D2" s="709"/>
      <c r="E2" s="710"/>
      <c r="F2" s="710"/>
      <c r="G2" s="711"/>
      <c r="H2" s="711"/>
      <c r="I2" s="712"/>
      <c r="J2" s="713">
        <f>G2+H2</f>
        <v>0</v>
      </c>
    </row>
    <row r="3" spans="1:10" ht="22.8">
      <c r="A3" s="719">
        <v>46055</v>
      </c>
      <c r="B3" s="685" t="s">
        <v>451</v>
      </c>
      <c r="C3" s="679" t="s">
        <v>390</v>
      </c>
      <c r="D3" s="680" t="s">
        <v>391</v>
      </c>
      <c r="E3" s="680"/>
      <c r="F3" s="681"/>
      <c r="G3" s="681"/>
      <c r="H3" s="678">
        <v>11</v>
      </c>
      <c r="I3" s="678"/>
      <c r="J3" s="720">
        <f>G3+H3</f>
        <v>11</v>
      </c>
    </row>
    <row r="4" spans="1:10" ht="22.8">
      <c r="A4" s="719">
        <v>46056</v>
      </c>
      <c r="B4" s="685" t="s">
        <v>453</v>
      </c>
      <c r="C4" s="679" t="s">
        <v>396</v>
      </c>
      <c r="D4" s="680" t="s">
        <v>397</v>
      </c>
      <c r="E4" s="680"/>
      <c r="F4" s="681">
        <v>13</v>
      </c>
      <c r="G4" s="686">
        <v>1</v>
      </c>
      <c r="H4" s="678">
        <v>2</v>
      </c>
      <c r="I4" s="678"/>
      <c r="J4" s="722">
        <f>F4+G4+H4</f>
        <v>16</v>
      </c>
    </row>
    <row r="5" spans="1:10" ht="22.8">
      <c r="A5" s="719">
        <v>46057</v>
      </c>
      <c r="B5" s="685" t="s">
        <v>455</v>
      </c>
      <c r="C5" s="679" t="s">
        <v>402</v>
      </c>
      <c r="D5" s="687" t="s">
        <v>403</v>
      </c>
      <c r="E5" s="680"/>
      <c r="F5" s="681">
        <v>2</v>
      </c>
      <c r="G5" s="681"/>
      <c r="H5" s="678">
        <v>13</v>
      </c>
      <c r="I5" s="678"/>
      <c r="J5" s="724">
        <f>F5+H5</f>
        <v>15</v>
      </c>
    </row>
    <row r="6" spans="1:10" ht="22.8">
      <c r="A6" s="719">
        <v>46058</v>
      </c>
      <c r="B6" s="685" t="s">
        <v>457</v>
      </c>
      <c r="C6" s="679" t="s">
        <v>408</v>
      </c>
      <c r="D6" s="687" t="s">
        <v>409</v>
      </c>
      <c r="E6" s="687"/>
      <c r="F6" s="686">
        <v>5</v>
      </c>
      <c r="G6" s="686"/>
      <c r="H6" s="678">
        <v>11</v>
      </c>
      <c r="I6" s="678"/>
      <c r="J6" s="724">
        <f>F6+H6</f>
        <v>16</v>
      </c>
    </row>
    <row r="7" spans="1:10" ht="22.8">
      <c r="A7" s="719">
        <v>46059</v>
      </c>
      <c r="B7" s="685" t="s">
        <v>448</v>
      </c>
      <c r="C7" s="679" t="s">
        <v>420</v>
      </c>
      <c r="D7" s="687" t="s">
        <v>421</v>
      </c>
      <c r="E7" s="687"/>
      <c r="F7" s="686"/>
      <c r="G7" s="686"/>
      <c r="H7" s="678">
        <v>11</v>
      </c>
      <c r="I7" s="678"/>
      <c r="J7" s="724">
        <f t="shared" ref="J7:J8" si="0">G7+H7</f>
        <v>11</v>
      </c>
    </row>
    <row r="8" spans="1:10" ht="22.8">
      <c r="A8" s="719">
        <v>46060</v>
      </c>
      <c r="B8" s="685" t="s">
        <v>449</v>
      </c>
      <c r="C8" s="679" t="s">
        <v>424</v>
      </c>
      <c r="D8" s="687" t="s">
        <v>425</v>
      </c>
      <c r="E8" s="687"/>
      <c r="F8" s="686"/>
      <c r="G8" s="686">
        <v>1</v>
      </c>
      <c r="H8" s="678">
        <v>10</v>
      </c>
      <c r="I8" s="678"/>
      <c r="J8" s="724">
        <f t="shared" si="0"/>
        <v>11</v>
      </c>
    </row>
    <row r="9" spans="1:10" ht="22.8">
      <c r="A9" s="706">
        <v>46061</v>
      </c>
      <c r="B9" s="707" t="s">
        <v>450</v>
      </c>
      <c r="C9" s="708"/>
      <c r="D9" s="714"/>
      <c r="E9" s="713"/>
      <c r="F9" s="715"/>
      <c r="G9" s="715"/>
      <c r="H9" s="711"/>
      <c r="I9" s="710"/>
      <c r="J9" s="713">
        <f>F9+H9</f>
        <v>0</v>
      </c>
    </row>
    <row r="10" spans="1:10" ht="22.8">
      <c r="A10" s="719">
        <v>46062</v>
      </c>
      <c r="B10" s="685" t="s">
        <v>451</v>
      </c>
      <c r="C10" s="679" t="s">
        <v>428</v>
      </c>
      <c r="D10" s="687" t="s">
        <v>429</v>
      </c>
      <c r="E10" s="687"/>
      <c r="F10" s="686"/>
      <c r="G10" s="686">
        <v>4</v>
      </c>
      <c r="H10" s="678">
        <v>5</v>
      </c>
      <c r="I10" s="678"/>
      <c r="J10" s="724">
        <f t="shared" ref="J10" si="1">G10+H10</f>
        <v>9</v>
      </c>
    </row>
    <row r="11" spans="1:10" ht="22.8">
      <c r="A11" s="719">
        <v>46063</v>
      </c>
      <c r="B11" s="685" t="s">
        <v>453</v>
      </c>
      <c r="C11" s="679" t="s">
        <v>414</v>
      </c>
      <c r="D11" s="687" t="s">
        <v>415</v>
      </c>
      <c r="E11" s="687"/>
      <c r="F11" s="686"/>
      <c r="G11" s="686">
        <v>4</v>
      </c>
      <c r="H11" s="678">
        <v>9</v>
      </c>
      <c r="I11" s="678"/>
      <c r="J11" s="722">
        <f>G11+H11</f>
        <v>13</v>
      </c>
    </row>
    <row r="12" spans="1:10" ht="22.8">
      <c r="A12" s="719">
        <v>46064</v>
      </c>
      <c r="B12" s="685" t="s">
        <v>455</v>
      </c>
      <c r="C12" s="679" t="s">
        <v>432</v>
      </c>
      <c r="D12" s="680" t="s">
        <v>433</v>
      </c>
      <c r="E12" s="680"/>
      <c r="F12" s="680"/>
      <c r="G12" s="680"/>
      <c r="H12" s="678">
        <v>10</v>
      </c>
      <c r="I12" s="678"/>
      <c r="J12" s="724">
        <f>F12+H12</f>
        <v>10</v>
      </c>
    </row>
    <row r="13" spans="1:10" ht="22.8">
      <c r="A13" s="719">
        <v>46065</v>
      </c>
      <c r="B13" s="685" t="s">
        <v>457</v>
      </c>
      <c r="C13" s="679" t="s">
        <v>436</v>
      </c>
      <c r="D13" s="687" t="s">
        <v>437</v>
      </c>
      <c r="E13" s="687"/>
      <c r="F13" s="686">
        <v>1</v>
      </c>
      <c r="G13" s="687"/>
      <c r="H13" s="678">
        <v>12</v>
      </c>
      <c r="I13" s="678"/>
      <c r="J13" s="724">
        <f t="shared" ref="J13:J17" si="2">F13+H13</f>
        <v>13</v>
      </c>
    </row>
    <row r="14" spans="1:10" ht="22.8">
      <c r="A14" s="719">
        <v>46066</v>
      </c>
      <c r="B14" s="685" t="s">
        <v>448</v>
      </c>
      <c r="C14" s="679" t="s">
        <v>384</v>
      </c>
      <c r="D14" s="680" t="s">
        <v>385</v>
      </c>
      <c r="E14" s="680"/>
      <c r="F14" s="681">
        <v>2</v>
      </c>
      <c r="G14" s="681"/>
      <c r="H14" s="678">
        <v>10</v>
      </c>
      <c r="I14" s="678"/>
      <c r="J14" s="724">
        <f t="shared" si="2"/>
        <v>12</v>
      </c>
    </row>
    <row r="15" spans="1:10" ht="22.8">
      <c r="A15" s="719">
        <v>46067</v>
      </c>
      <c r="B15" s="685" t="s">
        <v>449</v>
      </c>
      <c r="C15" s="679" t="s">
        <v>402</v>
      </c>
      <c r="D15" s="687" t="s">
        <v>403</v>
      </c>
      <c r="E15" s="680"/>
      <c r="F15" s="681">
        <v>2</v>
      </c>
      <c r="G15" s="681"/>
      <c r="H15" s="678">
        <v>13</v>
      </c>
      <c r="I15" s="678"/>
      <c r="J15" s="724">
        <f t="shared" si="2"/>
        <v>15</v>
      </c>
    </row>
    <row r="16" spans="1:10" ht="22.8">
      <c r="A16" s="706">
        <v>46068</v>
      </c>
      <c r="B16" s="707" t="s">
        <v>450</v>
      </c>
      <c r="C16" s="708"/>
      <c r="D16" s="709"/>
      <c r="E16" s="713"/>
      <c r="F16" s="711"/>
      <c r="G16" s="711"/>
      <c r="H16" s="711"/>
      <c r="I16" s="711"/>
      <c r="J16" s="713">
        <f t="shared" si="2"/>
        <v>0</v>
      </c>
    </row>
    <row r="17" spans="1:10" ht="22.8">
      <c r="A17" s="719">
        <v>46069</v>
      </c>
      <c r="B17" s="685" t="s">
        <v>451</v>
      </c>
      <c r="C17" s="679" t="s">
        <v>390</v>
      </c>
      <c r="D17" s="680" t="s">
        <v>391</v>
      </c>
      <c r="E17" s="680"/>
      <c r="F17" s="681"/>
      <c r="G17" s="681"/>
      <c r="H17" s="678">
        <v>11</v>
      </c>
      <c r="I17" s="686"/>
      <c r="J17" s="724">
        <f t="shared" si="2"/>
        <v>11</v>
      </c>
    </row>
    <row r="18" spans="1:10" ht="22.8">
      <c r="A18" s="719">
        <v>46070</v>
      </c>
      <c r="B18" s="685" t="s">
        <v>453</v>
      </c>
      <c r="C18" s="679" t="s">
        <v>396</v>
      </c>
      <c r="D18" s="680" t="s">
        <v>397</v>
      </c>
      <c r="E18" s="680"/>
      <c r="F18" s="681">
        <v>13</v>
      </c>
      <c r="G18" s="686">
        <v>1</v>
      </c>
      <c r="H18" s="678">
        <v>2</v>
      </c>
      <c r="I18" s="722">
        <f t="shared" ref="I18" si="3">SUM(I12:I17)</f>
        <v>0</v>
      </c>
      <c r="J18" s="722">
        <f>F18+G18+H18</f>
        <v>16</v>
      </c>
    </row>
    <row r="19" spans="1:10" ht="22.8">
      <c r="A19" s="719">
        <v>46071</v>
      </c>
      <c r="B19" s="685" t="s">
        <v>455</v>
      </c>
      <c r="C19" s="679" t="s">
        <v>408</v>
      </c>
      <c r="D19" s="687" t="s">
        <v>409</v>
      </c>
      <c r="E19" s="687"/>
      <c r="F19" s="686">
        <v>5</v>
      </c>
      <c r="G19" s="686"/>
      <c r="H19" s="678">
        <v>11</v>
      </c>
      <c r="I19" s="678"/>
      <c r="J19" s="724">
        <f>F19+H19</f>
        <v>16</v>
      </c>
    </row>
    <row r="20" spans="1:10" ht="22.8">
      <c r="A20" s="719">
        <v>46072</v>
      </c>
      <c r="B20" s="685" t="s">
        <v>457</v>
      </c>
      <c r="C20" s="679" t="s">
        <v>414</v>
      </c>
      <c r="D20" s="687" t="s">
        <v>415</v>
      </c>
      <c r="E20" s="687"/>
      <c r="F20" s="686"/>
      <c r="G20" s="686">
        <v>4</v>
      </c>
      <c r="H20" s="678">
        <v>9</v>
      </c>
      <c r="I20" s="724"/>
      <c r="J20" s="724">
        <f t="shared" ref="J20:J24" si="4">G20+H20</f>
        <v>13</v>
      </c>
    </row>
    <row r="21" spans="1:10" ht="22.8">
      <c r="A21" s="719">
        <v>46073</v>
      </c>
      <c r="B21" s="685" t="s">
        <v>448</v>
      </c>
      <c r="C21" s="679" t="s">
        <v>420</v>
      </c>
      <c r="D21" s="687" t="s">
        <v>421</v>
      </c>
      <c r="E21" s="687"/>
      <c r="F21" s="686"/>
      <c r="G21" s="686"/>
      <c r="H21" s="678">
        <v>11</v>
      </c>
      <c r="I21" s="726"/>
      <c r="J21" s="724">
        <f t="shared" si="4"/>
        <v>11</v>
      </c>
    </row>
    <row r="22" spans="1:10" ht="22.8">
      <c r="A22" s="719">
        <v>46074</v>
      </c>
      <c r="B22" s="685" t="s">
        <v>449</v>
      </c>
      <c r="C22" s="679" t="s">
        <v>424</v>
      </c>
      <c r="D22" s="687" t="s">
        <v>425</v>
      </c>
      <c r="E22" s="687"/>
      <c r="F22" s="686"/>
      <c r="G22" s="686">
        <v>1</v>
      </c>
      <c r="H22" s="678">
        <v>10</v>
      </c>
      <c r="I22" s="726"/>
      <c r="J22" s="724">
        <f t="shared" si="4"/>
        <v>11</v>
      </c>
    </row>
    <row r="23" spans="1:10" ht="22.8">
      <c r="A23" s="706">
        <v>46075</v>
      </c>
      <c r="B23" s="707" t="s">
        <v>450</v>
      </c>
      <c r="C23" s="708"/>
      <c r="D23" s="714"/>
      <c r="E23" s="713"/>
      <c r="F23" s="715"/>
      <c r="G23" s="715"/>
      <c r="H23" s="711"/>
      <c r="I23" s="713"/>
      <c r="J23" s="713">
        <f t="shared" si="4"/>
        <v>0</v>
      </c>
    </row>
    <row r="24" spans="1:10" ht="22.8">
      <c r="A24" s="719">
        <v>46076</v>
      </c>
      <c r="B24" s="685" t="s">
        <v>451</v>
      </c>
      <c r="C24" s="679" t="s">
        <v>428</v>
      </c>
      <c r="D24" s="687" t="s">
        <v>429</v>
      </c>
      <c r="E24" s="687"/>
      <c r="F24" s="686"/>
      <c r="G24" s="686">
        <v>4</v>
      </c>
      <c r="H24" s="678">
        <v>5</v>
      </c>
      <c r="I24" s="686"/>
      <c r="J24" s="724">
        <f t="shared" si="4"/>
        <v>9</v>
      </c>
    </row>
    <row r="25" spans="1:10" ht="22.8">
      <c r="A25" s="719">
        <v>46077</v>
      </c>
      <c r="B25" s="685" t="s">
        <v>453</v>
      </c>
      <c r="C25" s="679" t="s">
        <v>432</v>
      </c>
      <c r="D25" s="680" t="s">
        <v>433</v>
      </c>
      <c r="E25" s="680"/>
      <c r="F25" s="680"/>
      <c r="G25" s="680"/>
      <c r="H25" s="678">
        <v>10</v>
      </c>
      <c r="I25" s="722">
        <f t="shared" ref="I25" si="5">SUM(I19:I24)</f>
        <v>0</v>
      </c>
      <c r="J25" s="722">
        <f>H25</f>
        <v>10</v>
      </c>
    </row>
    <row r="26" spans="1:10" ht="22.8">
      <c r="A26" s="719">
        <v>46078</v>
      </c>
      <c r="B26" s="685" t="s">
        <v>455</v>
      </c>
      <c r="C26" s="679" t="s">
        <v>436</v>
      </c>
      <c r="D26" s="687" t="s">
        <v>437</v>
      </c>
      <c r="E26" s="687"/>
      <c r="F26" s="686">
        <v>1</v>
      </c>
      <c r="G26" s="687"/>
      <c r="H26" s="678">
        <v>12</v>
      </c>
      <c r="I26" s="686"/>
      <c r="J26" s="724">
        <f>F26+H26</f>
        <v>13</v>
      </c>
    </row>
    <row r="27" spans="1:10" ht="22.8">
      <c r="A27" s="719">
        <v>46079</v>
      </c>
      <c r="B27" s="685" t="s">
        <v>457</v>
      </c>
      <c r="C27" s="679" t="s">
        <v>384</v>
      </c>
      <c r="D27" s="680" t="s">
        <v>385</v>
      </c>
      <c r="E27" s="680"/>
      <c r="F27" s="681">
        <v>2</v>
      </c>
      <c r="G27" s="681"/>
      <c r="H27" s="678">
        <v>10</v>
      </c>
      <c r="I27" s="686"/>
      <c r="J27" s="724">
        <f t="shared" ref="J27:J29" si="6">SUM(E27:I27)</f>
        <v>12</v>
      </c>
    </row>
    <row r="28" spans="1:10" ht="22.8">
      <c r="A28" s="719">
        <v>46080</v>
      </c>
      <c r="B28" s="685" t="s">
        <v>448</v>
      </c>
      <c r="C28" s="679" t="s">
        <v>402</v>
      </c>
      <c r="D28" s="687" t="s">
        <v>403</v>
      </c>
      <c r="E28" s="680"/>
      <c r="F28" s="681">
        <v>2</v>
      </c>
      <c r="G28" s="681"/>
      <c r="H28" s="678">
        <v>13</v>
      </c>
      <c r="I28" s="686"/>
      <c r="J28" s="724">
        <f t="shared" si="6"/>
        <v>15</v>
      </c>
    </row>
    <row r="29" spans="1:10" ht="22.8">
      <c r="A29" s="719">
        <v>46081</v>
      </c>
      <c r="B29" s="685" t="s">
        <v>449</v>
      </c>
      <c r="C29" s="679" t="s">
        <v>408</v>
      </c>
      <c r="D29" s="687" t="s">
        <v>409</v>
      </c>
      <c r="E29" s="687"/>
      <c r="F29" s="686">
        <v>5</v>
      </c>
      <c r="G29" s="686"/>
      <c r="H29" s="678">
        <v>11</v>
      </c>
      <c r="I29" s="678"/>
      <c r="J29" s="724">
        <f t="shared" si="6"/>
        <v>16</v>
      </c>
    </row>
    <row r="30" spans="1:10" ht="22.8">
      <c r="A30" s="706">
        <v>46054</v>
      </c>
      <c r="B30" s="707" t="s">
        <v>450</v>
      </c>
      <c r="C30" s="708"/>
      <c r="D30" s="714"/>
      <c r="E30" s="711"/>
      <c r="F30" s="711"/>
      <c r="G30" s="715"/>
      <c r="H30" s="715"/>
      <c r="I30" s="716"/>
      <c r="J30" s="717">
        <f>SUM(E30:I30)</f>
        <v>0</v>
      </c>
    </row>
    <row r="31" spans="1:10" ht="22.8">
      <c r="A31" s="719">
        <v>46055</v>
      </c>
      <c r="B31" s="685" t="s">
        <v>451</v>
      </c>
      <c r="C31" s="679" t="s">
        <v>398</v>
      </c>
      <c r="D31" s="687" t="s">
        <v>399</v>
      </c>
      <c r="E31" s="687"/>
      <c r="F31" s="686"/>
      <c r="G31" s="686"/>
      <c r="H31" s="686">
        <v>15</v>
      </c>
      <c r="I31" s="685"/>
      <c r="J31" s="721">
        <f t="shared" ref="J31" si="7">SUM(E31:I31)</f>
        <v>15</v>
      </c>
    </row>
    <row r="32" spans="1:10" ht="22.8">
      <c r="A32" s="719">
        <v>46056</v>
      </c>
      <c r="B32" s="685" t="s">
        <v>453</v>
      </c>
      <c r="C32" s="679" t="s">
        <v>404</v>
      </c>
      <c r="D32" s="687" t="s">
        <v>405</v>
      </c>
      <c r="E32" s="687"/>
      <c r="F32" s="686"/>
      <c r="G32" s="686"/>
      <c r="H32" s="686">
        <v>13</v>
      </c>
      <c r="I32" s="685"/>
      <c r="J32" s="723">
        <f t="shared" ref="J32" si="8">SUM(J30:J31)</f>
        <v>15</v>
      </c>
    </row>
    <row r="33" spans="1:10" ht="22.8">
      <c r="A33" s="719">
        <v>46057</v>
      </c>
      <c r="B33" s="685" t="s">
        <v>455</v>
      </c>
      <c r="C33" s="679" t="s">
        <v>410</v>
      </c>
      <c r="D33" s="687" t="s">
        <v>411</v>
      </c>
      <c r="E33" s="687"/>
      <c r="F33" s="686"/>
      <c r="G33" s="686"/>
      <c r="H33" s="686">
        <v>9</v>
      </c>
      <c r="I33" s="685"/>
      <c r="J33" s="721">
        <f>SUM(E33:I33)</f>
        <v>9</v>
      </c>
    </row>
    <row r="34" spans="1:10" ht="22.8">
      <c r="A34" s="719">
        <v>46058</v>
      </c>
      <c r="B34" s="685" t="s">
        <v>457</v>
      </c>
      <c r="C34" s="679" t="s">
        <v>416</v>
      </c>
      <c r="D34" s="680" t="s">
        <v>417</v>
      </c>
      <c r="E34" s="680"/>
      <c r="F34" s="681"/>
      <c r="G34" s="681">
        <v>1</v>
      </c>
      <c r="H34" s="681">
        <v>5</v>
      </c>
      <c r="I34" s="685"/>
      <c r="J34" s="721">
        <f t="shared" ref="J34:J38" si="9">SUM(E34:I34)</f>
        <v>6</v>
      </c>
    </row>
    <row r="35" spans="1:10" ht="22.8">
      <c r="A35" s="719">
        <v>46059</v>
      </c>
      <c r="B35" s="685" t="s">
        <v>448</v>
      </c>
      <c r="C35" s="679" t="s">
        <v>422</v>
      </c>
      <c r="D35" s="687" t="s">
        <v>423</v>
      </c>
      <c r="E35" s="687"/>
      <c r="F35" s="686"/>
      <c r="G35" s="686"/>
      <c r="H35" s="686">
        <v>17</v>
      </c>
      <c r="I35" s="685"/>
      <c r="J35" s="721">
        <f t="shared" si="9"/>
        <v>17</v>
      </c>
    </row>
    <row r="36" spans="1:10" ht="22.8">
      <c r="A36" s="719">
        <v>46060</v>
      </c>
      <c r="B36" s="685" t="s">
        <v>449</v>
      </c>
      <c r="C36" s="679" t="s">
        <v>426</v>
      </c>
      <c r="D36" s="686" t="s">
        <v>427</v>
      </c>
      <c r="E36" s="680"/>
      <c r="F36" s="681"/>
      <c r="G36" s="681"/>
      <c r="H36" s="681">
        <v>14</v>
      </c>
      <c r="I36" s="685"/>
      <c r="J36" s="721">
        <f t="shared" si="9"/>
        <v>14</v>
      </c>
    </row>
    <row r="37" spans="1:10" ht="22.8">
      <c r="A37" s="706">
        <v>46061</v>
      </c>
      <c r="B37" s="707" t="s">
        <v>450</v>
      </c>
      <c r="C37" s="708"/>
      <c r="D37" s="709"/>
      <c r="E37" s="716"/>
      <c r="F37" s="711"/>
      <c r="G37" s="707"/>
      <c r="H37" s="711"/>
      <c r="I37" s="725"/>
      <c r="J37" s="717">
        <f t="shared" si="9"/>
        <v>0</v>
      </c>
    </row>
    <row r="38" spans="1:10" ht="22.8">
      <c r="A38" s="719">
        <v>46062</v>
      </c>
      <c r="B38" s="685" t="s">
        <v>451</v>
      </c>
      <c r="C38" s="679" t="s">
        <v>430</v>
      </c>
      <c r="D38" s="680" t="s">
        <v>431</v>
      </c>
      <c r="E38" s="680"/>
      <c r="F38" s="681">
        <v>1</v>
      </c>
      <c r="G38" s="681"/>
      <c r="H38" s="681">
        <v>13</v>
      </c>
      <c r="I38" s="685"/>
      <c r="J38" s="721">
        <f t="shared" si="9"/>
        <v>14</v>
      </c>
    </row>
    <row r="39" spans="1:10" ht="22.8">
      <c r="A39" s="719">
        <v>46063</v>
      </c>
      <c r="B39" s="685" t="s">
        <v>453</v>
      </c>
      <c r="C39" s="679" t="s">
        <v>434</v>
      </c>
      <c r="D39" s="687" t="s">
        <v>435</v>
      </c>
      <c r="E39" s="687"/>
      <c r="F39" s="687"/>
      <c r="G39" s="685"/>
      <c r="H39" s="685">
        <v>11</v>
      </c>
      <c r="I39" s="685"/>
      <c r="J39" s="723">
        <f>H39</f>
        <v>11</v>
      </c>
    </row>
    <row r="40" spans="1:10" ht="22.8">
      <c r="A40" s="719">
        <v>46064</v>
      </c>
      <c r="B40" s="685" t="s">
        <v>455</v>
      </c>
      <c r="C40" s="679" t="s">
        <v>386</v>
      </c>
      <c r="D40" s="682" t="s">
        <v>387</v>
      </c>
      <c r="E40" s="683"/>
      <c r="F40" s="684"/>
      <c r="G40" s="684"/>
      <c r="H40" s="684">
        <v>12</v>
      </c>
      <c r="I40" s="685"/>
      <c r="J40" s="721">
        <f>H40</f>
        <v>12</v>
      </c>
    </row>
    <row r="41" spans="1:10" ht="22.8">
      <c r="A41" s="719">
        <v>46065</v>
      </c>
      <c r="B41" s="685" t="s">
        <v>457</v>
      </c>
      <c r="C41" s="679" t="s">
        <v>392</v>
      </c>
      <c r="D41" s="687" t="s">
        <v>393</v>
      </c>
      <c r="E41" s="687"/>
      <c r="F41" s="686"/>
      <c r="G41" s="686"/>
      <c r="H41" s="686">
        <v>15</v>
      </c>
      <c r="I41" s="685"/>
      <c r="J41" s="721">
        <f t="shared" ref="J41" si="10">H41</f>
        <v>15</v>
      </c>
    </row>
    <row r="42" spans="1:10" ht="22.8">
      <c r="A42" s="719">
        <v>46066</v>
      </c>
      <c r="B42" s="685" t="s">
        <v>448</v>
      </c>
      <c r="C42" s="679" t="s">
        <v>398</v>
      </c>
      <c r="D42" s="687" t="s">
        <v>399</v>
      </c>
      <c r="E42" s="687"/>
      <c r="F42" s="686"/>
      <c r="G42" s="686"/>
      <c r="H42" s="686">
        <v>15</v>
      </c>
      <c r="I42" s="685"/>
      <c r="J42" s="721">
        <f>G42+H42</f>
        <v>15</v>
      </c>
    </row>
    <row r="43" spans="1:10" ht="22.8">
      <c r="A43" s="719">
        <v>46067</v>
      </c>
      <c r="B43" s="685" t="s">
        <v>449</v>
      </c>
      <c r="C43" s="679" t="s">
        <v>404</v>
      </c>
      <c r="D43" s="687" t="s">
        <v>405</v>
      </c>
      <c r="E43" s="687"/>
      <c r="F43" s="686"/>
      <c r="G43" s="686"/>
      <c r="H43" s="686">
        <v>13</v>
      </c>
      <c r="I43" s="685"/>
      <c r="J43" s="721">
        <f t="shared" ref="J43:J44" si="11">H43</f>
        <v>13</v>
      </c>
    </row>
    <row r="44" spans="1:10" ht="22.8">
      <c r="A44" s="706">
        <v>46068</v>
      </c>
      <c r="B44" s="707" t="s">
        <v>450</v>
      </c>
      <c r="C44" s="708"/>
      <c r="D44" s="711"/>
      <c r="E44" s="716"/>
      <c r="F44" s="715"/>
      <c r="G44" s="715"/>
      <c r="H44" s="715"/>
      <c r="I44" s="725"/>
      <c r="J44" s="717">
        <f t="shared" si="11"/>
        <v>0</v>
      </c>
    </row>
    <row r="45" spans="1:10" ht="22.8">
      <c r="A45" s="719">
        <v>46069</v>
      </c>
      <c r="B45" s="685" t="s">
        <v>451</v>
      </c>
      <c r="C45" s="679" t="s">
        <v>410</v>
      </c>
      <c r="D45" s="687" t="s">
        <v>411</v>
      </c>
      <c r="E45" s="687"/>
      <c r="F45" s="686"/>
      <c r="G45" s="686"/>
      <c r="H45" s="686">
        <v>9</v>
      </c>
      <c r="I45" s="685"/>
      <c r="J45" s="721">
        <f>F45+H45</f>
        <v>9</v>
      </c>
    </row>
    <row r="46" spans="1:10" ht="22.8">
      <c r="A46" s="719">
        <v>46070</v>
      </c>
      <c r="B46" s="685" t="s">
        <v>453</v>
      </c>
      <c r="C46" s="679" t="s">
        <v>416</v>
      </c>
      <c r="D46" s="680" t="s">
        <v>417</v>
      </c>
      <c r="E46" s="680"/>
      <c r="F46" s="681"/>
      <c r="G46" s="681">
        <v>1</v>
      </c>
      <c r="H46" s="681">
        <v>5</v>
      </c>
      <c r="I46" s="685"/>
      <c r="J46" s="723">
        <f>G46+H46</f>
        <v>6</v>
      </c>
    </row>
    <row r="47" spans="1:10" ht="22.8">
      <c r="A47" s="719">
        <v>46071</v>
      </c>
      <c r="B47" s="685" t="s">
        <v>455</v>
      </c>
      <c r="C47" s="679" t="s">
        <v>422</v>
      </c>
      <c r="D47" s="687" t="s">
        <v>423</v>
      </c>
      <c r="E47" s="687"/>
      <c r="F47" s="686"/>
      <c r="G47" s="686"/>
      <c r="H47" s="686">
        <v>17</v>
      </c>
      <c r="I47" s="685"/>
      <c r="J47" s="721">
        <f t="shared" ref="J47:J52" si="12">SUM(E47:I47)</f>
        <v>17</v>
      </c>
    </row>
    <row r="48" spans="1:10" ht="22.8">
      <c r="A48" s="719">
        <v>46072</v>
      </c>
      <c r="B48" s="685" t="s">
        <v>457</v>
      </c>
      <c r="C48" s="679" t="s">
        <v>426</v>
      </c>
      <c r="D48" s="686" t="s">
        <v>427</v>
      </c>
      <c r="E48" s="680"/>
      <c r="F48" s="681"/>
      <c r="G48" s="681"/>
      <c r="H48" s="681">
        <v>14</v>
      </c>
      <c r="I48" s="685"/>
      <c r="J48" s="721">
        <f t="shared" si="12"/>
        <v>14</v>
      </c>
    </row>
    <row r="49" spans="1:10" ht="22.8">
      <c r="A49" s="719">
        <v>46073</v>
      </c>
      <c r="B49" s="685" t="s">
        <v>448</v>
      </c>
      <c r="C49" s="679" t="s">
        <v>430</v>
      </c>
      <c r="D49" s="680" t="s">
        <v>431</v>
      </c>
      <c r="E49" s="680"/>
      <c r="F49" s="681">
        <v>1</v>
      </c>
      <c r="G49" s="681"/>
      <c r="H49" s="681">
        <v>13</v>
      </c>
      <c r="I49" s="685"/>
      <c r="J49" s="721">
        <f t="shared" si="12"/>
        <v>14</v>
      </c>
    </row>
    <row r="50" spans="1:10" ht="22.8">
      <c r="A50" s="719">
        <v>46074</v>
      </c>
      <c r="B50" s="685" t="s">
        <v>449</v>
      </c>
      <c r="C50" s="679" t="s">
        <v>434</v>
      </c>
      <c r="D50" s="687" t="s">
        <v>435</v>
      </c>
      <c r="E50" s="687"/>
      <c r="F50" s="687"/>
      <c r="G50" s="685"/>
      <c r="H50" s="685">
        <v>11</v>
      </c>
      <c r="I50" s="685"/>
      <c r="J50" s="721">
        <f t="shared" si="12"/>
        <v>11</v>
      </c>
    </row>
    <row r="51" spans="1:10" ht="22.8">
      <c r="A51" s="706">
        <v>46075</v>
      </c>
      <c r="B51" s="707" t="s">
        <v>450</v>
      </c>
      <c r="C51" s="708"/>
      <c r="D51" s="709"/>
      <c r="E51" s="711"/>
      <c r="F51" s="711"/>
      <c r="G51" s="711"/>
      <c r="H51" s="711"/>
      <c r="I51" s="711"/>
      <c r="J51" s="717">
        <f t="shared" si="12"/>
        <v>0</v>
      </c>
    </row>
    <row r="52" spans="1:10" ht="22.8">
      <c r="A52" s="719">
        <v>46076</v>
      </c>
      <c r="B52" s="685" t="s">
        <v>451</v>
      </c>
      <c r="C52" s="679" t="s">
        <v>386</v>
      </c>
      <c r="D52" s="682" t="s">
        <v>387</v>
      </c>
      <c r="E52" s="683"/>
      <c r="F52" s="684"/>
      <c r="G52" s="684"/>
      <c r="H52" s="684">
        <v>12</v>
      </c>
      <c r="I52" s="685"/>
      <c r="J52" s="721">
        <f t="shared" si="12"/>
        <v>12</v>
      </c>
    </row>
    <row r="53" spans="1:10" ht="22.8">
      <c r="A53" s="719">
        <v>46077</v>
      </c>
      <c r="B53" s="685" t="s">
        <v>453</v>
      </c>
      <c r="C53" s="679" t="s">
        <v>392</v>
      </c>
      <c r="D53" s="687" t="s">
        <v>393</v>
      </c>
      <c r="E53" s="687"/>
      <c r="F53" s="686"/>
      <c r="G53" s="686"/>
      <c r="H53" s="686">
        <v>15</v>
      </c>
      <c r="I53" s="685"/>
      <c r="J53" s="723">
        <f>H53</f>
        <v>15</v>
      </c>
    </row>
    <row r="54" spans="1:10" ht="22.8">
      <c r="A54" s="719">
        <v>46078</v>
      </c>
      <c r="B54" s="685" t="s">
        <v>455</v>
      </c>
      <c r="C54" s="679" t="s">
        <v>398</v>
      </c>
      <c r="D54" s="687" t="s">
        <v>399</v>
      </c>
      <c r="E54" s="687"/>
      <c r="F54" s="686"/>
      <c r="G54" s="686"/>
      <c r="H54" s="686">
        <v>15</v>
      </c>
      <c r="I54" s="685"/>
      <c r="J54" s="721">
        <f>G54+H54</f>
        <v>15</v>
      </c>
    </row>
    <row r="55" spans="1:10" ht="22.8">
      <c r="A55" s="719">
        <v>46079</v>
      </c>
      <c r="B55" s="685" t="s">
        <v>457</v>
      </c>
      <c r="C55" s="679" t="s">
        <v>404</v>
      </c>
      <c r="D55" s="687" t="s">
        <v>405</v>
      </c>
      <c r="E55" s="687"/>
      <c r="F55" s="686"/>
      <c r="G55" s="686"/>
      <c r="H55" s="686">
        <v>13</v>
      </c>
      <c r="I55" s="685"/>
      <c r="J55" s="721">
        <f t="shared" ref="J55:J56" si="13">G55+H55</f>
        <v>13</v>
      </c>
    </row>
    <row r="56" spans="1:10" ht="22.8">
      <c r="A56" s="719">
        <v>46080</v>
      </c>
      <c r="B56" s="685" t="s">
        <v>448</v>
      </c>
      <c r="C56" s="679" t="s">
        <v>410</v>
      </c>
      <c r="D56" s="687" t="s">
        <v>411</v>
      </c>
      <c r="E56" s="687"/>
      <c r="F56" s="686"/>
      <c r="G56" s="686"/>
      <c r="H56" s="686">
        <v>9</v>
      </c>
      <c r="I56" s="685"/>
      <c r="J56" s="721">
        <f t="shared" si="13"/>
        <v>9</v>
      </c>
    </row>
    <row r="57" spans="1:10" ht="22.8">
      <c r="A57" s="719">
        <v>46081</v>
      </c>
      <c r="B57" s="685" t="s">
        <v>449</v>
      </c>
      <c r="C57" s="679" t="s">
        <v>416</v>
      </c>
      <c r="D57" s="680" t="s">
        <v>417</v>
      </c>
      <c r="E57" s="680"/>
      <c r="F57" s="681"/>
      <c r="G57" s="681">
        <v>1</v>
      </c>
      <c r="H57" s="681">
        <v>5</v>
      </c>
      <c r="I57" s="685"/>
      <c r="J57" s="721">
        <f>G57+H57</f>
        <v>6</v>
      </c>
    </row>
    <row r="58" spans="1:10" ht="22.8">
      <c r="A58" s="706">
        <v>46054</v>
      </c>
      <c r="B58" s="707" t="s">
        <v>450</v>
      </c>
      <c r="C58" s="707"/>
      <c r="D58" s="718"/>
      <c r="E58" s="711"/>
      <c r="F58" s="711"/>
      <c r="G58" s="711"/>
      <c r="H58" s="711"/>
      <c r="I58" s="711"/>
      <c r="J58" s="717">
        <f t="shared" ref="J58:J59" si="14">SUM(E58:I58)</f>
        <v>0</v>
      </c>
    </row>
    <row r="59" spans="1:10" ht="22.8">
      <c r="A59" s="719">
        <v>46055</v>
      </c>
      <c r="B59" s="685" t="s">
        <v>451</v>
      </c>
      <c r="C59" s="679" t="s">
        <v>388</v>
      </c>
      <c r="D59" s="686" t="s">
        <v>389</v>
      </c>
      <c r="E59" s="685"/>
      <c r="F59" s="685"/>
      <c r="G59" s="685"/>
      <c r="H59" s="685">
        <v>10</v>
      </c>
      <c r="I59" s="685"/>
      <c r="J59" s="721">
        <f t="shared" si="14"/>
        <v>10</v>
      </c>
    </row>
    <row r="60" spans="1:10" ht="22.8">
      <c r="A60" s="719">
        <v>46056</v>
      </c>
      <c r="B60" s="685" t="s">
        <v>453</v>
      </c>
      <c r="C60" s="679" t="s">
        <v>394</v>
      </c>
      <c r="D60" s="686" t="s">
        <v>395</v>
      </c>
      <c r="E60" s="685"/>
      <c r="F60" s="685"/>
      <c r="G60" s="685"/>
      <c r="H60" s="685">
        <v>10</v>
      </c>
      <c r="I60" s="685"/>
      <c r="J60" s="723">
        <f t="shared" ref="J60" si="15">SUM(J58:J59)</f>
        <v>10</v>
      </c>
    </row>
    <row r="61" spans="1:10" ht="22.8">
      <c r="A61" s="719">
        <v>46057</v>
      </c>
      <c r="B61" s="685" t="s">
        <v>455</v>
      </c>
      <c r="C61" s="679" t="s">
        <v>400</v>
      </c>
      <c r="D61" s="686" t="s">
        <v>401</v>
      </c>
      <c r="E61" s="685"/>
      <c r="F61" s="685"/>
      <c r="G61" s="685"/>
      <c r="H61" s="685">
        <v>13</v>
      </c>
      <c r="I61" s="685"/>
      <c r="J61" s="721">
        <f t="shared" ref="J61:J66" si="16">H61</f>
        <v>13</v>
      </c>
    </row>
    <row r="62" spans="1:10" ht="22.8">
      <c r="A62" s="719">
        <v>46058</v>
      </c>
      <c r="B62" s="685" t="s">
        <v>457</v>
      </c>
      <c r="C62" s="679" t="s">
        <v>406</v>
      </c>
      <c r="D62" s="686" t="s">
        <v>407</v>
      </c>
      <c r="E62" s="685"/>
      <c r="F62" s="685"/>
      <c r="G62" s="685"/>
      <c r="H62" s="679">
        <v>5</v>
      </c>
      <c r="I62" s="685"/>
      <c r="J62" s="721">
        <f t="shared" si="16"/>
        <v>5</v>
      </c>
    </row>
    <row r="63" spans="1:10" ht="22.8">
      <c r="A63" s="719">
        <v>46059</v>
      </c>
      <c r="B63" s="685" t="s">
        <v>448</v>
      </c>
      <c r="C63" s="679" t="s">
        <v>412</v>
      </c>
      <c r="D63" s="686" t="s">
        <v>413</v>
      </c>
      <c r="E63" s="685"/>
      <c r="F63" s="685"/>
      <c r="G63" s="685"/>
      <c r="H63" s="685">
        <v>6</v>
      </c>
      <c r="I63" s="685"/>
      <c r="J63" s="721">
        <f t="shared" si="16"/>
        <v>6</v>
      </c>
    </row>
    <row r="64" spans="1:10" ht="22.8">
      <c r="A64" s="719">
        <v>46060</v>
      </c>
      <c r="B64" s="685" t="s">
        <v>449</v>
      </c>
      <c r="C64" s="679" t="s">
        <v>418</v>
      </c>
      <c r="D64" s="686" t="s">
        <v>419</v>
      </c>
      <c r="E64" s="685"/>
      <c r="F64" s="685"/>
      <c r="G64" s="685"/>
      <c r="H64" s="685">
        <v>9</v>
      </c>
      <c r="I64" s="685"/>
      <c r="J64" s="721">
        <f t="shared" si="16"/>
        <v>9</v>
      </c>
    </row>
    <row r="65" spans="1:10" ht="22.8">
      <c r="A65" s="706">
        <v>46061</v>
      </c>
      <c r="B65" s="707" t="s">
        <v>450</v>
      </c>
      <c r="C65" s="708"/>
      <c r="D65" s="718"/>
      <c r="E65" s="707"/>
      <c r="F65" s="707"/>
      <c r="G65" s="707"/>
      <c r="H65" s="707"/>
      <c r="I65" s="707"/>
      <c r="J65" s="717">
        <f t="shared" si="16"/>
        <v>0</v>
      </c>
    </row>
    <row r="66" spans="1:10" ht="22.8">
      <c r="A66" s="719">
        <v>46062</v>
      </c>
      <c r="B66" s="685" t="s">
        <v>451</v>
      </c>
      <c r="C66" s="679" t="s">
        <v>388</v>
      </c>
      <c r="D66" s="686" t="s">
        <v>389</v>
      </c>
      <c r="E66" s="685"/>
      <c r="F66" s="685"/>
      <c r="G66" s="685"/>
      <c r="H66" s="685">
        <v>10</v>
      </c>
      <c r="I66" s="685"/>
      <c r="J66" s="721">
        <f t="shared" si="16"/>
        <v>10</v>
      </c>
    </row>
    <row r="67" spans="1:10" ht="22.8">
      <c r="A67" s="719">
        <v>46063</v>
      </c>
      <c r="B67" s="685" t="s">
        <v>453</v>
      </c>
      <c r="C67" s="679" t="s">
        <v>394</v>
      </c>
      <c r="D67" s="686" t="s">
        <v>395</v>
      </c>
      <c r="E67" s="685"/>
      <c r="F67" s="685"/>
      <c r="G67" s="685"/>
      <c r="H67" s="685">
        <v>10</v>
      </c>
      <c r="I67" s="685"/>
      <c r="J67" s="723">
        <f t="shared" ref="J67" si="17">SUM(J61:J66)</f>
        <v>43</v>
      </c>
    </row>
    <row r="68" spans="1:10" ht="22.8">
      <c r="A68" s="719">
        <v>46064</v>
      </c>
      <c r="B68" s="685" t="s">
        <v>455</v>
      </c>
      <c r="C68" s="679" t="s">
        <v>400</v>
      </c>
      <c r="D68" s="686" t="s">
        <v>401</v>
      </c>
      <c r="E68" s="685"/>
      <c r="F68" s="685"/>
      <c r="G68" s="685"/>
      <c r="H68" s="685">
        <v>13</v>
      </c>
      <c r="I68" s="685"/>
      <c r="J68" s="721">
        <f t="shared" ref="J68:J73" si="18">H68</f>
        <v>13</v>
      </c>
    </row>
    <row r="69" spans="1:10" ht="22.8">
      <c r="A69" s="719">
        <v>46065</v>
      </c>
      <c r="B69" s="685" t="s">
        <v>457</v>
      </c>
      <c r="C69" s="679" t="s">
        <v>406</v>
      </c>
      <c r="D69" s="686" t="s">
        <v>407</v>
      </c>
      <c r="E69" s="685"/>
      <c r="F69" s="685"/>
      <c r="G69" s="685"/>
      <c r="H69" s="679">
        <v>5</v>
      </c>
      <c r="I69" s="685"/>
      <c r="J69" s="721">
        <f t="shared" si="18"/>
        <v>5</v>
      </c>
    </row>
    <row r="70" spans="1:10" ht="22.8">
      <c r="A70" s="719">
        <v>46066</v>
      </c>
      <c r="B70" s="685" t="s">
        <v>448</v>
      </c>
      <c r="C70" s="679" t="s">
        <v>412</v>
      </c>
      <c r="D70" s="686" t="s">
        <v>413</v>
      </c>
      <c r="E70" s="685"/>
      <c r="F70" s="685"/>
      <c r="G70" s="685"/>
      <c r="H70" s="685">
        <v>6</v>
      </c>
      <c r="I70" s="685"/>
      <c r="J70" s="721">
        <f t="shared" si="18"/>
        <v>6</v>
      </c>
    </row>
    <row r="71" spans="1:10" ht="22.8">
      <c r="A71" s="719">
        <v>46067</v>
      </c>
      <c r="B71" s="685" t="s">
        <v>449</v>
      </c>
      <c r="C71" s="679" t="s">
        <v>418</v>
      </c>
      <c r="D71" s="686" t="s">
        <v>419</v>
      </c>
      <c r="E71" s="685"/>
      <c r="F71" s="685"/>
      <c r="G71" s="685"/>
      <c r="H71" s="685">
        <v>9</v>
      </c>
      <c r="I71" s="685"/>
      <c r="J71" s="721">
        <f t="shared" si="18"/>
        <v>9</v>
      </c>
    </row>
    <row r="72" spans="1:10" ht="22.8">
      <c r="A72" s="706">
        <v>46068</v>
      </c>
      <c r="B72" s="707" t="s">
        <v>450</v>
      </c>
      <c r="C72" s="708"/>
      <c r="D72" s="718"/>
      <c r="E72" s="707"/>
      <c r="F72" s="707"/>
      <c r="G72" s="707"/>
      <c r="H72" s="707"/>
      <c r="I72" s="707"/>
      <c r="J72" s="717">
        <f t="shared" si="18"/>
        <v>0</v>
      </c>
    </row>
    <row r="73" spans="1:10" ht="22.8">
      <c r="A73" s="719">
        <v>46069</v>
      </c>
      <c r="B73" s="685" t="s">
        <v>451</v>
      </c>
      <c r="C73" s="679" t="s">
        <v>388</v>
      </c>
      <c r="D73" s="686" t="s">
        <v>389</v>
      </c>
      <c r="E73" s="685"/>
      <c r="F73" s="685"/>
      <c r="G73" s="685"/>
      <c r="H73" s="685">
        <v>10</v>
      </c>
      <c r="I73" s="685"/>
      <c r="J73" s="721">
        <f t="shared" si="18"/>
        <v>10</v>
      </c>
    </row>
    <row r="74" spans="1:10" ht="22.8">
      <c r="A74" s="719">
        <v>46070</v>
      </c>
      <c r="B74" s="685" t="s">
        <v>453</v>
      </c>
      <c r="C74" s="679" t="s">
        <v>394</v>
      </c>
      <c r="D74" s="686" t="s">
        <v>395</v>
      </c>
      <c r="E74" s="685"/>
      <c r="F74" s="685"/>
      <c r="G74" s="685"/>
      <c r="H74" s="685">
        <v>10</v>
      </c>
      <c r="I74" s="685"/>
      <c r="J74" s="723">
        <f t="shared" ref="J74" si="19">SUM(J68:J73)</f>
        <v>43</v>
      </c>
    </row>
    <row r="75" spans="1:10" ht="22.8">
      <c r="A75" s="719">
        <v>46071</v>
      </c>
      <c r="B75" s="685" t="s">
        <v>455</v>
      </c>
      <c r="C75" s="679" t="s">
        <v>400</v>
      </c>
      <c r="D75" s="686" t="s">
        <v>401</v>
      </c>
      <c r="E75" s="685"/>
      <c r="F75" s="685"/>
      <c r="G75" s="685"/>
      <c r="H75" s="685">
        <v>13</v>
      </c>
      <c r="I75" s="685"/>
      <c r="J75" s="721">
        <f t="shared" ref="J75:J80" si="20">H75</f>
        <v>13</v>
      </c>
    </row>
    <row r="76" spans="1:10" ht="22.8">
      <c r="A76" s="719">
        <v>46072</v>
      </c>
      <c r="B76" s="685" t="s">
        <v>457</v>
      </c>
      <c r="C76" s="679" t="s">
        <v>406</v>
      </c>
      <c r="D76" s="686" t="s">
        <v>407</v>
      </c>
      <c r="E76" s="685"/>
      <c r="F76" s="685"/>
      <c r="G76" s="685"/>
      <c r="H76" s="679">
        <v>5</v>
      </c>
      <c r="I76" s="685"/>
      <c r="J76" s="721">
        <f t="shared" si="20"/>
        <v>5</v>
      </c>
    </row>
    <row r="77" spans="1:10" ht="22.8">
      <c r="A77" s="719">
        <v>46073</v>
      </c>
      <c r="B77" s="685" t="s">
        <v>448</v>
      </c>
      <c r="C77" s="679" t="s">
        <v>412</v>
      </c>
      <c r="D77" s="686" t="s">
        <v>413</v>
      </c>
      <c r="E77" s="685"/>
      <c r="F77" s="685"/>
      <c r="G77" s="685"/>
      <c r="H77" s="685">
        <v>6</v>
      </c>
      <c r="I77" s="685"/>
      <c r="J77" s="721">
        <f t="shared" si="20"/>
        <v>6</v>
      </c>
    </row>
    <row r="78" spans="1:10" ht="22.8">
      <c r="A78" s="719">
        <v>46074</v>
      </c>
      <c r="B78" s="685" t="s">
        <v>449</v>
      </c>
      <c r="C78" s="679" t="s">
        <v>418</v>
      </c>
      <c r="D78" s="686" t="s">
        <v>419</v>
      </c>
      <c r="E78" s="685"/>
      <c r="F78" s="685"/>
      <c r="G78" s="685"/>
      <c r="H78" s="685">
        <v>9</v>
      </c>
      <c r="I78" s="685"/>
      <c r="J78" s="721">
        <f t="shared" si="20"/>
        <v>9</v>
      </c>
    </row>
    <row r="79" spans="1:10" ht="22.8">
      <c r="A79" s="706">
        <v>46075</v>
      </c>
      <c r="B79" s="707" t="s">
        <v>450</v>
      </c>
      <c r="C79" s="708"/>
      <c r="D79" s="718"/>
      <c r="E79" s="707"/>
      <c r="F79" s="707"/>
      <c r="G79" s="707"/>
      <c r="H79" s="707"/>
      <c r="I79" s="707"/>
      <c r="J79" s="717">
        <f t="shared" si="20"/>
        <v>0</v>
      </c>
    </row>
    <row r="80" spans="1:10" ht="22.8">
      <c r="A80" s="719">
        <v>46076</v>
      </c>
      <c r="B80" s="685" t="s">
        <v>451</v>
      </c>
      <c r="C80" s="679" t="s">
        <v>388</v>
      </c>
      <c r="D80" s="686" t="s">
        <v>389</v>
      </c>
      <c r="E80" s="685"/>
      <c r="F80" s="685"/>
      <c r="G80" s="685"/>
      <c r="H80" s="685">
        <v>10</v>
      </c>
      <c r="I80" s="685"/>
      <c r="J80" s="721">
        <f t="shared" si="20"/>
        <v>10</v>
      </c>
    </row>
    <row r="81" spans="1:10" ht="22.8">
      <c r="A81" s="719">
        <v>46077</v>
      </c>
      <c r="B81" s="685" t="s">
        <v>453</v>
      </c>
      <c r="C81" s="679" t="s">
        <v>394</v>
      </c>
      <c r="D81" s="686" t="s">
        <v>395</v>
      </c>
      <c r="E81" s="685"/>
      <c r="F81" s="685"/>
      <c r="G81" s="685"/>
      <c r="H81" s="685">
        <v>10</v>
      </c>
      <c r="I81" s="685"/>
      <c r="J81" s="723">
        <f t="shared" ref="J81" si="21">SUM(J75:J80)</f>
        <v>43</v>
      </c>
    </row>
    <row r="82" spans="1:10" ht="22.8">
      <c r="A82" s="719">
        <v>46078</v>
      </c>
      <c r="B82" s="685" t="s">
        <v>455</v>
      </c>
      <c r="C82" s="679" t="s">
        <v>400</v>
      </c>
      <c r="D82" s="686" t="s">
        <v>401</v>
      </c>
      <c r="E82" s="685"/>
      <c r="F82" s="685"/>
      <c r="G82" s="685"/>
      <c r="H82" s="685">
        <v>13</v>
      </c>
      <c r="I82" s="685"/>
      <c r="J82" s="721">
        <f t="shared" ref="J82:J85" si="22">H82</f>
        <v>13</v>
      </c>
    </row>
    <row r="83" spans="1:10" ht="22.8">
      <c r="A83" s="719">
        <v>46079</v>
      </c>
      <c r="B83" s="685" t="s">
        <v>457</v>
      </c>
      <c r="C83" s="679" t="s">
        <v>406</v>
      </c>
      <c r="D83" s="686" t="s">
        <v>407</v>
      </c>
      <c r="E83" s="685"/>
      <c r="F83" s="685"/>
      <c r="G83" s="685"/>
      <c r="H83" s="679">
        <v>5</v>
      </c>
      <c r="I83" s="685"/>
      <c r="J83" s="721">
        <f t="shared" si="22"/>
        <v>5</v>
      </c>
    </row>
    <row r="84" spans="1:10" ht="22.8">
      <c r="A84" s="719">
        <v>46080</v>
      </c>
      <c r="B84" s="685" t="s">
        <v>448</v>
      </c>
      <c r="C84" s="679" t="s">
        <v>412</v>
      </c>
      <c r="D84" s="686" t="s">
        <v>413</v>
      </c>
      <c r="E84" s="685"/>
      <c r="F84" s="685"/>
      <c r="G84" s="685"/>
      <c r="H84" s="685">
        <v>6</v>
      </c>
      <c r="I84" s="685"/>
      <c r="J84" s="721">
        <f t="shared" si="22"/>
        <v>6</v>
      </c>
    </row>
    <row r="85" spans="1:10" ht="22.8">
      <c r="A85" s="719">
        <v>46081</v>
      </c>
      <c r="B85" s="685" t="s">
        <v>449</v>
      </c>
      <c r="C85" s="679" t="s">
        <v>418</v>
      </c>
      <c r="D85" s="686" t="s">
        <v>419</v>
      </c>
      <c r="E85" s="685"/>
      <c r="F85" s="685"/>
      <c r="G85" s="685"/>
      <c r="H85" s="685">
        <v>9</v>
      </c>
      <c r="I85" s="685"/>
      <c r="J85" s="721">
        <f t="shared" si="22"/>
        <v>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C68-170A-4CE1-9A99-5A6AB00129A2}">
  <sheetPr>
    <tabColor rgb="FFFF0000"/>
  </sheetPr>
  <dimension ref="A1:BM39"/>
  <sheetViews>
    <sheetView zoomScale="80" zoomScaleNormal="80" workbookViewId="0">
      <pane xSplit="4" ySplit="4" topLeftCell="E5" activePane="bottomRight" state="frozen"/>
      <selection activeCell="W20" sqref="W20"/>
      <selection pane="topRight" activeCell="W20" sqref="W20"/>
      <selection pane="bottomLeft" activeCell="W20" sqref="W20"/>
      <selection pane="bottomRight" activeCell="I1" sqref="I1"/>
    </sheetView>
  </sheetViews>
  <sheetFormatPr defaultColWidth="10.44140625" defaultRowHeight="19.8"/>
  <cols>
    <col min="1" max="1" width="15.44140625" style="767" customWidth="1"/>
    <col min="2" max="2" width="31.109375" style="767" customWidth="1"/>
    <col min="3" max="3" width="13.88671875" style="767" bestFit="1" customWidth="1"/>
    <col min="4" max="4" width="39.5546875" style="767" bestFit="1" customWidth="1"/>
    <col min="5" max="9" width="17" style="767" customWidth="1"/>
    <col min="10" max="10" width="10.6640625" style="767" customWidth="1"/>
    <col min="11" max="17" width="10.44140625" style="767" customWidth="1"/>
    <col min="18" max="19" width="10.44140625" style="767" hidden="1" customWidth="1"/>
    <col min="20" max="21" width="10.44140625" style="767" customWidth="1"/>
    <col min="22" max="23" width="8.6640625" style="767" customWidth="1"/>
    <col min="24" max="25" width="10.44140625" style="767" customWidth="1"/>
    <col min="26" max="27" width="12.33203125" style="767" customWidth="1"/>
    <col min="28" max="29" width="11.6640625" style="767" customWidth="1"/>
    <col min="30" max="31" width="11.88671875" style="767" customWidth="1"/>
    <col min="32" max="33" width="11.44140625" style="767" customWidth="1"/>
    <col min="34" max="45" width="10.44140625" style="767" customWidth="1"/>
    <col min="46" max="47" width="10.44140625" style="767" hidden="1" customWidth="1"/>
    <col min="48" max="53" width="10.44140625" style="767" customWidth="1"/>
    <col min="54" max="57" width="10.44140625" style="767" hidden="1" customWidth="1"/>
    <col min="58" max="59" width="12.109375" style="767" customWidth="1"/>
    <col min="60" max="61" width="12.44140625" style="767" customWidth="1"/>
    <col min="62" max="62" width="16.88671875" style="768" customWidth="1"/>
    <col min="63" max="63" width="16.33203125" style="768" customWidth="1"/>
    <col min="64" max="16384" width="10.44140625" style="767"/>
  </cols>
  <sheetData>
    <row r="1" spans="1:65" ht="30" customHeight="1" thickBot="1">
      <c r="A1" s="952" t="s">
        <v>1267</v>
      </c>
      <c r="B1" s="952"/>
    </row>
    <row r="2" spans="1:65" ht="69.75" customHeight="1">
      <c r="A2" s="769" t="s">
        <v>351</v>
      </c>
      <c r="B2" s="770" t="s">
        <v>352</v>
      </c>
      <c r="C2" s="770" t="s">
        <v>376</v>
      </c>
      <c r="D2" s="770" t="s">
        <v>1141</v>
      </c>
      <c r="E2" s="771" t="s">
        <v>1142</v>
      </c>
      <c r="F2" s="770" t="s">
        <v>1143</v>
      </c>
      <c r="G2" s="770" t="s">
        <v>1144</v>
      </c>
      <c r="H2" s="770" t="s">
        <v>1268</v>
      </c>
      <c r="I2" s="770" t="s">
        <v>1145</v>
      </c>
      <c r="J2" s="946" t="s">
        <v>1146</v>
      </c>
      <c r="K2" s="947"/>
      <c r="L2" s="946" t="s">
        <v>1147</v>
      </c>
      <c r="M2" s="947"/>
      <c r="N2" s="946" t="s">
        <v>1148</v>
      </c>
      <c r="O2" s="947"/>
      <c r="P2" s="946" t="s">
        <v>1149</v>
      </c>
      <c r="Q2" s="947"/>
      <c r="R2" s="946" t="s">
        <v>1150</v>
      </c>
      <c r="S2" s="947"/>
      <c r="T2" s="946" t="s">
        <v>1151</v>
      </c>
      <c r="U2" s="947"/>
      <c r="V2" s="946" t="s">
        <v>1152</v>
      </c>
      <c r="W2" s="947"/>
      <c r="X2" s="948" t="s">
        <v>1153</v>
      </c>
      <c r="Y2" s="949"/>
      <c r="Z2" s="946" t="s">
        <v>1154</v>
      </c>
      <c r="AA2" s="947"/>
      <c r="AB2" s="946" t="s">
        <v>1155</v>
      </c>
      <c r="AC2" s="947"/>
      <c r="AD2" s="946" t="s">
        <v>1156</v>
      </c>
      <c r="AE2" s="947"/>
      <c r="AF2" s="946" t="s">
        <v>1157</v>
      </c>
      <c r="AG2" s="947"/>
      <c r="AH2" s="946" t="s">
        <v>1158</v>
      </c>
      <c r="AI2" s="947"/>
      <c r="AJ2" s="946" t="s">
        <v>1269</v>
      </c>
      <c r="AK2" s="947"/>
      <c r="AL2" s="950" t="s">
        <v>1159</v>
      </c>
      <c r="AM2" s="951"/>
      <c r="AN2" s="950" t="s">
        <v>1160</v>
      </c>
      <c r="AO2" s="951"/>
      <c r="AP2" s="941" t="s">
        <v>1161</v>
      </c>
      <c r="AQ2" s="942"/>
      <c r="AR2" s="941" t="s">
        <v>1270</v>
      </c>
      <c r="AS2" s="942"/>
      <c r="AT2" s="941" t="s">
        <v>1162</v>
      </c>
      <c r="AU2" s="942"/>
      <c r="AV2" s="944" t="s">
        <v>1165</v>
      </c>
      <c r="AW2" s="945"/>
      <c r="AX2" s="941" t="s">
        <v>1164</v>
      </c>
      <c r="AY2" s="942"/>
      <c r="AZ2" s="941" t="s">
        <v>1271</v>
      </c>
      <c r="BA2" s="942"/>
      <c r="BB2" s="944" t="s">
        <v>1163</v>
      </c>
      <c r="BC2" s="945"/>
      <c r="BD2" s="941" t="s">
        <v>1166</v>
      </c>
      <c r="BE2" s="942"/>
      <c r="BF2" s="941" t="s">
        <v>1167</v>
      </c>
      <c r="BG2" s="942"/>
      <c r="BH2" s="941" t="s">
        <v>1168</v>
      </c>
      <c r="BI2" s="943"/>
      <c r="BJ2" s="941" t="s">
        <v>1169</v>
      </c>
      <c r="BK2" s="942"/>
      <c r="BL2" s="772" t="s">
        <v>128</v>
      </c>
      <c r="BM2" s="773" t="s">
        <v>128</v>
      </c>
    </row>
    <row r="3" spans="1:65" ht="24.6" customHeight="1">
      <c r="A3" s="774" t="s">
        <v>1170</v>
      </c>
      <c r="B3" s="775"/>
      <c r="C3" s="776"/>
      <c r="D3" s="776"/>
      <c r="E3" s="776"/>
      <c r="F3" s="776"/>
      <c r="G3" s="776"/>
      <c r="H3" s="776"/>
      <c r="I3" s="776"/>
      <c r="J3" s="777" t="s">
        <v>1171</v>
      </c>
      <c r="K3" s="777" t="s">
        <v>97</v>
      </c>
      <c r="L3" s="777" t="s">
        <v>1171</v>
      </c>
      <c r="M3" s="777" t="s">
        <v>97</v>
      </c>
      <c r="N3" s="777" t="s">
        <v>1171</v>
      </c>
      <c r="O3" s="777" t="s">
        <v>97</v>
      </c>
      <c r="P3" s="777" t="s">
        <v>1171</v>
      </c>
      <c r="Q3" s="777" t="s">
        <v>97</v>
      </c>
      <c r="R3" s="777" t="s">
        <v>1171</v>
      </c>
      <c r="S3" s="777" t="s">
        <v>97</v>
      </c>
      <c r="T3" s="777" t="s">
        <v>1171</v>
      </c>
      <c r="U3" s="777" t="s">
        <v>97</v>
      </c>
      <c r="V3" s="777" t="s">
        <v>1171</v>
      </c>
      <c r="W3" s="777" t="s">
        <v>97</v>
      </c>
      <c r="X3" s="777" t="s">
        <v>1171</v>
      </c>
      <c r="Y3" s="777" t="s">
        <v>97</v>
      </c>
      <c r="Z3" s="777" t="s">
        <v>1171</v>
      </c>
      <c r="AA3" s="777" t="s">
        <v>97</v>
      </c>
      <c r="AB3" s="777" t="s">
        <v>1171</v>
      </c>
      <c r="AC3" s="777" t="s">
        <v>97</v>
      </c>
      <c r="AD3" s="777" t="s">
        <v>1171</v>
      </c>
      <c r="AE3" s="777" t="s">
        <v>97</v>
      </c>
      <c r="AF3" s="777" t="s">
        <v>1171</v>
      </c>
      <c r="AG3" s="777" t="s">
        <v>97</v>
      </c>
      <c r="AH3" s="777" t="s">
        <v>1171</v>
      </c>
      <c r="AI3" s="777" t="s">
        <v>97</v>
      </c>
      <c r="AJ3" s="777" t="s">
        <v>1171</v>
      </c>
      <c r="AK3" s="777" t="s">
        <v>97</v>
      </c>
      <c r="AL3" s="777" t="s">
        <v>1171</v>
      </c>
      <c r="AM3" s="777" t="s">
        <v>97</v>
      </c>
      <c r="AN3" s="777" t="s">
        <v>1171</v>
      </c>
      <c r="AO3" s="777" t="s">
        <v>97</v>
      </c>
      <c r="AP3" s="777" t="s">
        <v>1171</v>
      </c>
      <c r="AQ3" s="777" t="s">
        <v>97</v>
      </c>
      <c r="AR3" s="777" t="s">
        <v>1171</v>
      </c>
      <c r="AS3" s="777" t="s">
        <v>97</v>
      </c>
      <c r="AT3" s="777" t="s">
        <v>1171</v>
      </c>
      <c r="AU3" s="777" t="s">
        <v>97</v>
      </c>
      <c r="AV3" s="777" t="s">
        <v>1171</v>
      </c>
      <c r="AW3" s="777" t="s">
        <v>97</v>
      </c>
      <c r="AX3" s="777" t="s">
        <v>1171</v>
      </c>
      <c r="AY3" s="777" t="s">
        <v>97</v>
      </c>
      <c r="AZ3" s="777" t="s">
        <v>1171</v>
      </c>
      <c r="BA3" s="777" t="s">
        <v>97</v>
      </c>
      <c r="BB3" s="777" t="s">
        <v>1171</v>
      </c>
      <c r="BC3" s="777" t="s">
        <v>97</v>
      </c>
      <c r="BD3" s="777" t="s">
        <v>1171</v>
      </c>
      <c r="BE3" s="777" t="s">
        <v>97</v>
      </c>
      <c r="BF3" s="777" t="s">
        <v>1171</v>
      </c>
      <c r="BG3" s="777" t="s">
        <v>97</v>
      </c>
      <c r="BH3" s="777" t="s">
        <v>1171</v>
      </c>
      <c r="BI3" s="777"/>
      <c r="BJ3" s="777" t="s">
        <v>1171</v>
      </c>
      <c r="BK3" s="777" t="s">
        <v>97</v>
      </c>
      <c r="BL3" s="777" t="s">
        <v>1171</v>
      </c>
      <c r="BM3" s="778" t="s">
        <v>97</v>
      </c>
    </row>
    <row r="4" spans="1:65" ht="20.100000000000001" customHeight="1">
      <c r="A4" s="779"/>
      <c r="B4" s="780"/>
      <c r="C4" s="765"/>
      <c r="D4" s="765"/>
      <c r="E4" s="765"/>
      <c r="F4" s="765"/>
      <c r="G4" s="765"/>
      <c r="H4" s="765"/>
      <c r="I4" s="765"/>
      <c r="J4" s="934">
        <v>14</v>
      </c>
      <c r="K4" s="936"/>
      <c r="L4" s="934">
        <v>14</v>
      </c>
      <c r="M4" s="936"/>
      <c r="N4" s="934">
        <v>14</v>
      </c>
      <c r="O4" s="936"/>
      <c r="P4" s="934">
        <v>24</v>
      </c>
      <c r="Q4" s="936"/>
      <c r="R4" s="934">
        <v>14</v>
      </c>
      <c r="S4" s="936"/>
      <c r="T4" s="934">
        <v>14</v>
      </c>
      <c r="U4" s="936"/>
      <c r="V4" s="934">
        <v>14</v>
      </c>
      <c r="W4" s="936"/>
      <c r="X4" s="934">
        <v>12</v>
      </c>
      <c r="Y4" s="936"/>
      <c r="Z4" s="934">
        <v>14</v>
      </c>
      <c r="AA4" s="936"/>
      <c r="AB4" s="781"/>
      <c r="AC4" s="781">
        <v>12</v>
      </c>
      <c r="AD4" s="934">
        <v>14</v>
      </c>
      <c r="AE4" s="936"/>
      <c r="AF4" s="934">
        <v>24</v>
      </c>
      <c r="AG4" s="936"/>
      <c r="AH4" s="934">
        <v>14</v>
      </c>
      <c r="AI4" s="936"/>
      <c r="AJ4" s="934">
        <v>12</v>
      </c>
      <c r="AK4" s="936"/>
      <c r="AL4" s="934">
        <v>12</v>
      </c>
      <c r="AM4" s="936"/>
      <c r="AN4" s="934">
        <v>12</v>
      </c>
      <c r="AO4" s="936"/>
      <c r="AP4" s="934">
        <v>24</v>
      </c>
      <c r="AQ4" s="936"/>
      <c r="AR4" s="934">
        <v>12</v>
      </c>
      <c r="AS4" s="936"/>
      <c r="AT4" s="934">
        <v>12</v>
      </c>
      <c r="AU4" s="936"/>
      <c r="AV4" s="934">
        <v>12</v>
      </c>
      <c r="AW4" s="936"/>
      <c r="AX4" s="934">
        <v>24</v>
      </c>
      <c r="AY4" s="936"/>
      <c r="AZ4" s="934">
        <v>12</v>
      </c>
      <c r="BA4" s="936"/>
      <c r="BB4" s="934">
        <v>20</v>
      </c>
      <c r="BC4" s="936"/>
      <c r="BD4" s="934">
        <v>12</v>
      </c>
      <c r="BE4" s="936"/>
      <c r="BF4" s="934">
        <v>24</v>
      </c>
      <c r="BG4" s="936"/>
      <c r="BH4" s="934">
        <v>24</v>
      </c>
      <c r="BI4" s="935"/>
      <c r="BJ4" s="934">
        <v>12</v>
      </c>
      <c r="BK4" s="936"/>
      <c r="BL4" s="781"/>
      <c r="BM4" s="782"/>
    </row>
    <row r="5" spans="1:65" ht="20.100000000000001" customHeight="1">
      <c r="A5" s="937" t="s">
        <v>1172</v>
      </c>
      <c r="B5" s="783" t="s">
        <v>226</v>
      </c>
      <c r="C5" s="784" t="s">
        <v>384</v>
      </c>
      <c r="D5" s="785" t="s">
        <v>385</v>
      </c>
      <c r="E5" s="756" t="s">
        <v>1173</v>
      </c>
      <c r="F5" s="756">
        <v>24</v>
      </c>
      <c r="G5" s="756">
        <v>24</v>
      </c>
      <c r="H5" s="756">
        <v>6</v>
      </c>
      <c r="I5" s="786">
        <v>0.25</v>
      </c>
      <c r="J5" s="787"/>
      <c r="K5" s="787"/>
      <c r="L5" s="787"/>
      <c r="M5" s="787"/>
      <c r="N5" s="787"/>
      <c r="O5" s="787"/>
      <c r="P5" s="787"/>
      <c r="Q5" s="787"/>
      <c r="R5" s="787"/>
      <c r="S5" s="787"/>
      <c r="T5" s="787"/>
      <c r="U5" s="787"/>
      <c r="V5" s="787"/>
      <c r="W5" s="787"/>
      <c r="X5" s="787"/>
      <c r="Y5" s="787">
        <f>80*12</f>
        <v>960</v>
      </c>
      <c r="Z5" s="787"/>
      <c r="AA5" s="787"/>
      <c r="AB5" s="787"/>
      <c r="AC5" s="787"/>
      <c r="AD5" s="787"/>
      <c r="AE5" s="787"/>
      <c r="AF5" s="788"/>
      <c r="AG5" s="787"/>
      <c r="AH5" s="787"/>
      <c r="AI5" s="787"/>
      <c r="AJ5" s="787"/>
      <c r="AK5" s="787"/>
      <c r="AL5" s="787"/>
      <c r="AM5" s="787"/>
      <c r="AN5" s="787"/>
      <c r="AO5" s="787">
        <f>5*12</f>
        <v>60</v>
      </c>
      <c r="AP5" s="787"/>
      <c r="AQ5" s="787"/>
      <c r="AR5" s="787"/>
      <c r="AS5" s="787"/>
      <c r="AT5" s="787"/>
      <c r="AU5" s="787"/>
      <c r="AV5" s="787"/>
      <c r="AW5" s="787"/>
      <c r="AX5" s="787"/>
      <c r="AY5" s="787"/>
      <c r="AZ5" s="787"/>
      <c r="BA5" s="787"/>
      <c r="BB5" s="787"/>
      <c r="BC5" s="787"/>
      <c r="BD5" s="787"/>
      <c r="BE5" s="787"/>
      <c r="BF5" s="787"/>
      <c r="BG5" s="789"/>
      <c r="BH5" s="789"/>
      <c r="BI5" s="789"/>
      <c r="BJ5" s="789"/>
      <c r="BK5" s="789"/>
      <c r="BL5" s="790">
        <f>BJ5+BH5+BF5+AZ5+AX5+AV5+AR5+AP5+AN5+AL5+AJ5+AH5+AF5+AD5+AB5+AB5+Z5+X5+V5+T5+P5+N5+L5+J5</f>
        <v>0</v>
      </c>
      <c r="BM5" s="791">
        <f>BK5+BI5+BG5+BA5+AY5+AW5+AS5+AQ5+AQ5+AO5+AM5+AK5+AI5+AG5+AE5+AC5+AA5+Y5+W5+U5+Q5+O5+M5+K5</f>
        <v>1020</v>
      </c>
    </row>
    <row r="6" spans="1:65" ht="20.100000000000001" customHeight="1">
      <c r="A6" s="938"/>
      <c r="B6" s="783" t="s">
        <v>522</v>
      </c>
      <c r="C6" s="784" t="s">
        <v>390</v>
      </c>
      <c r="D6" s="785" t="s">
        <v>391</v>
      </c>
      <c r="E6" s="756" t="s">
        <v>1173</v>
      </c>
      <c r="F6" s="756">
        <v>22</v>
      </c>
      <c r="G6" s="756">
        <v>22</v>
      </c>
      <c r="H6" s="756">
        <v>9</v>
      </c>
      <c r="I6" s="786">
        <v>0.41</v>
      </c>
      <c r="J6" s="787">
        <f>150*14</f>
        <v>2100</v>
      </c>
      <c r="K6" s="787"/>
      <c r="L6" s="787">
        <f>30*14</f>
        <v>420</v>
      </c>
      <c r="M6" s="787"/>
      <c r="N6" s="787"/>
      <c r="O6" s="787"/>
      <c r="P6" s="787"/>
      <c r="Q6" s="787"/>
      <c r="R6" s="787"/>
      <c r="S6" s="787"/>
      <c r="T6" s="787"/>
      <c r="U6" s="787"/>
      <c r="V6" s="787"/>
      <c r="W6" s="787"/>
      <c r="X6" s="787"/>
      <c r="Y6" s="787">
        <f>3*12</f>
        <v>36</v>
      </c>
      <c r="Z6" s="787"/>
      <c r="AA6" s="787"/>
      <c r="AB6" s="787"/>
      <c r="AC6" s="787"/>
      <c r="AD6" s="787"/>
      <c r="AE6" s="787"/>
      <c r="AF6" s="787">
        <f>5*24</f>
        <v>120</v>
      </c>
      <c r="AG6" s="787"/>
      <c r="AH6" s="787"/>
      <c r="AI6" s="787"/>
      <c r="AJ6" s="787"/>
      <c r="AK6" s="787"/>
      <c r="AL6" s="787"/>
      <c r="AM6" s="787"/>
      <c r="AN6" s="787"/>
      <c r="AO6" s="787">
        <f>15*12</f>
        <v>180</v>
      </c>
      <c r="AP6" s="787"/>
      <c r="AQ6" s="787">
        <f>5*24</f>
        <v>120</v>
      </c>
      <c r="AR6" s="787"/>
      <c r="AS6" s="787"/>
      <c r="AT6" s="787"/>
      <c r="AU6" s="787"/>
      <c r="AV6" s="787"/>
      <c r="AW6" s="787"/>
      <c r="AX6" s="787"/>
      <c r="AY6" s="787"/>
      <c r="AZ6" s="787"/>
      <c r="BA6" s="787"/>
      <c r="BB6" s="787"/>
      <c r="BC6" s="787"/>
      <c r="BD6" s="787"/>
      <c r="BE6" s="787"/>
      <c r="BF6" s="787"/>
      <c r="BG6" s="789"/>
      <c r="BH6" s="789"/>
      <c r="BI6" s="789"/>
      <c r="BJ6" s="789"/>
      <c r="BK6" s="789"/>
      <c r="BL6" s="790">
        <f t="shared" ref="BL6:BL15" si="0">BJ6+BH6+BF6+AZ6+AX6+AV6+AR6+AP6+AN6+AL6+AJ6+AH6+AF6+AD6+AB6+AB6+Z6+X6+V6+T6+P6+N6+L6+J6</f>
        <v>2640</v>
      </c>
      <c r="BM6" s="791">
        <f t="shared" ref="BM6:BM15" si="1">BK6+BI6+BG6+BA6+AY6+AW6+AS6+AQ6+AQ6+AO6+AM6+AK6+AI6+AG6+AE6+AC6+AA6+Y6+W6+U6+Q6+O6+M6+K6</f>
        <v>456</v>
      </c>
    </row>
    <row r="7" spans="1:65" ht="20.100000000000001" customHeight="1">
      <c r="A7" s="938"/>
      <c r="B7" s="783" t="s">
        <v>522</v>
      </c>
      <c r="C7" s="784" t="s">
        <v>396</v>
      </c>
      <c r="D7" s="785" t="s">
        <v>397</v>
      </c>
      <c r="E7" s="756" t="s">
        <v>1173</v>
      </c>
      <c r="F7" s="756">
        <v>32</v>
      </c>
      <c r="G7" s="756">
        <v>32</v>
      </c>
      <c r="H7" s="756">
        <v>11</v>
      </c>
      <c r="I7" s="786">
        <v>0.34</v>
      </c>
      <c r="J7" s="787">
        <f>64*14</f>
        <v>896</v>
      </c>
      <c r="K7" s="787"/>
      <c r="L7" s="787"/>
      <c r="M7" s="787"/>
      <c r="N7" s="787"/>
      <c r="O7" s="787"/>
      <c r="P7" s="787">
        <f>26*24</f>
        <v>624</v>
      </c>
      <c r="Q7" s="787"/>
      <c r="R7" s="787"/>
      <c r="S7" s="787"/>
      <c r="T7" s="787"/>
      <c r="U7" s="787"/>
      <c r="V7" s="787"/>
      <c r="W7" s="787"/>
      <c r="X7" s="787"/>
      <c r="Y7" s="787">
        <f>65*12</f>
        <v>780</v>
      </c>
      <c r="Z7" s="787"/>
      <c r="AA7" s="787"/>
      <c r="AB7" s="787"/>
      <c r="AC7" s="787"/>
      <c r="AD7" s="787"/>
      <c r="AE7" s="787"/>
      <c r="AF7" s="787">
        <f>18*24</f>
        <v>432</v>
      </c>
      <c r="AG7" s="787"/>
      <c r="AH7" s="787"/>
      <c r="AI7" s="787"/>
      <c r="AJ7" s="787"/>
      <c r="AK7" s="787"/>
      <c r="AL7" s="787"/>
      <c r="AM7" s="787"/>
      <c r="AN7" s="787"/>
      <c r="AO7" s="787"/>
      <c r="AP7" s="787"/>
      <c r="AQ7" s="787"/>
      <c r="AR7" s="787"/>
      <c r="AS7" s="787"/>
      <c r="AT7" s="787"/>
      <c r="AU7" s="787"/>
      <c r="AV7" s="787"/>
      <c r="AW7" s="787"/>
      <c r="AX7" s="787"/>
      <c r="AY7" s="787"/>
      <c r="AZ7" s="787"/>
      <c r="BA7" s="787"/>
      <c r="BB7" s="787"/>
      <c r="BC7" s="787"/>
      <c r="BD7" s="787"/>
      <c r="BE7" s="787"/>
      <c r="BF7" s="787"/>
      <c r="BG7" s="789"/>
      <c r="BH7" s="789"/>
      <c r="BI7" s="789"/>
      <c r="BJ7" s="789"/>
      <c r="BK7" s="789"/>
      <c r="BL7" s="790">
        <f t="shared" si="0"/>
        <v>1952</v>
      </c>
      <c r="BM7" s="791">
        <f t="shared" si="1"/>
        <v>780</v>
      </c>
    </row>
    <row r="8" spans="1:65" ht="20.100000000000001" customHeight="1">
      <c r="A8" s="938"/>
      <c r="B8" s="783" t="s">
        <v>229</v>
      </c>
      <c r="C8" s="784" t="s">
        <v>402</v>
      </c>
      <c r="D8" s="734" t="s">
        <v>403</v>
      </c>
      <c r="E8" s="756" t="s">
        <v>1174</v>
      </c>
      <c r="F8" s="756">
        <v>45</v>
      </c>
      <c r="G8" s="756">
        <v>45</v>
      </c>
      <c r="H8" s="756">
        <v>18</v>
      </c>
      <c r="I8" s="786">
        <v>0.24</v>
      </c>
      <c r="J8" s="787">
        <f>100*14</f>
        <v>1400</v>
      </c>
      <c r="K8" s="787"/>
      <c r="L8" s="787"/>
      <c r="M8" s="787"/>
      <c r="N8" s="787"/>
      <c r="O8" s="787"/>
      <c r="P8" s="787">
        <f>2*24</f>
        <v>48</v>
      </c>
      <c r="Q8" s="787"/>
      <c r="R8" s="787"/>
      <c r="S8" s="787"/>
      <c r="T8" s="787"/>
      <c r="U8" s="787"/>
      <c r="V8" s="787">
        <f>25*14</f>
        <v>350</v>
      </c>
      <c r="W8" s="787"/>
      <c r="X8" s="787"/>
      <c r="Y8" s="787">
        <f>68*12</f>
        <v>816</v>
      </c>
      <c r="Z8" s="787">
        <f>9*14</f>
        <v>126</v>
      </c>
      <c r="AA8" s="787"/>
      <c r="AB8" s="787"/>
      <c r="AC8" s="787"/>
      <c r="AD8" s="787"/>
      <c r="AE8" s="787"/>
      <c r="AF8" s="787">
        <f>2*24</f>
        <v>48</v>
      </c>
      <c r="AG8" s="787"/>
      <c r="AH8" s="787"/>
      <c r="AI8" s="787"/>
      <c r="AJ8" s="787">
        <f>75*12</f>
        <v>900</v>
      </c>
      <c r="AK8" s="787"/>
      <c r="AL8" s="787"/>
      <c r="AM8" s="787"/>
      <c r="AN8" s="787"/>
      <c r="AO8" s="787">
        <f>2*12</f>
        <v>24</v>
      </c>
      <c r="AP8" s="787"/>
      <c r="AQ8" s="787">
        <f>2*24</f>
        <v>48</v>
      </c>
      <c r="AR8" s="787"/>
      <c r="AS8" s="787"/>
      <c r="AT8" s="787"/>
      <c r="AU8" s="787"/>
      <c r="AV8" s="787"/>
      <c r="AW8" s="787">
        <f>10*12</f>
        <v>120</v>
      </c>
      <c r="AX8" s="787"/>
      <c r="AY8" s="787"/>
      <c r="AZ8" s="787"/>
      <c r="BA8" s="787">
        <f>10*12</f>
        <v>120</v>
      </c>
      <c r="BB8" s="787"/>
      <c r="BC8" s="787"/>
      <c r="BD8" s="787"/>
      <c r="BE8" s="787"/>
      <c r="BF8" s="787"/>
      <c r="BG8" s="789"/>
      <c r="BH8" s="789">
        <f>50*24</f>
        <v>1200</v>
      </c>
      <c r="BI8" s="789"/>
      <c r="BJ8" s="789"/>
      <c r="BK8" s="789"/>
      <c r="BL8" s="790">
        <f t="shared" si="0"/>
        <v>4072</v>
      </c>
      <c r="BM8" s="791">
        <f t="shared" si="1"/>
        <v>1176</v>
      </c>
    </row>
    <row r="9" spans="1:65" ht="20.100000000000001" customHeight="1">
      <c r="A9" s="938"/>
      <c r="B9" s="783" t="s">
        <v>241</v>
      </c>
      <c r="C9" s="784" t="s">
        <v>408</v>
      </c>
      <c r="D9" s="734" t="s">
        <v>409</v>
      </c>
      <c r="E9" s="756" t="s">
        <v>1174</v>
      </c>
      <c r="F9" s="756">
        <v>48</v>
      </c>
      <c r="G9" s="756">
        <v>48</v>
      </c>
      <c r="H9" s="756">
        <v>14</v>
      </c>
      <c r="I9" s="786">
        <v>0.28999999999999998</v>
      </c>
      <c r="J9" s="787"/>
      <c r="K9" s="787"/>
      <c r="L9" s="787"/>
      <c r="M9" s="787"/>
      <c r="N9" s="787"/>
      <c r="O9" s="787"/>
      <c r="P9" s="787"/>
      <c r="Q9" s="787"/>
      <c r="R9" s="787"/>
      <c r="S9" s="787"/>
      <c r="T9" s="787"/>
      <c r="U9" s="787"/>
      <c r="V9" s="787"/>
      <c r="W9" s="787"/>
      <c r="X9" s="787"/>
      <c r="Y9" s="787">
        <f>100*12</f>
        <v>1200</v>
      </c>
      <c r="Z9" s="787"/>
      <c r="AA9" s="787"/>
      <c r="AB9" s="787"/>
      <c r="AC9" s="787">
        <f>10*14</f>
        <v>140</v>
      </c>
      <c r="AD9" s="787"/>
      <c r="AE9" s="787"/>
      <c r="AF9" s="787"/>
      <c r="AG9" s="787"/>
      <c r="AH9" s="787"/>
      <c r="AI9" s="787"/>
      <c r="AJ9" s="787"/>
      <c r="AK9" s="787"/>
      <c r="AL9" s="787"/>
      <c r="AM9" s="787"/>
      <c r="AN9" s="787"/>
      <c r="AO9" s="787">
        <f>60*12</f>
        <v>720</v>
      </c>
      <c r="AP9" s="787"/>
      <c r="AQ9" s="787">
        <f>100*24</f>
        <v>2400</v>
      </c>
      <c r="AR9" s="787"/>
      <c r="AS9" s="787"/>
      <c r="AT9" s="787"/>
      <c r="AU9" s="787"/>
      <c r="AV9" s="787"/>
      <c r="AW9" s="787"/>
      <c r="AX9" s="787"/>
      <c r="AY9" s="787"/>
      <c r="AZ9" s="787"/>
      <c r="BA9" s="787"/>
      <c r="BB9" s="787"/>
      <c r="BC9" s="787"/>
      <c r="BD9" s="787"/>
      <c r="BE9" s="787"/>
      <c r="BF9" s="787"/>
      <c r="BG9" s="789"/>
      <c r="BH9" s="789">
        <f>30*24</f>
        <v>720</v>
      </c>
      <c r="BI9" s="789"/>
      <c r="BJ9" s="789"/>
      <c r="BK9" s="789"/>
      <c r="BL9" s="790">
        <f t="shared" si="0"/>
        <v>720</v>
      </c>
      <c r="BM9" s="791">
        <f t="shared" si="1"/>
        <v>6860</v>
      </c>
    </row>
    <row r="10" spans="1:65" ht="20.100000000000001" customHeight="1">
      <c r="A10" s="938"/>
      <c r="B10" s="783" t="s">
        <v>248</v>
      </c>
      <c r="C10" s="784" t="s">
        <v>414</v>
      </c>
      <c r="D10" s="734" t="s">
        <v>415</v>
      </c>
      <c r="E10" s="756" t="s">
        <v>1173</v>
      </c>
      <c r="F10" s="756">
        <v>26</v>
      </c>
      <c r="G10" s="756">
        <v>26</v>
      </c>
      <c r="H10" s="756">
        <v>12</v>
      </c>
      <c r="I10" s="786">
        <v>0.46</v>
      </c>
      <c r="J10" s="787"/>
      <c r="K10" s="787"/>
      <c r="L10" s="787"/>
      <c r="M10" s="787"/>
      <c r="N10" s="787"/>
      <c r="O10" s="787"/>
      <c r="P10" s="787">
        <f>20*24</f>
        <v>480</v>
      </c>
      <c r="Q10" s="787"/>
      <c r="R10" s="787"/>
      <c r="S10" s="787"/>
      <c r="T10" s="787"/>
      <c r="U10" s="787"/>
      <c r="V10" s="787">
        <f>25*14</f>
        <v>350</v>
      </c>
      <c r="W10" s="787"/>
      <c r="X10" s="787"/>
      <c r="Y10" s="787">
        <f>290*12</f>
        <v>3480</v>
      </c>
      <c r="Z10" s="787"/>
      <c r="AA10" s="787"/>
      <c r="AB10" s="787"/>
      <c r="AC10" s="787">
        <f>1*14</f>
        <v>14</v>
      </c>
      <c r="AD10" s="787"/>
      <c r="AE10" s="787"/>
      <c r="AF10" s="787">
        <f>8*24</f>
        <v>192</v>
      </c>
      <c r="AG10" s="787"/>
      <c r="AH10" s="787">
        <f>5*14</f>
        <v>70</v>
      </c>
      <c r="AI10" s="787"/>
      <c r="AJ10" s="787"/>
      <c r="AK10" s="787"/>
      <c r="AL10" s="787"/>
      <c r="AM10" s="787"/>
      <c r="AN10" s="787"/>
      <c r="AO10" s="787">
        <f>5*12</f>
        <v>60</v>
      </c>
      <c r="AP10" s="787"/>
      <c r="AQ10" s="787"/>
      <c r="AR10" s="787"/>
      <c r="AS10" s="787"/>
      <c r="AT10" s="787"/>
      <c r="AU10" s="787"/>
      <c r="AV10" s="787"/>
      <c r="AW10" s="787"/>
      <c r="AX10" s="787"/>
      <c r="AY10" s="787"/>
      <c r="AZ10" s="787"/>
      <c r="BA10" s="787"/>
      <c r="BB10" s="787"/>
      <c r="BC10" s="787"/>
      <c r="BD10" s="787"/>
      <c r="BE10" s="787"/>
      <c r="BF10" s="787"/>
      <c r="BG10" s="789"/>
      <c r="BH10" s="789"/>
      <c r="BI10" s="789"/>
      <c r="BJ10" s="789"/>
      <c r="BK10" s="789"/>
      <c r="BL10" s="790">
        <f t="shared" si="0"/>
        <v>1092</v>
      </c>
      <c r="BM10" s="791">
        <f t="shared" si="1"/>
        <v>3554</v>
      </c>
    </row>
    <row r="11" spans="1:65" ht="20.100000000000001" customHeight="1">
      <c r="A11" s="938"/>
      <c r="B11" s="783" t="s">
        <v>248</v>
      </c>
      <c r="C11" s="784" t="s">
        <v>420</v>
      </c>
      <c r="D11" s="734" t="s">
        <v>421</v>
      </c>
      <c r="E11" s="756" t="s">
        <v>1173</v>
      </c>
      <c r="F11" s="756">
        <v>22</v>
      </c>
      <c r="G11" s="756">
        <v>22</v>
      </c>
      <c r="H11" s="756">
        <v>13</v>
      </c>
      <c r="I11" s="786">
        <v>0.59</v>
      </c>
      <c r="J11" s="787"/>
      <c r="K11" s="787"/>
      <c r="L11" s="787"/>
      <c r="M11" s="787"/>
      <c r="N11" s="787"/>
      <c r="O11" s="787"/>
      <c r="P11" s="787"/>
      <c r="Q11" s="787"/>
      <c r="R11" s="787"/>
      <c r="S11" s="787"/>
      <c r="T11" s="787"/>
      <c r="U11" s="787"/>
      <c r="V11" s="787"/>
      <c r="W11" s="787"/>
      <c r="X11" s="787"/>
      <c r="Y11" s="787"/>
      <c r="Z11" s="787"/>
      <c r="AA11" s="787"/>
      <c r="AB11" s="787"/>
      <c r="AC11" s="787"/>
      <c r="AD11" s="787"/>
      <c r="AE11" s="787"/>
      <c r="AF11" s="787"/>
      <c r="AG11" s="787"/>
      <c r="AH11" s="787">
        <f>2*14</f>
        <v>28</v>
      </c>
      <c r="AI11" s="787"/>
      <c r="AJ11" s="787"/>
      <c r="AK11" s="787"/>
      <c r="AL11" s="787"/>
      <c r="AM11" s="787"/>
      <c r="AN11" s="787"/>
      <c r="AO11" s="787">
        <f>13*12</f>
        <v>156</v>
      </c>
      <c r="AP11" s="787"/>
      <c r="AQ11" s="787">
        <f>46*24</f>
        <v>1104</v>
      </c>
      <c r="AR11" s="787"/>
      <c r="AS11" s="787"/>
      <c r="AT11" s="787"/>
      <c r="AU11" s="787"/>
      <c r="AV11" s="787"/>
      <c r="AW11" s="787"/>
      <c r="AX11" s="787"/>
      <c r="AY11" s="787"/>
      <c r="AZ11" s="787"/>
      <c r="BA11" s="787"/>
      <c r="BB11" s="787"/>
      <c r="BC11" s="787"/>
      <c r="BD11" s="787"/>
      <c r="BE11" s="787"/>
      <c r="BF11" s="787"/>
      <c r="BG11" s="789"/>
      <c r="BH11" s="789"/>
      <c r="BI11" s="789"/>
      <c r="BJ11" s="789"/>
      <c r="BK11" s="789"/>
      <c r="BL11" s="790">
        <f t="shared" si="0"/>
        <v>28</v>
      </c>
      <c r="BM11" s="791">
        <f t="shared" si="1"/>
        <v>2364</v>
      </c>
    </row>
    <row r="12" spans="1:65" ht="20.100000000000001" customHeight="1">
      <c r="A12" s="938"/>
      <c r="B12" s="783" t="s">
        <v>248</v>
      </c>
      <c r="C12" s="784" t="s">
        <v>424</v>
      </c>
      <c r="D12" s="734" t="s">
        <v>425</v>
      </c>
      <c r="E12" s="756" t="s">
        <v>1173</v>
      </c>
      <c r="F12" s="756">
        <v>22</v>
      </c>
      <c r="G12" s="756">
        <v>22</v>
      </c>
      <c r="H12" s="756">
        <v>15</v>
      </c>
      <c r="I12" s="786">
        <v>0.68</v>
      </c>
      <c r="J12" s="787">
        <f>10*14</f>
        <v>140</v>
      </c>
      <c r="K12" s="787"/>
      <c r="L12" s="787"/>
      <c r="M12" s="787"/>
      <c r="N12" s="787"/>
      <c r="O12" s="787"/>
      <c r="P12" s="787">
        <f>13*24</f>
        <v>312</v>
      </c>
      <c r="Q12" s="787"/>
      <c r="R12" s="787"/>
      <c r="S12" s="787"/>
      <c r="T12" s="787"/>
      <c r="U12" s="787"/>
      <c r="V12" s="787"/>
      <c r="W12" s="787"/>
      <c r="X12" s="787"/>
      <c r="Y12" s="787"/>
      <c r="Z12" s="787">
        <f>11*142</f>
        <v>1562</v>
      </c>
      <c r="AA12" s="787"/>
      <c r="AB12" s="787"/>
      <c r="AC12" s="787"/>
      <c r="AD12" s="787"/>
      <c r="AE12" s="787"/>
      <c r="AF12" s="787"/>
      <c r="AG12" s="787"/>
      <c r="AH12" s="787">
        <f>3*14</f>
        <v>42</v>
      </c>
      <c r="AI12" s="787"/>
      <c r="AJ12" s="787"/>
      <c r="AK12" s="787"/>
      <c r="AL12" s="787"/>
      <c r="AM12" s="787"/>
      <c r="AN12" s="787"/>
      <c r="AO12" s="787">
        <f>5*12</f>
        <v>60</v>
      </c>
      <c r="AP12" s="787"/>
      <c r="AQ12" s="787">
        <f>4*24</f>
        <v>96</v>
      </c>
      <c r="AR12" s="787"/>
      <c r="AS12" s="787"/>
      <c r="AT12" s="787"/>
      <c r="AU12" s="787"/>
      <c r="AV12" s="787"/>
      <c r="AW12" s="787"/>
      <c r="AX12" s="787"/>
      <c r="AY12" s="787">
        <f>8*24</f>
        <v>192</v>
      </c>
      <c r="AZ12" s="787"/>
      <c r="BA12" s="787"/>
      <c r="BB12" s="787"/>
      <c r="BC12" s="787"/>
      <c r="BD12" s="787"/>
      <c r="BE12" s="787"/>
      <c r="BF12" s="787"/>
      <c r="BG12" s="789"/>
      <c r="BH12" s="789"/>
      <c r="BI12" s="789"/>
      <c r="BJ12" s="789"/>
      <c r="BK12" s="789"/>
      <c r="BL12" s="790">
        <f t="shared" si="0"/>
        <v>2056</v>
      </c>
      <c r="BM12" s="791">
        <f t="shared" si="1"/>
        <v>444</v>
      </c>
    </row>
    <row r="13" spans="1:65" ht="20.100000000000001" customHeight="1">
      <c r="A13" s="938"/>
      <c r="B13" s="783" t="s">
        <v>248</v>
      </c>
      <c r="C13" s="784" t="s">
        <v>428</v>
      </c>
      <c r="D13" s="734" t="s">
        <v>429</v>
      </c>
      <c r="E13" s="756" t="s">
        <v>1173</v>
      </c>
      <c r="F13" s="756">
        <v>18</v>
      </c>
      <c r="G13" s="756">
        <v>18</v>
      </c>
      <c r="H13" s="756">
        <v>10</v>
      </c>
      <c r="I13" s="786">
        <v>0.56000000000000005</v>
      </c>
      <c r="J13" s="787"/>
      <c r="K13" s="787"/>
      <c r="L13" s="787"/>
      <c r="M13" s="787"/>
      <c r="N13" s="787"/>
      <c r="O13" s="787"/>
      <c r="P13" s="787">
        <f>25*24</f>
        <v>600</v>
      </c>
      <c r="Q13" s="787"/>
      <c r="R13" s="787"/>
      <c r="S13" s="787"/>
      <c r="T13" s="787"/>
      <c r="U13" s="787"/>
      <c r="V13" s="787"/>
      <c r="W13" s="787"/>
      <c r="X13" s="787"/>
      <c r="Y13" s="787">
        <f>250*12</f>
        <v>3000</v>
      </c>
      <c r="Z13" s="787">
        <f>5*14</f>
        <v>70</v>
      </c>
      <c r="AA13" s="787"/>
      <c r="AB13" s="787"/>
      <c r="AC13" s="787"/>
      <c r="AD13" s="787"/>
      <c r="AE13" s="787"/>
      <c r="AF13" s="787">
        <f>5*24</f>
        <v>120</v>
      </c>
      <c r="AG13" s="787"/>
      <c r="AH13" s="787"/>
      <c r="AI13" s="787"/>
      <c r="AJ13" s="787"/>
      <c r="AK13" s="787"/>
      <c r="AL13" s="787"/>
      <c r="AM13" s="787"/>
      <c r="AN13" s="787"/>
      <c r="AO13" s="787"/>
      <c r="AP13" s="787"/>
      <c r="AQ13" s="787"/>
      <c r="AR13" s="787"/>
      <c r="AS13" s="787"/>
      <c r="AT13" s="787"/>
      <c r="AU13" s="787"/>
      <c r="AV13" s="787"/>
      <c r="AW13" s="787"/>
      <c r="AX13" s="787"/>
      <c r="AY13" s="787"/>
      <c r="AZ13" s="787"/>
      <c r="BA13" s="787"/>
      <c r="BB13" s="787"/>
      <c r="BC13" s="787"/>
      <c r="BD13" s="787"/>
      <c r="BE13" s="787"/>
      <c r="BF13" s="787"/>
      <c r="BG13" s="789"/>
      <c r="BH13" s="789"/>
      <c r="BI13" s="789"/>
      <c r="BJ13" s="789"/>
      <c r="BK13" s="789"/>
      <c r="BL13" s="790">
        <f t="shared" si="0"/>
        <v>790</v>
      </c>
      <c r="BM13" s="791">
        <f t="shared" si="1"/>
        <v>3000</v>
      </c>
    </row>
    <row r="14" spans="1:65" ht="20.100000000000001" customHeight="1">
      <c r="A14" s="938"/>
      <c r="B14" s="783" t="s">
        <v>229</v>
      </c>
      <c r="C14" s="784" t="s">
        <v>432</v>
      </c>
      <c r="D14" s="785" t="s">
        <v>433</v>
      </c>
      <c r="E14" s="756" t="s">
        <v>1173</v>
      </c>
      <c r="F14" s="756">
        <v>20</v>
      </c>
      <c r="G14" s="756">
        <v>20</v>
      </c>
      <c r="H14" s="756">
        <v>12</v>
      </c>
      <c r="I14" s="786">
        <v>0.6</v>
      </c>
      <c r="J14" s="787">
        <v>980</v>
      </c>
      <c r="K14" s="787"/>
      <c r="L14" s="787">
        <v>700</v>
      </c>
      <c r="M14" s="787"/>
      <c r="N14" s="787"/>
      <c r="O14" s="787"/>
      <c r="P14" s="787">
        <f>12*24</f>
        <v>288</v>
      </c>
      <c r="Q14" s="787"/>
      <c r="R14" s="787"/>
      <c r="S14" s="787"/>
      <c r="T14" s="787"/>
      <c r="U14" s="787"/>
      <c r="V14" s="787"/>
      <c r="W14" s="787"/>
      <c r="X14" s="787"/>
      <c r="Y14" s="787">
        <f>60*12</f>
        <v>720</v>
      </c>
      <c r="Z14" s="787"/>
      <c r="AA14" s="787"/>
      <c r="AB14" s="787"/>
      <c r="AC14" s="787"/>
      <c r="AD14" s="787"/>
      <c r="AE14" s="787"/>
      <c r="AF14" s="787"/>
      <c r="AG14" s="787"/>
      <c r="AH14" s="787"/>
      <c r="AI14" s="787"/>
      <c r="AJ14" s="787"/>
      <c r="AK14" s="787"/>
      <c r="AL14" s="787"/>
      <c r="AM14" s="787"/>
      <c r="AN14" s="787"/>
      <c r="AO14" s="787">
        <v>361</v>
      </c>
      <c r="AP14" s="787"/>
      <c r="AQ14" s="787"/>
      <c r="AR14" s="787"/>
      <c r="AS14" s="787"/>
      <c r="AT14" s="787"/>
      <c r="AU14" s="787"/>
      <c r="AV14" s="787"/>
      <c r="AW14" s="787"/>
      <c r="AX14" s="787"/>
      <c r="AY14" s="787"/>
      <c r="AZ14" s="787"/>
      <c r="BA14" s="787"/>
      <c r="BB14" s="787"/>
      <c r="BC14" s="787"/>
      <c r="BD14" s="787"/>
      <c r="BE14" s="787"/>
      <c r="BF14" s="787"/>
      <c r="BG14" s="789"/>
      <c r="BH14" s="789"/>
      <c r="BI14" s="789"/>
      <c r="BJ14" s="789"/>
      <c r="BK14" s="789"/>
      <c r="BL14" s="790">
        <f t="shared" si="0"/>
        <v>1968</v>
      </c>
      <c r="BM14" s="791">
        <f t="shared" si="1"/>
        <v>1081</v>
      </c>
    </row>
    <row r="15" spans="1:65" ht="20.100000000000001" customHeight="1">
      <c r="A15" s="939"/>
      <c r="B15" s="783" t="s">
        <v>241</v>
      </c>
      <c r="C15" s="784" t="s">
        <v>436</v>
      </c>
      <c r="D15" s="734" t="s">
        <v>437</v>
      </c>
      <c r="E15" s="756" t="s">
        <v>1173</v>
      </c>
      <c r="F15" s="756">
        <v>26</v>
      </c>
      <c r="G15" s="756">
        <v>26</v>
      </c>
      <c r="H15" s="756">
        <v>11</v>
      </c>
      <c r="I15" s="786">
        <v>0.42</v>
      </c>
      <c r="J15" s="787">
        <v>1260</v>
      </c>
      <c r="K15" s="787"/>
      <c r="L15" s="787">
        <f>10*14</f>
        <v>140</v>
      </c>
      <c r="M15" s="787"/>
      <c r="N15" s="787"/>
      <c r="O15" s="787"/>
      <c r="P15" s="787"/>
      <c r="Q15" s="787"/>
      <c r="R15" s="787"/>
      <c r="S15" s="787"/>
      <c r="T15" s="787"/>
      <c r="U15" s="787"/>
      <c r="V15" s="787"/>
      <c r="W15" s="787"/>
      <c r="X15" s="787"/>
      <c r="Y15" s="787"/>
      <c r="Z15" s="787"/>
      <c r="AA15" s="787"/>
      <c r="AB15" s="787"/>
      <c r="AC15" s="787"/>
      <c r="AD15" s="787"/>
      <c r="AE15" s="787"/>
      <c r="AF15" s="787">
        <f>4*24</f>
        <v>96</v>
      </c>
      <c r="AG15" s="787"/>
      <c r="AH15" s="787"/>
      <c r="AI15" s="787"/>
      <c r="AJ15" s="787"/>
      <c r="AK15" s="787"/>
      <c r="AL15" s="787"/>
      <c r="AM15" s="787"/>
      <c r="AN15" s="787"/>
      <c r="AO15" s="787"/>
      <c r="AP15" s="787"/>
      <c r="AQ15" s="787">
        <f>30*24</f>
        <v>720</v>
      </c>
      <c r="AR15" s="787"/>
      <c r="AS15" s="787"/>
      <c r="AT15" s="787"/>
      <c r="AU15" s="787"/>
      <c r="AV15" s="787"/>
      <c r="AW15" s="787"/>
      <c r="AX15" s="787"/>
      <c r="AY15" s="787">
        <f>10*24</f>
        <v>240</v>
      </c>
      <c r="AZ15" s="787"/>
      <c r="BA15" s="787"/>
      <c r="BB15" s="787"/>
      <c r="BC15" s="787"/>
      <c r="BD15" s="787"/>
      <c r="BE15" s="787"/>
      <c r="BF15" s="787"/>
      <c r="BG15" s="789"/>
      <c r="BH15" s="789"/>
      <c r="BI15" s="789"/>
      <c r="BJ15" s="789"/>
      <c r="BK15" s="789"/>
      <c r="BL15" s="790">
        <f t="shared" si="0"/>
        <v>1496</v>
      </c>
      <c r="BM15" s="791">
        <f t="shared" si="1"/>
        <v>1680</v>
      </c>
    </row>
    <row r="16" spans="1:65" ht="19.95" customHeight="1">
      <c r="A16" s="792"/>
      <c r="B16" s="793"/>
      <c r="C16" s="794"/>
      <c r="D16" s="793"/>
      <c r="E16" s="794"/>
      <c r="F16" s="795">
        <f>SUM(F5:F15)</f>
        <v>305</v>
      </c>
      <c r="G16" s="795">
        <f>SUM(G5:G15)</f>
        <v>305</v>
      </c>
      <c r="H16" s="795">
        <f>SUM(H5:H15)</f>
        <v>131</v>
      </c>
      <c r="I16" s="796">
        <v>0.43</v>
      </c>
      <c r="J16" s="797">
        <f>SUM(J5:J15)</f>
        <v>6776</v>
      </c>
      <c r="K16" s="797">
        <f t="shared" ref="K16:BM16" si="2">SUM(K5:K15)</f>
        <v>0</v>
      </c>
      <c r="L16" s="797">
        <f t="shared" si="2"/>
        <v>1260</v>
      </c>
      <c r="M16" s="797">
        <f t="shared" si="2"/>
        <v>0</v>
      </c>
      <c r="N16" s="797">
        <f t="shared" si="2"/>
        <v>0</v>
      </c>
      <c r="O16" s="797">
        <f t="shared" si="2"/>
        <v>0</v>
      </c>
      <c r="P16" s="797">
        <f t="shared" si="2"/>
        <v>2352</v>
      </c>
      <c r="Q16" s="797">
        <f t="shared" si="2"/>
        <v>0</v>
      </c>
      <c r="R16" s="797">
        <f t="shared" si="2"/>
        <v>0</v>
      </c>
      <c r="S16" s="797">
        <f t="shared" si="2"/>
        <v>0</v>
      </c>
      <c r="T16" s="797">
        <f t="shared" si="2"/>
        <v>0</v>
      </c>
      <c r="U16" s="797">
        <f t="shared" si="2"/>
        <v>0</v>
      </c>
      <c r="V16" s="797">
        <f t="shared" si="2"/>
        <v>700</v>
      </c>
      <c r="W16" s="797">
        <f t="shared" si="2"/>
        <v>0</v>
      </c>
      <c r="X16" s="797">
        <f t="shared" si="2"/>
        <v>0</v>
      </c>
      <c r="Y16" s="797">
        <f t="shared" si="2"/>
        <v>10992</v>
      </c>
      <c r="Z16" s="797">
        <f t="shared" si="2"/>
        <v>1758</v>
      </c>
      <c r="AA16" s="797">
        <f t="shared" si="2"/>
        <v>0</v>
      </c>
      <c r="AB16" s="797">
        <f t="shared" si="2"/>
        <v>0</v>
      </c>
      <c r="AC16" s="797">
        <f t="shared" si="2"/>
        <v>154</v>
      </c>
      <c r="AD16" s="797">
        <f t="shared" si="2"/>
        <v>0</v>
      </c>
      <c r="AE16" s="797">
        <f t="shared" si="2"/>
        <v>0</v>
      </c>
      <c r="AF16" s="797">
        <f t="shared" si="2"/>
        <v>1008</v>
      </c>
      <c r="AG16" s="797">
        <f t="shared" si="2"/>
        <v>0</v>
      </c>
      <c r="AH16" s="797">
        <f t="shared" si="2"/>
        <v>140</v>
      </c>
      <c r="AI16" s="797">
        <f t="shared" si="2"/>
        <v>0</v>
      </c>
      <c r="AJ16" s="797">
        <f t="shared" si="2"/>
        <v>900</v>
      </c>
      <c r="AK16" s="797">
        <f t="shared" si="2"/>
        <v>0</v>
      </c>
      <c r="AL16" s="797">
        <f t="shared" si="2"/>
        <v>0</v>
      </c>
      <c r="AM16" s="797">
        <f t="shared" si="2"/>
        <v>0</v>
      </c>
      <c r="AN16" s="797">
        <f t="shared" si="2"/>
        <v>0</v>
      </c>
      <c r="AO16" s="797">
        <f t="shared" si="2"/>
        <v>1621</v>
      </c>
      <c r="AP16" s="797">
        <f t="shared" si="2"/>
        <v>0</v>
      </c>
      <c r="AQ16" s="797">
        <f t="shared" si="2"/>
        <v>4488</v>
      </c>
      <c r="AR16" s="797">
        <f t="shared" si="2"/>
        <v>0</v>
      </c>
      <c r="AS16" s="797">
        <f t="shared" si="2"/>
        <v>0</v>
      </c>
      <c r="AT16" s="797">
        <f t="shared" si="2"/>
        <v>0</v>
      </c>
      <c r="AU16" s="797">
        <f t="shared" si="2"/>
        <v>0</v>
      </c>
      <c r="AV16" s="797">
        <f t="shared" si="2"/>
        <v>0</v>
      </c>
      <c r="AW16" s="797">
        <f t="shared" si="2"/>
        <v>120</v>
      </c>
      <c r="AX16" s="797">
        <f t="shared" si="2"/>
        <v>0</v>
      </c>
      <c r="AY16" s="797">
        <f t="shared" si="2"/>
        <v>432</v>
      </c>
      <c r="AZ16" s="797">
        <f t="shared" si="2"/>
        <v>0</v>
      </c>
      <c r="BA16" s="797">
        <f t="shared" si="2"/>
        <v>120</v>
      </c>
      <c r="BB16" s="797">
        <f t="shared" si="2"/>
        <v>0</v>
      </c>
      <c r="BC16" s="797">
        <f t="shared" si="2"/>
        <v>0</v>
      </c>
      <c r="BD16" s="797">
        <f t="shared" si="2"/>
        <v>0</v>
      </c>
      <c r="BE16" s="797">
        <f t="shared" si="2"/>
        <v>0</v>
      </c>
      <c r="BF16" s="797">
        <f t="shared" si="2"/>
        <v>0</v>
      </c>
      <c r="BG16" s="797">
        <f t="shared" si="2"/>
        <v>0</v>
      </c>
      <c r="BH16" s="797">
        <f t="shared" si="2"/>
        <v>1920</v>
      </c>
      <c r="BI16" s="797">
        <f t="shared" si="2"/>
        <v>0</v>
      </c>
      <c r="BJ16" s="797">
        <f t="shared" si="2"/>
        <v>0</v>
      </c>
      <c r="BK16" s="797">
        <f t="shared" si="2"/>
        <v>0</v>
      </c>
      <c r="BL16" s="797">
        <f t="shared" si="2"/>
        <v>16814</v>
      </c>
      <c r="BM16" s="797">
        <f t="shared" si="2"/>
        <v>22415</v>
      </c>
    </row>
    <row r="17" spans="1:65" ht="19.95" customHeight="1">
      <c r="A17" s="940" t="s">
        <v>320</v>
      </c>
      <c r="B17" s="783" t="s">
        <v>226</v>
      </c>
      <c r="C17" s="784" t="s">
        <v>386</v>
      </c>
      <c r="D17" s="798" t="s">
        <v>387</v>
      </c>
      <c r="E17" s="765" t="s">
        <v>1173</v>
      </c>
      <c r="F17" s="799">
        <v>24</v>
      </c>
      <c r="G17" s="799">
        <v>24</v>
      </c>
      <c r="H17" s="799">
        <v>10</v>
      </c>
      <c r="I17" s="800">
        <v>0.42</v>
      </c>
      <c r="J17" s="787"/>
      <c r="K17" s="801"/>
      <c r="L17" s="801"/>
      <c r="M17" s="801"/>
      <c r="N17" s="801">
        <f>5*14</f>
        <v>70</v>
      </c>
      <c r="O17" s="801"/>
      <c r="P17" s="801">
        <f>7*24</f>
        <v>168</v>
      </c>
      <c r="Q17" s="801"/>
      <c r="R17" s="801"/>
      <c r="S17" s="801"/>
      <c r="T17" s="801"/>
      <c r="U17" s="801"/>
      <c r="V17" s="801">
        <v>14</v>
      </c>
      <c r="W17" s="801"/>
      <c r="X17" s="801"/>
      <c r="Y17" s="801">
        <v>13</v>
      </c>
      <c r="Z17" s="801">
        <v>28</v>
      </c>
      <c r="AA17" s="801"/>
      <c r="AB17" s="801"/>
      <c r="AC17" s="801"/>
      <c r="AD17" s="801"/>
      <c r="AE17" s="801"/>
      <c r="AF17" s="801">
        <v>12</v>
      </c>
      <c r="AG17" s="801"/>
      <c r="AH17" s="801">
        <f>133*14</f>
        <v>1862</v>
      </c>
      <c r="AI17" s="801"/>
      <c r="AJ17" s="801"/>
      <c r="AK17" s="801"/>
      <c r="AL17" s="801"/>
      <c r="AM17" s="801"/>
      <c r="AN17" s="801"/>
      <c r="AO17" s="801"/>
      <c r="AP17" s="801"/>
      <c r="AQ17" s="801"/>
      <c r="AR17" s="801"/>
      <c r="AS17" s="801"/>
      <c r="AT17" s="801"/>
      <c r="AU17" s="801"/>
      <c r="AV17" s="801"/>
      <c r="AW17" s="801">
        <f>11*12</f>
        <v>132</v>
      </c>
      <c r="AX17" s="801"/>
      <c r="AY17" s="801"/>
      <c r="AZ17" s="801"/>
      <c r="BA17" s="801">
        <f>11*12</f>
        <v>132</v>
      </c>
      <c r="BB17" s="801"/>
      <c r="BC17" s="801"/>
      <c r="BD17" s="801"/>
      <c r="BE17" s="801"/>
      <c r="BF17" s="801"/>
      <c r="BG17" s="802"/>
      <c r="BH17" s="802"/>
      <c r="BI17" s="802"/>
      <c r="BJ17" s="802"/>
      <c r="BK17" s="802"/>
      <c r="BL17" s="790">
        <f t="shared" ref="BL17:BL26" si="3">BJ17+BH17+BF17+AZ17+AX17+AV17+AR17+AP17+AN17+AL17+AJ17+AH17+AF17+AD17+AB17+AB17+Z17+X17+V17+T17+P17+N17+L17+J17</f>
        <v>2154</v>
      </c>
      <c r="BM17" s="791">
        <f t="shared" ref="BM17:BM26" si="4">BK17+BI17+BG17+BA17+AY17+AW17+AS17+AQ17+AQ17+AO17+AM17+AK17+AI17+AG17+AE17+AC17+AA17+Y17+W17+U17+Q17+O17+M17+K17</f>
        <v>277</v>
      </c>
    </row>
    <row r="18" spans="1:65" ht="19.95" customHeight="1">
      <c r="A18" s="940"/>
      <c r="B18" s="803" t="s">
        <v>904</v>
      </c>
      <c r="C18" s="784" t="s">
        <v>392</v>
      </c>
      <c r="D18" s="734" t="s">
        <v>393</v>
      </c>
      <c r="E18" s="765" t="s">
        <v>1173</v>
      </c>
      <c r="F18" s="799">
        <v>30</v>
      </c>
      <c r="G18" s="799">
        <v>30</v>
      </c>
      <c r="H18" s="799">
        <v>11</v>
      </c>
      <c r="I18" s="800">
        <v>0.37</v>
      </c>
      <c r="J18" s="787"/>
      <c r="K18" s="801"/>
      <c r="L18" s="801"/>
      <c r="M18" s="801"/>
      <c r="N18" s="801">
        <f>12*14</f>
        <v>168</v>
      </c>
      <c r="O18" s="801"/>
      <c r="P18" s="801"/>
      <c r="Q18" s="801"/>
      <c r="R18" s="801"/>
      <c r="S18" s="801"/>
      <c r="T18" s="801"/>
      <c r="U18" s="801"/>
      <c r="V18" s="801">
        <f>15*14</f>
        <v>210</v>
      </c>
      <c r="W18" s="801"/>
      <c r="X18" s="801"/>
      <c r="Y18" s="801">
        <f>16*12</f>
        <v>192</v>
      </c>
      <c r="Z18" s="801"/>
      <c r="AA18" s="801"/>
      <c r="AB18" s="801"/>
      <c r="AC18" s="801"/>
      <c r="AD18" s="801"/>
      <c r="AE18" s="801"/>
      <c r="AF18" s="801"/>
      <c r="AG18" s="801"/>
      <c r="AH18" s="801">
        <f>31*14</f>
        <v>434</v>
      </c>
      <c r="AI18" s="801"/>
      <c r="AJ18" s="801"/>
      <c r="AK18" s="801"/>
      <c r="AL18" s="801"/>
      <c r="AM18" s="801"/>
      <c r="AN18" s="801"/>
      <c r="AO18" s="801"/>
      <c r="AP18" s="801"/>
      <c r="AQ18" s="801">
        <f>3*24</f>
        <v>72</v>
      </c>
      <c r="AR18" s="801"/>
      <c r="AS18" s="801"/>
      <c r="AT18" s="801"/>
      <c r="AU18" s="801"/>
      <c r="AV18" s="801"/>
      <c r="AW18" s="801"/>
      <c r="AX18" s="801"/>
      <c r="AY18" s="801"/>
      <c r="AZ18" s="801"/>
      <c r="BA18" s="801"/>
      <c r="BB18" s="801"/>
      <c r="BC18" s="801"/>
      <c r="BD18" s="801"/>
      <c r="BE18" s="801"/>
      <c r="BF18" s="801"/>
      <c r="BG18" s="802"/>
      <c r="BH18" s="802"/>
      <c r="BI18" s="802"/>
      <c r="BJ18" s="802"/>
      <c r="BK18" s="802"/>
      <c r="BL18" s="790">
        <f t="shared" si="3"/>
        <v>812</v>
      </c>
      <c r="BM18" s="791">
        <f t="shared" si="4"/>
        <v>336</v>
      </c>
    </row>
    <row r="19" spans="1:65" ht="19.95" customHeight="1">
      <c r="A19" s="940"/>
      <c r="B19" s="803" t="s">
        <v>904</v>
      </c>
      <c r="C19" s="784" t="s">
        <v>398</v>
      </c>
      <c r="D19" s="734" t="s">
        <v>399</v>
      </c>
      <c r="E19" s="765" t="s">
        <v>1174</v>
      </c>
      <c r="F19" s="799">
        <v>45</v>
      </c>
      <c r="G19" s="799">
        <v>45</v>
      </c>
      <c r="H19" s="799">
        <v>24</v>
      </c>
      <c r="I19" s="800">
        <v>0.53</v>
      </c>
      <c r="J19" s="787"/>
      <c r="K19" s="801"/>
      <c r="L19" s="801">
        <f>33*14</f>
        <v>462</v>
      </c>
      <c r="M19" s="801"/>
      <c r="N19" s="801">
        <f>13*14</f>
        <v>182</v>
      </c>
      <c r="O19" s="801"/>
      <c r="P19" s="801"/>
      <c r="Q19" s="801"/>
      <c r="R19" s="801"/>
      <c r="S19" s="801"/>
      <c r="T19" s="801"/>
      <c r="U19" s="801"/>
      <c r="V19" s="801">
        <f>82*14</f>
        <v>1148</v>
      </c>
      <c r="W19" s="801"/>
      <c r="X19" s="801"/>
      <c r="Y19" s="801">
        <f>22*12</f>
        <v>264</v>
      </c>
      <c r="Z19" s="801"/>
      <c r="AA19" s="801"/>
      <c r="AB19" s="801"/>
      <c r="AC19" s="801">
        <f>2*12</f>
        <v>24</v>
      </c>
      <c r="AD19" s="801"/>
      <c r="AE19" s="801"/>
      <c r="AF19" s="801">
        <f>30*24</f>
        <v>720</v>
      </c>
      <c r="AG19" s="801"/>
      <c r="AH19" s="801"/>
      <c r="AI19" s="801"/>
      <c r="AJ19" s="801"/>
      <c r="AK19" s="801"/>
      <c r="AL19" s="801"/>
      <c r="AM19" s="801"/>
      <c r="AN19" s="801"/>
      <c r="AO19" s="801"/>
      <c r="AP19" s="801"/>
      <c r="AQ19" s="801">
        <f>5*24</f>
        <v>120</v>
      </c>
      <c r="AR19" s="801"/>
      <c r="AS19" s="801"/>
      <c r="AT19" s="801"/>
      <c r="AU19" s="801"/>
      <c r="AV19" s="801"/>
      <c r="AW19" s="801"/>
      <c r="AX19" s="801"/>
      <c r="AY19" s="801"/>
      <c r="AZ19" s="801"/>
      <c r="BA19" s="801"/>
      <c r="BB19" s="801"/>
      <c r="BC19" s="801"/>
      <c r="BD19" s="801"/>
      <c r="BE19" s="801"/>
      <c r="BF19" s="801"/>
      <c r="BG19" s="802"/>
      <c r="BH19" s="802">
        <f>8*24</f>
        <v>192</v>
      </c>
      <c r="BI19" s="802"/>
      <c r="BJ19" s="802"/>
      <c r="BK19" s="802"/>
      <c r="BL19" s="790">
        <f t="shared" si="3"/>
        <v>2704</v>
      </c>
      <c r="BM19" s="791">
        <f t="shared" si="4"/>
        <v>528</v>
      </c>
    </row>
    <row r="20" spans="1:65" ht="19.95" customHeight="1">
      <c r="A20" s="940"/>
      <c r="B20" s="803" t="s">
        <v>904</v>
      </c>
      <c r="C20" s="784" t="s">
        <v>404</v>
      </c>
      <c r="D20" s="734" t="s">
        <v>405</v>
      </c>
      <c r="E20" s="765" t="s">
        <v>1174</v>
      </c>
      <c r="F20" s="799">
        <v>39</v>
      </c>
      <c r="G20" s="799">
        <v>39</v>
      </c>
      <c r="H20" s="799">
        <v>17</v>
      </c>
      <c r="I20" s="800">
        <v>0.44</v>
      </c>
      <c r="K20" s="801"/>
      <c r="L20" s="801">
        <f>50*14</f>
        <v>700</v>
      </c>
      <c r="M20" s="801"/>
      <c r="N20" s="801">
        <f>22*14</f>
        <v>308</v>
      </c>
      <c r="O20" s="801"/>
      <c r="P20" s="801"/>
      <c r="Q20" s="801"/>
      <c r="R20" s="801"/>
      <c r="S20" s="801"/>
      <c r="T20" s="801"/>
      <c r="U20" s="801"/>
      <c r="V20" s="801">
        <f>34*14</f>
        <v>476</v>
      </c>
      <c r="W20" s="801"/>
      <c r="X20" s="801"/>
      <c r="Y20" s="801"/>
      <c r="Z20" s="801"/>
      <c r="AA20" s="801"/>
      <c r="AB20" s="801"/>
      <c r="AC20" s="801">
        <f>6*12</f>
        <v>72</v>
      </c>
      <c r="AD20" s="801"/>
      <c r="AE20" s="801"/>
      <c r="AF20" s="801">
        <f>2*24</f>
        <v>48</v>
      </c>
      <c r="AG20" s="801"/>
      <c r="AH20" s="801">
        <f>30*14</f>
        <v>420</v>
      </c>
      <c r="AI20" s="801"/>
      <c r="AJ20" s="801"/>
      <c r="AK20" s="801"/>
      <c r="AL20" s="801"/>
      <c r="AM20" s="801"/>
      <c r="AN20" s="801"/>
      <c r="AO20" s="801">
        <f>7*12</f>
        <v>84</v>
      </c>
      <c r="AP20" s="801"/>
      <c r="AQ20" s="801">
        <f>6*24</f>
        <v>144</v>
      </c>
      <c r="AR20" s="801"/>
      <c r="AS20" s="801"/>
      <c r="AT20" s="801"/>
      <c r="AU20" s="801"/>
      <c r="AV20" s="801"/>
      <c r="AW20" s="801"/>
      <c r="AX20" s="801"/>
      <c r="AY20" s="801"/>
      <c r="AZ20" s="801"/>
      <c r="BA20" s="801"/>
      <c r="BB20" s="801"/>
      <c r="BC20" s="801"/>
      <c r="BD20" s="801"/>
      <c r="BE20" s="801"/>
      <c r="BF20" s="801"/>
      <c r="BG20" s="802"/>
      <c r="BH20" s="802"/>
      <c r="BI20" s="802"/>
      <c r="BJ20" s="802"/>
      <c r="BK20" s="802"/>
      <c r="BL20" s="790">
        <f t="shared" si="3"/>
        <v>1952</v>
      </c>
      <c r="BM20" s="791">
        <f t="shared" si="4"/>
        <v>444</v>
      </c>
    </row>
    <row r="21" spans="1:65" ht="19.95" customHeight="1">
      <c r="A21" s="940"/>
      <c r="B21" s="803" t="s">
        <v>904</v>
      </c>
      <c r="C21" s="784" t="s">
        <v>410</v>
      </c>
      <c r="D21" s="734" t="s">
        <v>411</v>
      </c>
      <c r="E21" s="765" t="s">
        <v>1174</v>
      </c>
      <c r="F21" s="799">
        <v>27</v>
      </c>
      <c r="G21" s="799">
        <v>27</v>
      </c>
      <c r="H21" s="799">
        <v>21</v>
      </c>
      <c r="I21" s="800">
        <v>0.76</v>
      </c>
      <c r="J21" s="787"/>
      <c r="K21" s="801"/>
      <c r="L21" s="801"/>
      <c r="M21" s="801"/>
      <c r="N21" s="801">
        <f>35*14</f>
        <v>490</v>
      </c>
      <c r="O21" s="801"/>
      <c r="P21" s="801">
        <f>15*24</f>
        <v>360</v>
      </c>
      <c r="Q21" s="801"/>
      <c r="R21" s="801"/>
      <c r="S21" s="801"/>
      <c r="T21" s="801">
        <f>13*14</f>
        <v>182</v>
      </c>
      <c r="U21" s="801"/>
      <c r="V21" s="801">
        <f>33*14</f>
        <v>462</v>
      </c>
      <c r="W21" s="801"/>
      <c r="X21" s="801"/>
      <c r="Y21" s="801">
        <f>39*12</f>
        <v>468</v>
      </c>
      <c r="Z21" s="801">
        <v>70</v>
      </c>
      <c r="AA21" s="801"/>
      <c r="AB21" s="801"/>
      <c r="AC21" s="801"/>
      <c r="AD21" s="801"/>
      <c r="AE21" s="801"/>
      <c r="AF21" s="801"/>
      <c r="AG21" s="801"/>
      <c r="AH21" s="801">
        <f>6*14</f>
        <v>84</v>
      </c>
      <c r="AI21" s="801"/>
      <c r="AJ21" s="801"/>
      <c r="AK21" s="801"/>
      <c r="AL21" s="801"/>
      <c r="AM21" s="801"/>
      <c r="AN21" s="801"/>
      <c r="AO21" s="801"/>
      <c r="AP21" s="801"/>
      <c r="AQ21" s="801">
        <f>6*24</f>
        <v>144</v>
      </c>
      <c r="AR21" s="801"/>
      <c r="AS21" s="801"/>
      <c r="AT21" s="801"/>
      <c r="AU21" s="801"/>
      <c r="AV21" s="801"/>
      <c r="AW21" s="801"/>
      <c r="AX21" s="801"/>
      <c r="AY21" s="801"/>
      <c r="AZ21" s="801"/>
      <c r="BA21" s="801"/>
      <c r="BB21" s="801"/>
      <c r="BC21" s="801"/>
      <c r="BD21" s="801"/>
      <c r="BE21" s="801"/>
      <c r="BF21" s="801"/>
      <c r="BG21" s="802"/>
      <c r="BH21" s="802"/>
      <c r="BI21" s="802"/>
      <c r="BJ21" s="802"/>
      <c r="BK21" s="802">
        <f>2*12</f>
        <v>24</v>
      </c>
      <c r="BL21" s="790">
        <f t="shared" si="3"/>
        <v>1648</v>
      </c>
      <c r="BM21" s="791">
        <f t="shared" si="4"/>
        <v>780</v>
      </c>
    </row>
    <row r="22" spans="1:65" ht="19.95" customHeight="1">
      <c r="A22" s="940"/>
      <c r="B22" s="803" t="s">
        <v>904</v>
      </c>
      <c r="C22" s="784" t="s">
        <v>416</v>
      </c>
      <c r="D22" s="785" t="s">
        <v>417</v>
      </c>
      <c r="E22" s="765" t="s">
        <v>1174</v>
      </c>
      <c r="F22" s="799">
        <v>18</v>
      </c>
      <c r="G22" s="799">
        <v>18</v>
      </c>
      <c r="H22" s="799">
        <v>18</v>
      </c>
      <c r="I22" s="800">
        <v>1</v>
      </c>
      <c r="J22" s="787">
        <f>10*14</f>
        <v>140</v>
      </c>
      <c r="K22" s="801"/>
      <c r="L22" s="801"/>
      <c r="M22" s="801"/>
      <c r="N22" s="801">
        <f>21*14</f>
        <v>294</v>
      </c>
      <c r="O22" s="801"/>
      <c r="P22" s="801">
        <f>10*24</f>
        <v>240</v>
      </c>
      <c r="Q22" s="801"/>
      <c r="R22" s="801"/>
      <c r="S22" s="801"/>
      <c r="T22" s="801">
        <f>5*14</f>
        <v>70</v>
      </c>
      <c r="U22" s="801"/>
      <c r="V22" s="801"/>
      <c r="W22" s="801"/>
      <c r="X22" s="801"/>
      <c r="Y22" s="801"/>
      <c r="Z22" s="801">
        <v>42</v>
      </c>
      <c r="AA22" s="801"/>
      <c r="AB22" s="801"/>
      <c r="AC22" s="801"/>
      <c r="AD22" s="801"/>
      <c r="AE22" s="801"/>
      <c r="AF22" s="801"/>
      <c r="AG22" s="801"/>
      <c r="AH22" s="801">
        <f>5*14</f>
        <v>70</v>
      </c>
      <c r="AI22" s="801"/>
      <c r="AJ22" s="801"/>
      <c r="AK22" s="801"/>
      <c r="AL22" s="801"/>
      <c r="AM22" s="801"/>
      <c r="AN22" s="801"/>
      <c r="AO22" s="801">
        <f>84*12</f>
        <v>1008</v>
      </c>
      <c r="AP22" s="801"/>
      <c r="AQ22" s="801">
        <f>4*24</f>
        <v>96</v>
      </c>
      <c r="AR22" s="801"/>
      <c r="AS22" s="801"/>
      <c r="AT22" s="801"/>
      <c r="AU22" s="801"/>
      <c r="AV22" s="801"/>
      <c r="AW22" s="801"/>
      <c r="AX22" s="801"/>
      <c r="AY22" s="801">
        <f>4*24</f>
        <v>96</v>
      </c>
      <c r="AZ22" s="801"/>
      <c r="BA22" s="801"/>
      <c r="BB22" s="801"/>
      <c r="BC22" s="801"/>
      <c r="BD22" s="801"/>
      <c r="BE22" s="801"/>
      <c r="BF22" s="801"/>
      <c r="BG22" s="802"/>
      <c r="BH22" s="802"/>
      <c r="BI22" s="802"/>
      <c r="BJ22" s="802"/>
      <c r="BK22" s="802"/>
      <c r="BL22" s="790">
        <f t="shared" si="3"/>
        <v>856</v>
      </c>
      <c r="BM22" s="791">
        <f t="shared" si="4"/>
        <v>1296</v>
      </c>
    </row>
    <row r="23" spans="1:65" ht="20.100000000000001" customHeight="1">
      <c r="A23" s="940"/>
      <c r="B23" s="783" t="s">
        <v>226</v>
      </c>
      <c r="C23" s="784" t="s">
        <v>422</v>
      </c>
      <c r="D23" s="734" t="s">
        <v>423</v>
      </c>
      <c r="E23" s="756" t="s">
        <v>1173</v>
      </c>
      <c r="F23" s="804">
        <v>34</v>
      </c>
      <c r="G23" s="804">
        <v>34</v>
      </c>
      <c r="H23" s="804">
        <v>19</v>
      </c>
      <c r="I23" s="800">
        <v>0.56000000000000005</v>
      </c>
      <c r="J23" s="787"/>
      <c r="K23" s="801"/>
      <c r="L23" s="801"/>
      <c r="M23" s="801"/>
      <c r="N23" s="801"/>
      <c r="O23" s="801"/>
      <c r="P23" s="801">
        <f>16*24</f>
        <v>384</v>
      </c>
      <c r="Q23" s="801"/>
      <c r="R23" s="801"/>
      <c r="S23" s="801"/>
      <c r="T23" s="801"/>
      <c r="U23" s="801"/>
      <c r="V23" s="801"/>
      <c r="W23" s="801"/>
      <c r="X23" s="801"/>
      <c r="Y23" s="801">
        <f>41*12</f>
        <v>492</v>
      </c>
      <c r="Z23" s="801"/>
      <c r="AA23" s="801"/>
      <c r="AB23" s="801"/>
      <c r="AC23" s="801"/>
      <c r="AD23" s="801"/>
      <c r="AE23" s="801"/>
      <c r="AF23" s="801">
        <v>85</v>
      </c>
      <c r="AG23" s="801"/>
      <c r="AH23" s="801">
        <f>39*14</f>
        <v>546</v>
      </c>
      <c r="AI23" s="801"/>
      <c r="AJ23" s="801"/>
      <c r="AK23" s="801"/>
      <c r="AL23" s="801"/>
      <c r="AM23" s="801"/>
      <c r="AN23" s="801"/>
      <c r="AO23" s="801"/>
      <c r="AP23" s="801"/>
      <c r="AQ23" s="801">
        <f>5*24</f>
        <v>120</v>
      </c>
      <c r="AR23" s="801"/>
      <c r="AS23" s="801"/>
      <c r="AT23" s="801"/>
      <c r="AU23" s="801"/>
      <c r="AV23" s="801"/>
      <c r="AW23" s="801">
        <f>5*12</f>
        <v>60</v>
      </c>
      <c r="AX23" s="801"/>
      <c r="AY23" s="801"/>
      <c r="AZ23" s="801"/>
      <c r="BA23" s="801">
        <f>6*12</f>
        <v>72</v>
      </c>
      <c r="BB23" s="801"/>
      <c r="BC23" s="801"/>
      <c r="BD23" s="801"/>
      <c r="BE23" s="801"/>
      <c r="BF23" s="801"/>
      <c r="BG23" s="802"/>
      <c r="BH23" s="802"/>
      <c r="BI23" s="802"/>
      <c r="BJ23" s="802"/>
      <c r="BK23" s="802"/>
      <c r="BL23" s="790">
        <f t="shared" si="3"/>
        <v>1015</v>
      </c>
      <c r="BM23" s="791">
        <f t="shared" si="4"/>
        <v>864</v>
      </c>
    </row>
    <row r="24" spans="1:65" ht="20.100000000000001" customHeight="1">
      <c r="A24" s="940"/>
      <c r="B24" s="783" t="s">
        <v>226</v>
      </c>
      <c r="C24" s="784" t="s">
        <v>426</v>
      </c>
      <c r="D24" s="727" t="s">
        <v>427</v>
      </c>
      <c r="E24" s="756" t="s">
        <v>1173</v>
      </c>
      <c r="F24" s="804">
        <v>28</v>
      </c>
      <c r="G24" s="804">
        <v>28</v>
      </c>
      <c r="H24" s="804">
        <v>12</v>
      </c>
      <c r="I24" s="800">
        <v>0.43</v>
      </c>
      <c r="J24" s="787">
        <f>15*14</f>
        <v>210</v>
      </c>
      <c r="K24" s="801"/>
      <c r="L24" s="801"/>
      <c r="M24" s="801"/>
      <c r="N24" s="801"/>
      <c r="O24" s="801"/>
      <c r="P24" s="801">
        <f>6*24</f>
        <v>144</v>
      </c>
      <c r="Q24" s="801"/>
      <c r="R24" s="801"/>
      <c r="S24" s="801"/>
      <c r="T24" s="801">
        <f>14*14</f>
        <v>196</v>
      </c>
      <c r="U24" s="801"/>
      <c r="V24" s="801">
        <f>10*14</f>
        <v>140</v>
      </c>
      <c r="W24" s="801"/>
      <c r="X24" s="801"/>
      <c r="Y24" s="801"/>
      <c r="Z24" s="801">
        <f>8*14</f>
        <v>112</v>
      </c>
      <c r="AA24" s="801"/>
      <c r="AB24" s="801"/>
      <c r="AC24" s="801"/>
      <c r="AD24" s="801"/>
      <c r="AE24" s="801"/>
      <c r="AF24" s="801">
        <f>3*24</f>
        <v>72</v>
      </c>
      <c r="AG24" s="801"/>
      <c r="AH24" s="801">
        <f>6*14</f>
        <v>84</v>
      </c>
      <c r="AI24" s="801"/>
      <c r="AJ24" s="801"/>
      <c r="AK24" s="801"/>
      <c r="AL24" s="801"/>
      <c r="AM24" s="801"/>
      <c r="AN24" s="801"/>
      <c r="AO24" s="801">
        <f>31*12</f>
        <v>372</v>
      </c>
      <c r="AP24" s="801"/>
      <c r="AQ24" s="801"/>
      <c r="AR24" s="801"/>
      <c r="AS24" s="801"/>
      <c r="AT24" s="801"/>
      <c r="AU24" s="801"/>
      <c r="AV24" s="801"/>
      <c r="AW24" s="801"/>
      <c r="AX24" s="801"/>
      <c r="AY24" s="801">
        <f>5*24</f>
        <v>120</v>
      </c>
      <c r="AZ24" s="801"/>
      <c r="BA24" s="801"/>
      <c r="BB24" s="801"/>
      <c r="BC24" s="801"/>
      <c r="BD24" s="801"/>
      <c r="BE24" s="801"/>
      <c r="BF24" s="801"/>
      <c r="BG24" s="802"/>
      <c r="BH24" s="802"/>
      <c r="BI24" s="802"/>
      <c r="BJ24" s="802"/>
      <c r="BK24" s="802"/>
      <c r="BL24" s="790">
        <f t="shared" si="3"/>
        <v>958</v>
      </c>
      <c r="BM24" s="791">
        <f t="shared" si="4"/>
        <v>492</v>
      </c>
    </row>
    <row r="25" spans="1:65" ht="20.100000000000001" customHeight="1">
      <c r="A25" s="940"/>
      <c r="B25" s="783" t="s">
        <v>229</v>
      </c>
      <c r="C25" s="784" t="s">
        <v>430</v>
      </c>
      <c r="D25" s="785" t="s">
        <v>431</v>
      </c>
      <c r="E25" s="756" t="s">
        <v>1173</v>
      </c>
      <c r="F25" s="804">
        <v>28</v>
      </c>
      <c r="G25" s="804">
        <v>28</v>
      </c>
      <c r="H25" s="804">
        <v>10</v>
      </c>
      <c r="I25" s="800">
        <v>0.36</v>
      </c>
      <c r="J25" s="787">
        <f>5*14</f>
        <v>70</v>
      </c>
      <c r="K25" s="801"/>
      <c r="L25" s="801"/>
      <c r="M25" s="801"/>
      <c r="N25" s="801"/>
      <c r="O25" s="801"/>
      <c r="P25" s="801">
        <f>7*24</f>
        <v>168</v>
      </c>
      <c r="Q25" s="801"/>
      <c r="R25" s="801"/>
      <c r="S25" s="801"/>
      <c r="T25" s="801"/>
      <c r="U25" s="801"/>
      <c r="V25" s="801">
        <f>3*14</f>
        <v>42</v>
      </c>
      <c r="W25" s="801"/>
      <c r="X25" s="801"/>
      <c r="Y25" s="801">
        <f>5*12</f>
        <v>60</v>
      </c>
      <c r="Z25" s="801"/>
      <c r="AA25" s="801"/>
      <c r="AB25" s="801"/>
      <c r="AC25" s="801"/>
      <c r="AD25" s="801"/>
      <c r="AE25" s="801"/>
      <c r="AF25" s="801">
        <f>15*24</f>
        <v>360</v>
      </c>
      <c r="AG25" s="801"/>
      <c r="AH25" s="801">
        <f>7*14</f>
        <v>98</v>
      </c>
      <c r="AI25" s="801"/>
      <c r="AJ25" s="801"/>
      <c r="AK25" s="801"/>
      <c r="AL25" s="801"/>
      <c r="AM25" s="801"/>
      <c r="AN25" s="801"/>
      <c r="AO25" s="801">
        <f>21*12</f>
        <v>252</v>
      </c>
      <c r="AP25" s="801"/>
      <c r="AQ25" s="801">
        <f>7*24</f>
        <v>168</v>
      </c>
      <c r="AR25" s="801"/>
      <c r="AS25" s="801"/>
      <c r="AT25" s="801"/>
      <c r="AU25" s="801"/>
      <c r="AV25" s="801"/>
      <c r="AW25" s="801"/>
      <c r="AX25" s="801"/>
      <c r="AY25" s="801"/>
      <c r="AZ25" s="801"/>
      <c r="BA25" s="801"/>
      <c r="BB25" s="801"/>
      <c r="BC25" s="801"/>
      <c r="BD25" s="801"/>
      <c r="BE25" s="801"/>
      <c r="BF25" s="801"/>
      <c r="BG25" s="802"/>
      <c r="BH25" s="802"/>
      <c r="BI25" s="802"/>
      <c r="BJ25" s="802"/>
      <c r="BK25" s="802"/>
      <c r="BL25" s="790">
        <f t="shared" si="3"/>
        <v>738</v>
      </c>
      <c r="BM25" s="791">
        <f t="shared" si="4"/>
        <v>648</v>
      </c>
    </row>
    <row r="26" spans="1:65" ht="20.100000000000001" customHeight="1">
      <c r="A26" s="940"/>
      <c r="B26" s="783" t="s">
        <v>226</v>
      </c>
      <c r="C26" s="784" t="s">
        <v>434</v>
      </c>
      <c r="D26" s="734" t="s">
        <v>435</v>
      </c>
      <c r="E26" s="756" t="s">
        <v>1173</v>
      </c>
      <c r="F26" s="804">
        <v>22</v>
      </c>
      <c r="G26" s="804">
        <v>22</v>
      </c>
      <c r="H26" s="804">
        <v>4</v>
      </c>
      <c r="I26" s="800">
        <v>0.18</v>
      </c>
      <c r="J26" s="787"/>
      <c r="K26" s="801"/>
      <c r="L26" s="801"/>
      <c r="M26" s="801"/>
      <c r="N26" s="801"/>
      <c r="O26" s="801"/>
      <c r="P26" s="801"/>
      <c r="Q26" s="801"/>
      <c r="R26" s="801"/>
      <c r="S26" s="801"/>
      <c r="T26" s="801"/>
      <c r="U26" s="801"/>
      <c r="V26" s="801">
        <f>40*14</f>
        <v>560</v>
      </c>
      <c r="W26" s="801"/>
      <c r="X26" s="801"/>
      <c r="Y26" s="801"/>
      <c r="Z26" s="801"/>
      <c r="AA26" s="801"/>
      <c r="AB26" s="801"/>
      <c r="AC26" s="801"/>
      <c r="AD26" s="801"/>
      <c r="AE26" s="801"/>
      <c r="AF26" s="801"/>
      <c r="AG26" s="801"/>
      <c r="AH26" s="801">
        <f>50*14</f>
        <v>700</v>
      </c>
      <c r="AI26" s="801"/>
      <c r="AJ26" s="801"/>
      <c r="AK26" s="801"/>
      <c r="AL26" s="801"/>
      <c r="AM26" s="801"/>
      <c r="AN26" s="801"/>
      <c r="AO26" s="801"/>
      <c r="AP26" s="801"/>
      <c r="AQ26" s="801"/>
      <c r="AR26" s="801"/>
      <c r="AS26" s="801"/>
      <c r="AT26" s="801"/>
      <c r="AU26" s="801"/>
      <c r="AV26" s="801"/>
      <c r="AW26" s="801"/>
      <c r="AX26" s="801"/>
      <c r="AY26" s="801"/>
      <c r="AZ26" s="801"/>
      <c r="BA26" s="801">
        <f>11*12</f>
        <v>132</v>
      </c>
      <c r="BB26" s="801"/>
      <c r="BC26" s="801"/>
      <c r="BD26" s="801"/>
      <c r="BE26" s="801"/>
      <c r="BF26" s="801"/>
      <c r="BG26" s="802"/>
      <c r="BH26" s="802"/>
      <c r="BI26" s="802"/>
      <c r="BJ26" s="802"/>
      <c r="BK26" s="802"/>
      <c r="BL26" s="790">
        <f t="shared" si="3"/>
        <v>1260</v>
      </c>
      <c r="BM26" s="791">
        <f t="shared" si="4"/>
        <v>132</v>
      </c>
    </row>
    <row r="27" spans="1:65" ht="20.100000000000001" customHeight="1">
      <c r="A27" s="940"/>
      <c r="B27" s="793"/>
      <c r="C27" s="794"/>
      <c r="D27" s="794"/>
      <c r="E27" s="794"/>
      <c r="F27" s="795">
        <f>SUM(F17:F26)</f>
        <v>295</v>
      </c>
      <c r="G27" s="795">
        <f>SUM(G17:G26)</f>
        <v>295</v>
      </c>
      <c r="H27" s="795">
        <f>SUM(H17:H26)</f>
        <v>146</v>
      </c>
      <c r="I27" s="796">
        <v>0.49</v>
      </c>
      <c r="J27" s="805">
        <f>SUM(J17:J26)</f>
        <v>420</v>
      </c>
      <c r="K27" s="805">
        <f t="shared" ref="K27:BM27" si="5">SUM(K17:K26)</f>
        <v>0</v>
      </c>
      <c r="L27" s="805">
        <f t="shared" si="5"/>
        <v>1162</v>
      </c>
      <c r="M27" s="805">
        <f t="shared" si="5"/>
        <v>0</v>
      </c>
      <c r="N27" s="805">
        <f t="shared" si="5"/>
        <v>1512</v>
      </c>
      <c r="O27" s="805">
        <f t="shared" si="5"/>
        <v>0</v>
      </c>
      <c r="P27" s="805">
        <f t="shared" si="5"/>
        <v>1464</v>
      </c>
      <c r="Q27" s="805">
        <f t="shared" si="5"/>
        <v>0</v>
      </c>
      <c r="R27" s="805">
        <f t="shared" si="5"/>
        <v>0</v>
      </c>
      <c r="S27" s="805">
        <f t="shared" si="5"/>
        <v>0</v>
      </c>
      <c r="T27" s="805">
        <f t="shared" si="5"/>
        <v>448</v>
      </c>
      <c r="U27" s="805">
        <f t="shared" si="5"/>
        <v>0</v>
      </c>
      <c r="V27" s="805">
        <f t="shared" si="5"/>
        <v>3052</v>
      </c>
      <c r="W27" s="805">
        <f t="shared" si="5"/>
        <v>0</v>
      </c>
      <c r="X27" s="805">
        <f t="shared" si="5"/>
        <v>0</v>
      </c>
      <c r="Y27" s="805">
        <f t="shared" si="5"/>
        <v>1489</v>
      </c>
      <c r="Z27" s="805">
        <f t="shared" si="5"/>
        <v>252</v>
      </c>
      <c r="AA27" s="805">
        <f t="shared" si="5"/>
        <v>0</v>
      </c>
      <c r="AB27" s="805">
        <f t="shared" si="5"/>
        <v>0</v>
      </c>
      <c r="AC27" s="805">
        <f t="shared" si="5"/>
        <v>96</v>
      </c>
      <c r="AD27" s="805">
        <f t="shared" si="5"/>
        <v>0</v>
      </c>
      <c r="AE27" s="805">
        <f t="shared" si="5"/>
        <v>0</v>
      </c>
      <c r="AF27" s="805">
        <f t="shared" si="5"/>
        <v>1297</v>
      </c>
      <c r="AG27" s="805">
        <f t="shared" si="5"/>
        <v>0</v>
      </c>
      <c r="AH27" s="805">
        <f t="shared" si="5"/>
        <v>4298</v>
      </c>
      <c r="AI27" s="805">
        <f t="shared" si="5"/>
        <v>0</v>
      </c>
      <c r="AJ27" s="805">
        <f t="shared" si="5"/>
        <v>0</v>
      </c>
      <c r="AK27" s="805">
        <f t="shared" si="5"/>
        <v>0</v>
      </c>
      <c r="AL27" s="805">
        <f t="shared" si="5"/>
        <v>0</v>
      </c>
      <c r="AM27" s="805">
        <f t="shared" si="5"/>
        <v>0</v>
      </c>
      <c r="AN27" s="805">
        <f t="shared" si="5"/>
        <v>0</v>
      </c>
      <c r="AO27" s="805">
        <f t="shared" si="5"/>
        <v>1716</v>
      </c>
      <c r="AP27" s="805">
        <f t="shared" si="5"/>
        <v>0</v>
      </c>
      <c r="AQ27" s="805">
        <f t="shared" si="5"/>
        <v>864</v>
      </c>
      <c r="AR27" s="805">
        <f t="shared" si="5"/>
        <v>0</v>
      </c>
      <c r="AS27" s="805">
        <f t="shared" si="5"/>
        <v>0</v>
      </c>
      <c r="AT27" s="805">
        <f t="shared" si="5"/>
        <v>0</v>
      </c>
      <c r="AU27" s="805">
        <f t="shared" si="5"/>
        <v>0</v>
      </c>
      <c r="AV27" s="805">
        <f t="shared" si="5"/>
        <v>0</v>
      </c>
      <c r="AW27" s="805">
        <f t="shared" si="5"/>
        <v>192</v>
      </c>
      <c r="AX27" s="805">
        <f t="shared" si="5"/>
        <v>0</v>
      </c>
      <c r="AY27" s="805">
        <f t="shared" si="5"/>
        <v>216</v>
      </c>
      <c r="AZ27" s="805">
        <f t="shared" si="5"/>
        <v>0</v>
      </c>
      <c r="BA27" s="805">
        <f t="shared" si="5"/>
        <v>336</v>
      </c>
      <c r="BB27" s="805">
        <f t="shared" si="5"/>
        <v>0</v>
      </c>
      <c r="BC27" s="805">
        <f t="shared" si="5"/>
        <v>0</v>
      </c>
      <c r="BD27" s="805">
        <f t="shared" si="5"/>
        <v>0</v>
      </c>
      <c r="BE27" s="805">
        <f t="shared" si="5"/>
        <v>0</v>
      </c>
      <c r="BF27" s="805">
        <f t="shared" si="5"/>
        <v>0</v>
      </c>
      <c r="BG27" s="805">
        <f t="shared" si="5"/>
        <v>0</v>
      </c>
      <c r="BH27" s="805">
        <f t="shared" si="5"/>
        <v>192</v>
      </c>
      <c r="BI27" s="805">
        <f t="shared" si="5"/>
        <v>0</v>
      </c>
      <c r="BJ27" s="805">
        <f t="shared" si="5"/>
        <v>0</v>
      </c>
      <c r="BK27" s="805">
        <f t="shared" si="5"/>
        <v>24</v>
      </c>
      <c r="BL27" s="805">
        <f t="shared" si="5"/>
        <v>14097</v>
      </c>
      <c r="BM27" s="805">
        <f t="shared" si="5"/>
        <v>5797</v>
      </c>
    </row>
    <row r="28" spans="1:65" ht="20.100000000000001" customHeight="1">
      <c r="A28" s="940" t="s">
        <v>1175</v>
      </c>
      <c r="B28" s="783" t="s">
        <v>241</v>
      </c>
      <c r="C28" s="784" t="s">
        <v>388</v>
      </c>
      <c r="D28" s="740" t="s">
        <v>452</v>
      </c>
      <c r="E28" s="756" t="s">
        <v>1176</v>
      </c>
      <c r="F28" s="756">
        <v>40</v>
      </c>
      <c r="G28" s="756">
        <v>40</v>
      </c>
      <c r="H28" s="806">
        <v>22</v>
      </c>
      <c r="I28" s="807">
        <v>0.55000000000000004</v>
      </c>
      <c r="J28" s="808"/>
      <c r="K28" s="808"/>
      <c r="L28" s="808"/>
      <c r="M28" s="808"/>
      <c r="N28" s="808"/>
      <c r="O28" s="808"/>
      <c r="P28" s="808"/>
      <c r="Q28" s="808"/>
      <c r="R28" s="808"/>
      <c r="S28" s="808"/>
      <c r="T28" s="808"/>
      <c r="U28" s="808"/>
      <c r="V28" s="808"/>
      <c r="W28" s="808"/>
      <c r="X28" s="808"/>
      <c r="Y28" s="808"/>
      <c r="Z28" s="808">
        <f>6*14</f>
        <v>84</v>
      </c>
      <c r="AA28" s="808"/>
      <c r="AB28" s="808"/>
      <c r="AC28" s="808">
        <f>2*12</f>
        <v>24</v>
      </c>
      <c r="AD28" s="808"/>
      <c r="AE28" s="808"/>
      <c r="AF28" s="808"/>
      <c r="AG28" s="808"/>
      <c r="AH28" s="808"/>
      <c r="AI28" s="808"/>
      <c r="AJ28" s="808"/>
      <c r="AK28" s="808"/>
      <c r="AL28" s="808"/>
      <c r="AM28" s="808"/>
      <c r="AN28" s="808"/>
      <c r="AO28" s="808">
        <f>11*12</f>
        <v>132</v>
      </c>
      <c r="AP28" s="808"/>
      <c r="AQ28" s="808">
        <f>5*24</f>
        <v>120</v>
      </c>
      <c r="AR28" s="808"/>
      <c r="AS28" s="808">
        <f>14*12</f>
        <v>168</v>
      </c>
      <c r="AT28" s="808"/>
      <c r="AU28" s="808"/>
      <c r="AV28" s="808"/>
      <c r="AW28" s="808">
        <f>2*12</f>
        <v>24</v>
      </c>
      <c r="AX28" s="808"/>
      <c r="AY28" s="808">
        <v>24</v>
      </c>
      <c r="AZ28" s="808"/>
      <c r="BA28" s="808">
        <f>7*12</f>
        <v>84</v>
      </c>
      <c r="BB28" s="808"/>
      <c r="BC28" s="808"/>
      <c r="BD28" s="808"/>
      <c r="BE28" s="808"/>
      <c r="BF28" s="808"/>
      <c r="BG28" s="808"/>
      <c r="BH28" s="808"/>
      <c r="BI28" s="808"/>
      <c r="BJ28" s="808"/>
      <c r="BK28" s="808"/>
      <c r="BL28" s="790">
        <f t="shared" ref="BL28:BL33" si="6">BJ28+BH28+BF28+AZ28+AX28+AV28+AR28+AP28+AN28+AL28+AJ28+AH28+AF28+AD28+AB28+AB28+Z28+X28+V28+T28+P28+N28+L28+J28</f>
        <v>84</v>
      </c>
      <c r="BM28" s="791">
        <f t="shared" ref="BM28:BM33" si="7">BK28+BI28+BG28+BA28+AY28+AW28+AS28+AQ28+AQ28+AO28+AM28+AK28+AI28+AG28+AE28+AC28+AA28+Y28+W28+U28+Q28+O28+M28+K28</f>
        <v>696</v>
      </c>
    </row>
    <row r="29" spans="1:65" ht="20.100000000000001" customHeight="1">
      <c r="A29" s="940"/>
      <c r="B29" s="783" t="s">
        <v>241</v>
      </c>
      <c r="C29" s="784" t="s">
        <v>394</v>
      </c>
      <c r="D29" s="740" t="s">
        <v>454</v>
      </c>
      <c r="E29" s="756" t="s">
        <v>1176</v>
      </c>
      <c r="F29" s="756">
        <v>40</v>
      </c>
      <c r="G29" s="756">
        <v>40</v>
      </c>
      <c r="H29" s="806">
        <v>20</v>
      </c>
      <c r="I29" s="807">
        <v>0.5</v>
      </c>
      <c r="J29" s="808"/>
      <c r="K29" s="808"/>
      <c r="L29" s="808"/>
      <c r="M29" s="808"/>
      <c r="N29" s="808"/>
      <c r="O29" s="808"/>
      <c r="P29" s="808"/>
      <c r="Q29" s="808"/>
      <c r="R29" s="808"/>
      <c r="S29" s="808"/>
      <c r="T29" s="808"/>
      <c r="U29" s="808"/>
      <c r="V29" s="808"/>
      <c r="W29" s="808"/>
      <c r="X29" s="808"/>
      <c r="Y29" s="808">
        <f>9*12</f>
        <v>108</v>
      </c>
      <c r="Z29" s="808"/>
      <c r="AA29" s="808"/>
      <c r="AB29" s="808"/>
      <c r="AC29" s="808">
        <v>13</v>
      </c>
      <c r="AD29" s="808"/>
      <c r="AE29" s="808"/>
      <c r="AF29" s="808"/>
      <c r="AG29" s="808"/>
      <c r="AH29" s="808"/>
      <c r="AI29" s="808"/>
      <c r="AJ29" s="808"/>
      <c r="AK29" s="808"/>
      <c r="AL29" s="808"/>
      <c r="AM29" s="808"/>
      <c r="AN29" s="808"/>
      <c r="AO29" s="808">
        <f>9*12</f>
        <v>108</v>
      </c>
      <c r="AP29" s="808"/>
      <c r="AQ29" s="808">
        <f>4*24</f>
        <v>96</v>
      </c>
      <c r="AR29" s="808"/>
      <c r="AS29" s="808"/>
      <c r="AT29" s="808"/>
      <c r="AU29" s="808"/>
      <c r="AV29" s="808"/>
      <c r="AW29" s="808">
        <f>6*12</f>
        <v>72</v>
      </c>
      <c r="AX29" s="808"/>
      <c r="AY29" s="808">
        <v>24</v>
      </c>
      <c r="AZ29" s="808"/>
      <c r="BA29" s="808">
        <f>5*12</f>
        <v>60</v>
      </c>
      <c r="BB29" s="808"/>
      <c r="BC29" s="808"/>
      <c r="BD29" s="808"/>
      <c r="BE29" s="808"/>
      <c r="BF29" s="808"/>
      <c r="BG29" s="808"/>
      <c r="BH29" s="808"/>
      <c r="BI29" s="808"/>
      <c r="BJ29" s="808"/>
      <c r="BK29" s="808"/>
      <c r="BL29" s="790">
        <f t="shared" si="6"/>
        <v>0</v>
      </c>
      <c r="BM29" s="791">
        <f t="shared" si="7"/>
        <v>577</v>
      </c>
    </row>
    <row r="30" spans="1:65" ht="20.100000000000001" customHeight="1">
      <c r="A30" s="940"/>
      <c r="B30" s="783" t="s">
        <v>241</v>
      </c>
      <c r="C30" s="784" t="s">
        <v>400</v>
      </c>
      <c r="D30" s="740" t="s">
        <v>456</v>
      </c>
      <c r="E30" s="756" t="s">
        <v>1176</v>
      </c>
      <c r="F30" s="756">
        <v>52</v>
      </c>
      <c r="G30" s="756">
        <v>52</v>
      </c>
      <c r="H30" s="806">
        <v>19</v>
      </c>
      <c r="I30" s="807">
        <v>0.37</v>
      </c>
      <c r="J30" s="808"/>
      <c r="K30" s="808"/>
      <c r="L30" s="808"/>
      <c r="M30" s="808"/>
      <c r="N30" s="808"/>
      <c r="O30" s="808"/>
      <c r="P30" s="808"/>
      <c r="Q30" s="808"/>
      <c r="R30" s="808"/>
      <c r="S30" s="808"/>
      <c r="T30" s="808"/>
      <c r="U30" s="808"/>
      <c r="V30" s="808"/>
      <c r="W30" s="808"/>
      <c r="X30" s="808"/>
      <c r="Y30" s="808"/>
      <c r="Z30" s="808">
        <v>14</v>
      </c>
      <c r="AA30" s="808"/>
      <c r="AB30" s="808"/>
      <c r="AC30" s="808"/>
      <c r="AD30" s="808"/>
      <c r="AE30" s="808"/>
      <c r="AF30" s="808"/>
      <c r="AG30" s="808"/>
      <c r="AH30" s="808"/>
      <c r="AI30" s="808"/>
      <c r="AJ30" s="808"/>
      <c r="AK30" s="808"/>
      <c r="AL30" s="808"/>
      <c r="AM30" s="808"/>
      <c r="AN30" s="808"/>
      <c r="AO30" s="808">
        <f>15*12</f>
        <v>180</v>
      </c>
      <c r="AP30" s="808"/>
      <c r="AQ30" s="808">
        <f>6*24</f>
        <v>144</v>
      </c>
      <c r="AR30" s="808"/>
      <c r="AS30" s="808">
        <v>19</v>
      </c>
      <c r="AT30" s="808"/>
      <c r="AU30" s="808"/>
      <c r="AV30" s="808"/>
      <c r="AW30" s="808">
        <f>5*12</f>
        <v>60</v>
      </c>
      <c r="AX30" s="808"/>
      <c r="AY30" s="808">
        <f>6*12+6</f>
        <v>78</v>
      </c>
      <c r="AZ30" s="808"/>
      <c r="BA30" s="808">
        <f>5*12</f>
        <v>60</v>
      </c>
      <c r="BB30" s="808"/>
      <c r="BC30" s="808"/>
      <c r="BD30" s="808"/>
      <c r="BE30" s="808"/>
      <c r="BF30" s="808"/>
      <c r="BG30" s="808"/>
      <c r="BH30" s="808"/>
      <c r="BI30" s="808"/>
      <c r="BJ30" s="808"/>
      <c r="BK30" s="808"/>
      <c r="BL30" s="790">
        <f t="shared" si="6"/>
        <v>14</v>
      </c>
      <c r="BM30" s="791">
        <f t="shared" si="7"/>
        <v>685</v>
      </c>
    </row>
    <row r="31" spans="1:65" ht="20.100000000000001" customHeight="1">
      <c r="A31" s="940"/>
      <c r="B31" s="783" t="s">
        <v>241</v>
      </c>
      <c r="C31" s="784" t="s">
        <v>406</v>
      </c>
      <c r="D31" s="740" t="s">
        <v>458</v>
      </c>
      <c r="E31" s="756" t="s">
        <v>1176</v>
      </c>
      <c r="F31" s="756">
        <v>24</v>
      </c>
      <c r="G31" s="756">
        <v>24</v>
      </c>
      <c r="H31" s="806">
        <v>25</v>
      </c>
      <c r="I31" s="807">
        <v>0.73</v>
      </c>
      <c r="J31" s="808"/>
      <c r="K31" s="808"/>
      <c r="L31" s="808"/>
      <c r="M31" s="808"/>
      <c r="N31" s="808"/>
      <c r="O31" s="808"/>
      <c r="P31" s="808"/>
      <c r="Q31" s="808"/>
      <c r="R31" s="808"/>
      <c r="S31" s="808"/>
      <c r="T31" s="808"/>
      <c r="U31" s="808"/>
      <c r="V31" s="808"/>
      <c r="W31" s="808"/>
      <c r="X31" s="808"/>
      <c r="Y31" s="808"/>
      <c r="Z31" s="808">
        <f>6*14</f>
        <v>84</v>
      </c>
      <c r="AA31" s="808"/>
      <c r="AB31" s="808"/>
      <c r="AC31" s="808">
        <f>3*12</f>
        <v>36</v>
      </c>
      <c r="AD31" s="808"/>
      <c r="AE31" s="808"/>
      <c r="AF31" s="808"/>
      <c r="AG31" s="808"/>
      <c r="AH31" s="808"/>
      <c r="AI31" s="808"/>
      <c r="AJ31" s="808"/>
      <c r="AK31" s="808"/>
      <c r="AL31" s="808"/>
      <c r="AM31" s="808"/>
      <c r="AN31" s="808"/>
      <c r="AO31" s="808">
        <f>16*12</f>
        <v>192</v>
      </c>
      <c r="AP31" s="808"/>
      <c r="AQ31" s="808">
        <f>10*24</f>
        <v>240</v>
      </c>
      <c r="AR31" s="808"/>
      <c r="AS31" s="808">
        <f>9*12</f>
        <v>108</v>
      </c>
      <c r="AT31" s="808"/>
      <c r="AU31" s="808"/>
      <c r="AV31" s="808"/>
      <c r="AW31" s="808"/>
      <c r="AX31" s="808"/>
      <c r="AY31" s="808"/>
      <c r="AZ31" s="808"/>
      <c r="BA31" s="808">
        <v>13</v>
      </c>
      <c r="BB31" s="808"/>
      <c r="BC31" s="808"/>
      <c r="BD31" s="808"/>
      <c r="BE31" s="808"/>
      <c r="BF31" s="808"/>
      <c r="BG31" s="808"/>
      <c r="BH31" s="808"/>
      <c r="BI31" s="808"/>
      <c r="BJ31" s="808"/>
      <c r="BK31" s="808"/>
      <c r="BL31" s="790">
        <f t="shared" si="6"/>
        <v>84</v>
      </c>
      <c r="BM31" s="791">
        <f t="shared" si="7"/>
        <v>829</v>
      </c>
    </row>
    <row r="32" spans="1:65" ht="20.100000000000001" customHeight="1">
      <c r="A32" s="940"/>
      <c r="B32" s="783" t="s">
        <v>241</v>
      </c>
      <c r="C32" s="784" t="s">
        <v>412</v>
      </c>
      <c r="D32" s="740" t="s">
        <v>459</v>
      </c>
      <c r="E32" s="756" t="s">
        <v>1176</v>
      </c>
      <c r="F32" s="756">
        <v>20</v>
      </c>
      <c r="G32" s="756">
        <v>20</v>
      </c>
      <c r="H32" s="806">
        <v>18</v>
      </c>
      <c r="I32" s="807">
        <v>0.9</v>
      </c>
      <c r="J32" s="808"/>
      <c r="K32" s="808"/>
      <c r="L32" s="808"/>
      <c r="M32" s="808"/>
      <c r="N32" s="808"/>
      <c r="O32" s="808"/>
      <c r="P32" s="808"/>
      <c r="Q32" s="808"/>
      <c r="R32" s="808"/>
      <c r="S32" s="808"/>
      <c r="T32" s="808"/>
      <c r="U32" s="808"/>
      <c r="V32" s="808"/>
      <c r="W32" s="808"/>
      <c r="X32" s="808"/>
      <c r="Y32" s="808">
        <f>5*12</f>
        <v>60</v>
      </c>
      <c r="Z32" s="808">
        <f>3*14</f>
        <v>42</v>
      </c>
      <c r="AA32" s="808"/>
      <c r="AB32" s="808"/>
      <c r="AC32" s="808"/>
      <c r="AD32" s="808"/>
      <c r="AE32" s="808"/>
      <c r="AF32" s="808"/>
      <c r="AG32" s="808"/>
      <c r="AH32" s="808"/>
      <c r="AI32" s="808"/>
      <c r="AJ32" s="808"/>
      <c r="AK32" s="808"/>
      <c r="AL32" s="808"/>
      <c r="AM32" s="808"/>
      <c r="AN32" s="808"/>
      <c r="AO32" s="808">
        <f>7*12</f>
        <v>84</v>
      </c>
      <c r="AP32" s="808"/>
      <c r="AQ32" s="808">
        <f>3*24</f>
        <v>72</v>
      </c>
      <c r="AR32" s="808"/>
      <c r="AS32" s="808"/>
      <c r="AT32" s="808"/>
      <c r="AU32" s="808"/>
      <c r="AV32" s="808"/>
      <c r="AW32" s="808">
        <f>5*12</f>
        <v>60</v>
      </c>
      <c r="AX32" s="808"/>
      <c r="AY32" s="808">
        <v>25</v>
      </c>
      <c r="AZ32" s="808"/>
      <c r="BA32" s="808">
        <f>16*12</f>
        <v>192</v>
      </c>
      <c r="BB32" s="808"/>
      <c r="BC32" s="808"/>
      <c r="BD32" s="808"/>
      <c r="BE32" s="808"/>
      <c r="BF32" s="808"/>
      <c r="BG32" s="808"/>
      <c r="BH32" s="808"/>
      <c r="BI32" s="808"/>
      <c r="BJ32" s="808"/>
      <c r="BK32" s="808"/>
      <c r="BL32" s="790">
        <f t="shared" si="6"/>
        <v>42</v>
      </c>
      <c r="BM32" s="791">
        <f t="shared" si="7"/>
        <v>565</v>
      </c>
    </row>
    <row r="33" spans="1:65" ht="20.100000000000001" customHeight="1">
      <c r="A33" s="940"/>
      <c r="B33" s="783" t="s">
        <v>241</v>
      </c>
      <c r="C33" s="784" t="s">
        <v>418</v>
      </c>
      <c r="D33" s="740" t="s">
        <v>1177</v>
      </c>
      <c r="E33" s="756" t="s">
        <v>1176</v>
      </c>
      <c r="F33" s="756">
        <v>36</v>
      </c>
      <c r="G33" s="756">
        <v>36</v>
      </c>
      <c r="H33" s="806">
        <v>17</v>
      </c>
      <c r="I33" s="807">
        <v>0.47</v>
      </c>
      <c r="J33" s="808"/>
      <c r="K33" s="808"/>
      <c r="L33" s="808"/>
      <c r="M33" s="808"/>
      <c r="N33" s="808"/>
      <c r="O33" s="808"/>
      <c r="P33" s="808"/>
      <c r="Q33" s="808"/>
      <c r="R33" s="808"/>
      <c r="S33" s="808"/>
      <c r="T33" s="808"/>
      <c r="U33" s="808"/>
      <c r="V33" s="808"/>
      <c r="W33" s="808"/>
      <c r="X33" s="808"/>
      <c r="Y33" s="808">
        <f>5*12</f>
        <v>60</v>
      </c>
      <c r="Z33" s="808">
        <f>2*14</f>
        <v>28</v>
      </c>
      <c r="AA33" s="808"/>
      <c r="AB33" s="808"/>
      <c r="AC33" s="808"/>
      <c r="AD33" s="808"/>
      <c r="AE33" s="808"/>
      <c r="AF33" s="808"/>
      <c r="AG33" s="808"/>
      <c r="AH33" s="808"/>
      <c r="AI33" s="808"/>
      <c r="AJ33" s="808"/>
      <c r="AK33" s="808"/>
      <c r="AL33" s="808"/>
      <c r="AM33" s="808"/>
      <c r="AN33" s="808"/>
      <c r="AO33" s="808">
        <f>23*12</f>
        <v>276</v>
      </c>
      <c r="AP33" s="808"/>
      <c r="AQ33" s="808">
        <f>6*24</f>
        <v>144</v>
      </c>
      <c r="AR33" s="808"/>
      <c r="AS33" s="808"/>
      <c r="AT33" s="808"/>
      <c r="AU33" s="808"/>
      <c r="AV33" s="808"/>
      <c r="AW33" s="808"/>
      <c r="AX33" s="808"/>
      <c r="AY33" s="808">
        <f>3*24</f>
        <v>72</v>
      </c>
      <c r="AZ33" s="808"/>
      <c r="BA33" s="808"/>
      <c r="BB33" s="808"/>
      <c r="BC33" s="808"/>
      <c r="BD33" s="808"/>
      <c r="BE33" s="808"/>
      <c r="BF33" s="808"/>
      <c r="BG33" s="808"/>
      <c r="BH33" s="808"/>
      <c r="BI33" s="808"/>
      <c r="BJ33" s="808"/>
      <c r="BK33" s="808"/>
      <c r="BL33" s="790">
        <f t="shared" si="6"/>
        <v>28</v>
      </c>
      <c r="BM33" s="791">
        <f t="shared" si="7"/>
        <v>696</v>
      </c>
    </row>
    <row r="34" spans="1:65" ht="20.100000000000001" customHeight="1" thickBot="1">
      <c r="A34" s="940"/>
      <c r="B34" s="809"/>
      <c r="C34" s="810"/>
      <c r="D34" s="810"/>
      <c r="E34" s="810"/>
      <c r="F34" s="795">
        <f>SUM(F28:F33)</f>
        <v>212</v>
      </c>
      <c r="G34" s="795">
        <f>SUM(G28:G33)</f>
        <v>212</v>
      </c>
      <c r="H34" s="795">
        <f>SUM(H28:H33)</f>
        <v>121</v>
      </c>
      <c r="I34" s="796">
        <v>0.56999999999999995</v>
      </c>
      <c r="J34" s="811">
        <f t="shared" ref="J34:X34" si="8">SUM(J28:J33)</f>
        <v>0</v>
      </c>
      <c r="K34" s="811">
        <f t="shared" si="8"/>
        <v>0</v>
      </c>
      <c r="L34" s="811">
        <f t="shared" si="8"/>
        <v>0</v>
      </c>
      <c r="M34" s="811">
        <f t="shared" si="8"/>
        <v>0</v>
      </c>
      <c r="N34" s="811">
        <f t="shared" si="8"/>
        <v>0</v>
      </c>
      <c r="O34" s="811">
        <f t="shared" si="8"/>
        <v>0</v>
      </c>
      <c r="P34" s="811">
        <f t="shared" si="8"/>
        <v>0</v>
      </c>
      <c r="Q34" s="811">
        <f t="shared" si="8"/>
        <v>0</v>
      </c>
      <c r="R34" s="811">
        <f t="shared" si="8"/>
        <v>0</v>
      </c>
      <c r="S34" s="811">
        <f t="shared" si="8"/>
        <v>0</v>
      </c>
      <c r="T34" s="811">
        <f t="shared" si="8"/>
        <v>0</v>
      </c>
      <c r="U34" s="811">
        <f t="shared" si="8"/>
        <v>0</v>
      </c>
      <c r="V34" s="811">
        <f t="shared" si="8"/>
        <v>0</v>
      </c>
      <c r="W34" s="811">
        <f t="shared" si="8"/>
        <v>0</v>
      </c>
      <c r="X34" s="811">
        <f t="shared" si="8"/>
        <v>0</v>
      </c>
      <c r="Y34" s="811">
        <f>SUM(Y28:Y33)</f>
        <v>228</v>
      </c>
      <c r="Z34" s="811">
        <f t="shared" ref="Z34:BM34" si="9">SUM(Z28:Z33)</f>
        <v>252</v>
      </c>
      <c r="AA34" s="811">
        <f t="shared" si="9"/>
        <v>0</v>
      </c>
      <c r="AB34" s="811">
        <f t="shared" si="9"/>
        <v>0</v>
      </c>
      <c r="AC34" s="811">
        <f t="shared" si="9"/>
        <v>73</v>
      </c>
      <c r="AD34" s="811">
        <f t="shared" si="9"/>
        <v>0</v>
      </c>
      <c r="AE34" s="811">
        <f t="shared" si="9"/>
        <v>0</v>
      </c>
      <c r="AF34" s="811">
        <f t="shared" si="9"/>
        <v>0</v>
      </c>
      <c r="AG34" s="811">
        <f t="shared" si="9"/>
        <v>0</v>
      </c>
      <c r="AH34" s="811">
        <f t="shared" si="9"/>
        <v>0</v>
      </c>
      <c r="AI34" s="811">
        <f t="shared" si="9"/>
        <v>0</v>
      </c>
      <c r="AJ34" s="811">
        <f t="shared" si="9"/>
        <v>0</v>
      </c>
      <c r="AK34" s="811">
        <f t="shared" si="9"/>
        <v>0</v>
      </c>
      <c r="AL34" s="811">
        <f t="shared" si="9"/>
        <v>0</v>
      </c>
      <c r="AM34" s="811">
        <f t="shared" si="9"/>
        <v>0</v>
      </c>
      <c r="AN34" s="811">
        <f t="shared" si="9"/>
        <v>0</v>
      </c>
      <c r="AO34" s="811">
        <f t="shared" si="9"/>
        <v>972</v>
      </c>
      <c r="AP34" s="811">
        <f t="shared" si="9"/>
        <v>0</v>
      </c>
      <c r="AQ34" s="811">
        <f t="shared" si="9"/>
        <v>816</v>
      </c>
      <c r="AR34" s="811">
        <f t="shared" si="9"/>
        <v>0</v>
      </c>
      <c r="AS34" s="811">
        <f t="shared" si="9"/>
        <v>295</v>
      </c>
      <c r="AT34" s="811">
        <f t="shared" si="9"/>
        <v>0</v>
      </c>
      <c r="AU34" s="811">
        <f t="shared" si="9"/>
        <v>0</v>
      </c>
      <c r="AV34" s="811">
        <f t="shared" si="9"/>
        <v>0</v>
      </c>
      <c r="AW34" s="811">
        <f t="shared" si="9"/>
        <v>216</v>
      </c>
      <c r="AX34" s="811">
        <f t="shared" si="9"/>
        <v>0</v>
      </c>
      <c r="AY34" s="811">
        <f t="shared" si="9"/>
        <v>223</v>
      </c>
      <c r="AZ34" s="811">
        <f t="shared" si="9"/>
        <v>0</v>
      </c>
      <c r="BA34" s="811">
        <f t="shared" si="9"/>
        <v>409</v>
      </c>
      <c r="BB34" s="811">
        <f t="shared" si="9"/>
        <v>0</v>
      </c>
      <c r="BC34" s="811">
        <f t="shared" si="9"/>
        <v>0</v>
      </c>
      <c r="BD34" s="811">
        <f t="shared" si="9"/>
        <v>0</v>
      </c>
      <c r="BE34" s="811">
        <f t="shared" si="9"/>
        <v>0</v>
      </c>
      <c r="BF34" s="811">
        <f t="shared" si="9"/>
        <v>0</v>
      </c>
      <c r="BG34" s="811">
        <f t="shared" si="9"/>
        <v>0</v>
      </c>
      <c r="BH34" s="811">
        <f t="shared" si="9"/>
        <v>0</v>
      </c>
      <c r="BI34" s="811">
        <f t="shared" si="9"/>
        <v>0</v>
      </c>
      <c r="BJ34" s="811">
        <f t="shared" si="9"/>
        <v>0</v>
      </c>
      <c r="BK34" s="811">
        <f t="shared" si="9"/>
        <v>0</v>
      </c>
      <c r="BL34" s="811">
        <f t="shared" si="9"/>
        <v>252</v>
      </c>
      <c r="BM34" s="811">
        <f t="shared" si="9"/>
        <v>4048</v>
      </c>
    </row>
    <row r="35" spans="1:65" s="698" customFormat="1" ht="20.100000000000001" customHeight="1">
      <c r="A35" s="940"/>
      <c r="B35" s="822" t="s">
        <v>128</v>
      </c>
      <c r="C35" s="823"/>
      <c r="D35" s="823"/>
      <c r="E35" s="823"/>
      <c r="F35" s="824">
        <f>F34+F27+F16</f>
        <v>812</v>
      </c>
      <c r="G35" s="824">
        <f t="shared" ref="G35:H35" si="10">G34+G27+G16</f>
        <v>812</v>
      </c>
      <c r="H35" s="824">
        <f t="shared" si="10"/>
        <v>398</v>
      </c>
      <c r="I35" s="826">
        <f>H35/G35%</f>
        <v>49.01477832512316</v>
      </c>
      <c r="J35" s="825">
        <f>J34+J27+J16</f>
        <v>7196</v>
      </c>
      <c r="K35" s="825">
        <f t="shared" ref="K35:BM35" si="11">K34+K27+K16</f>
        <v>0</v>
      </c>
      <c r="L35" s="825">
        <f t="shared" si="11"/>
        <v>2422</v>
      </c>
      <c r="M35" s="825">
        <f t="shared" si="11"/>
        <v>0</v>
      </c>
      <c r="N35" s="825">
        <f t="shared" si="11"/>
        <v>1512</v>
      </c>
      <c r="O35" s="825">
        <f t="shared" si="11"/>
        <v>0</v>
      </c>
      <c r="P35" s="825">
        <f t="shared" si="11"/>
        <v>3816</v>
      </c>
      <c r="Q35" s="825">
        <f t="shared" si="11"/>
        <v>0</v>
      </c>
      <c r="R35" s="825">
        <f t="shared" si="11"/>
        <v>0</v>
      </c>
      <c r="S35" s="825">
        <f t="shared" si="11"/>
        <v>0</v>
      </c>
      <c r="T35" s="825">
        <f t="shared" si="11"/>
        <v>448</v>
      </c>
      <c r="U35" s="825">
        <f t="shared" si="11"/>
        <v>0</v>
      </c>
      <c r="V35" s="825">
        <f t="shared" si="11"/>
        <v>3752</v>
      </c>
      <c r="W35" s="825">
        <f t="shared" si="11"/>
        <v>0</v>
      </c>
      <c r="X35" s="825">
        <f t="shared" si="11"/>
        <v>0</v>
      </c>
      <c r="Y35" s="825">
        <f t="shared" si="11"/>
        <v>12709</v>
      </c>
      <c r="Z35" s="825">
        <f t="shared" si="11"/>
        <v>2262</v>
      </c>
      <c r="AA35" s="825">
        <f t="shared" si="11"/>
        <v>0</v>
      </c>
      <c r="AB35" s="825">
        <f t="shared" si="11"/>
        <v>0</v>
      </c>
      <c r="AC35" s="825">
        <f t="shared" si="11"/>
        <v>323</v>
      </c>
      <c r="AD35" s="825">
        <f t="shared" si="11"/>
        <v>0</v>
      </c>
      <c r="AE35" s="825">
        <f t="shared" si="11"/>
        <v>0</v>
      </c>
      <c r="AF35" s="825">
        <f t="shared" si="11"/>
        <v>2305</v>
      </c>
      <c r="AG35" s="825">
        <f t="shared" si="11"/>
        <v>0</v>
      </c>
      <c r="AH35" s="825">
        <f t="shared" si="11"/>
        <v>4438</v>
      </c>
      <c r="AI35" s="825">
        <f t="shared" si="11"/>
        <v>0</v>
      </c>
      <c r="AJ35" s="825">
        <f t="shared" si="11"/>
        <v>900</v>
      </c>
      <c r="AK35" s="825">
        <f t="shared" si="11"/>
        <v>0</v>
      </c>
      <c r="AL35" s="825">
        <f t="shared" si="11"/>
        <v>0</v>
      </c>
      <c r="AM35" s="825">
        <f t="shared" si="11"/>
        <v>0</v>
      </c>
      <c r="AN35" s="825">
        <f t="shared" si="11"/>
        <v>0</v>
      </c>
      <c r="AO35" s="825">
        <f t="shared" si="11"/>
        <v>4309</v>
      </c>
      <c r="AP35" s="825">
        <f t="shared" si="11"/>
        <v>0</v>
      </c>
      <c r="AQ35" s="825">
        <f t="shared" si="11"/>
        <v>6168</v>
      </c>
      <c r="AR35" s="825">
        <f t="shared" si="11"/>
        <v>0</v>
      </c>
      <c r="AS35" s="825">
        <f t="shared" si="11"/>
        <v>295</v>
      </c>
      <c r="AT35" s="825">
        <f t="shared" si="11"/>
        <v>0</v>
      </c>
      <c r="AU35" s="825">
        <f t="shared" si="11"/>
        <v>0</v>
      </c>
      <c r="AV35" s="825">
        <f t="shared" si="11"/>
        <v>0</v>
      </c>
      <c r="AW35" s="825">
        <f t="shared" si="11"/>
        <v>528</v>
      </c>
      <c r="AX35" s="825">
        <f t="shared" si="11"/>
        <v>0</v>
      </c>
      <c r="AY35" s="825">
        <f t="shared" si="11"/>
        <v>871</v>
      </c>
      <c r="AZ35" s="825">
        <f t="shared" si="11"/>
        <v>0</v>
      </c>
      <c r="BA35" s="825">
        <f t="shared" si="11"/>
        <v>865</v>
      </c>
      <c r="BB35" s="825">
        <f t="shared" si="11"/>
        <v>0</v>
      </c>
      <c r="BC35" s="825">
        <f t="shared" si="11"/>
        <v>0</v>
      </c>
      <c r="BD35" s="825">
        <f t="shared" si="11"/>
        <v>0</v>
      </c>
      <c r="BE35" s="825">
        <f t="shared" si="11"/>
        <v>0</v>
      </c>
      <c r="BF35" s="825">
        <f t="shared" si="11"/>
        <v>0</v>
      </c>
      <c r="BG35" s="825">
        <f t="shared" si="11"/>
        <v>0</v>
      </c>
      <c r="BH35" s="825">
        <f t="shared" si="11"/>
        <v>2112</v>
      </c>
      <c r="BI35" s="825">
        <f t="shared" si="11"/>
        <v>0</v>
      </c>
      <c r="BJ35" s="825">
        <f t="shared" si="11"/>
        <v>0</v>
      </c>
      <c r="BK35" s="825">
        <f t="shared" si="11"/>
        <v>24</v>
      </c>
      <c r="BL35" s="825">
        <f t="shared" si="11"/>
        <v>31163</v>
      </c>
      <c r="BM35" s="825">
        <f t="shared" si="11"/>
        <v>32260</v>
      </c>
    </row>
    <row r="36" spans="1:65" ht="20.100000000000001" hidden="1" customHeight="1" thickBot="1">
      <c r="A36" s="940"/>
      <c r="B36" s="812"/>
      <c r="C36" s="813"/>
      <c r="D36" s="813"/>
      <c r="E36" s="813"/>
      <c r="F36" s="813"/>
      <c r="G36" s="813"/>
      <c r="H36" s="813"/>
      <c r="I36" s="813"/>
      <c r="J36" s="814">
        <f t="shared" ref="J36:BK36" si="12">J16+J27</f>
        <v>7196</v>
      </c>
      <c r="K36" s="814">
        <f t="shared" si="12"/>
        <v>0</v>
      </c>
      <c r="L36" s="814">
        <f t="shared" si="12"/>
        <v>2422</v>
      </c>
      <c r="M36" s="814">
        <f t="shared" si="12"/>
        <v>0</v>
      </c>
      <c r="N36" s="814">
        <f t="shared" si="12"/>
        <v>1512</v>
      </c>
      <c r="O36" s="814">
        <f t="shared" si="12"/>
        <v>0</v>
      </c>
      <c r="P36" s="814">
        <f t="shared" si="12"/>
        <v>3816</v>
      </c>
      <c r="Q36" s="814">
        <f t="shared" si="12"/>
        <v>0</v>
      </c>
      <c r="R36" s="814">
        <f t="shared" si="12"/>
        <v>0</v>
      </c>
      <c r="S36" s="814">
        <f t="shared" si="12"/>
        <v>0</v>
      </c>
      <c r="T36" s="814">
        <f t="shared" si="12"/>
        <v>448</v>
      </c>
      <c r="U36" s="814">
        <f t="shared" si="12"/>
        <v>0</v>
      </c>
      <c r="V36" s="814">
        <f t="shared" si="12"/>
        <v>3752</v>
      </c>
      <c r="W36" s="814">
        <f t="shared" si="12"/>
        <v>0</v>
      </c>
      <c r="X36" s="814">
        <f t="shared" si="12"/>
        <v>0</v>
      </c>
      <c r="Y36" s="814">
        <f t="shared" si="12"/>
        <v>12481</v>
      </c>
      <c r="Z36" s="814">
        <f t="shared" si="12"/>
        <v>2010</v>
      </c>
      <c r="AA36" s="814">
        <f t="shared" si="12"/>
        <v>0</v>
      </c>
      <c r="AB36" s="814">
        <f t="shared" si="12"/>
        <v>0</v>
      </c>
      <c r="AC36" s="814">
        <f t="shared" si="12"/>
        <v>250</v>
      </c>
      <c r="AD36" s="814">
        <f t="shared" si="12"/>
        <v>0</v>
      </c>
      <c r="AE36" s="814">
        <f t="shared" si="12"/>
        <v>0</v>
      </c>
      <c r="AF36" s="814">
        <f t="shared" si="12"/>
        <v>2305</v>
      </c>
      <c r="AG36" s="814">
        <f t="shared" si="12"/>
        <v>0</v>
      </c>
      <c r="AH36" s="814">
        <f t="shared" si="12"/>
        <v>4438</v>
      </c>
      <c r="AI36" s="814">
        <f t="shared" si="12"/>
        <v>0</v>
      </c>
      <c r="AJ36" s="814">
        <f t="shared" si="12"/>
        <v>900</v>
      </c>
      <c r="AK36" s="814">
        <f t="shared" si="12"/>
        <v>0</v>
      </c>
      <c r="AL36" s="814">
        <f t="shared" si="12"/>
        <v>0</v>
      </c>
      <c r="AM36" s="814">
        <f t="shared" si="12"/>
        <v>0</v>
      </c>
      <c r="AN36" s="814">
        <f t="shared" si="12"/>
        <v>0</v>
      </c>
      <c r="AO36" s="814">
        <f t="shared" si="12"/>
        <v>3337</v>
      </c>
      <c r="AP36" s="814">
        <f t="shared" si="12"/>
        <v>0</v>
      </c>
      <c r="AQ36" s="814">
        <f t="shared" si="12"/>
        <v>5352</v>
      </c>
      <c r="AR36" s="814">
        <f t="shared" si="12"/>
        <v>0</v>
      </c>
      <c r="AS36" s="814">
        <f t="shared" si="12"/>
        <v>0</v>
      </c>
      <c r="AT36" s="814">
        <f t="shared" si="12"/>
        <v>0</v>
      </c>
      <c r="AU36" s="814">
        <f t="shared" si="12"/>
        <v>0</v>
      </c>
      <c r="AV36" s="814">
        <f t="shared" si="12"/>
        <v>0</v>
      </c>
      <c r="AW36" s="814">
        <f t="shared" si="12"/>
        <v>312</v>
      </c>
      <c r="AX36" s="814">
        <f t="shared" si="12"/>
        <v>0</v>
      </c>
      <c r="AY36" s="814">
        <f t="shared" si="12"/>
        <v>648</v>
      </c>
      <c r="AZ36" s="814">
        <f t="shared" si="12"/>
        <v>0</v>
      </c>
      <c r="BA36" s="814">
        <f t="shared" si="12"/>
        <v>456</v>
      </c>
      <c r="BB36" s="814">
        <f t="shared" si="12"/>
        <v>0</v>
      </c>
      <c r="BC36" s="814">
        <f t="shared" si="12"/>
        <v>0</v>
      </c>
      <c r="BD36" s="814">
        <f t="shared" si="12"/>
        <v>0</v>
      </c>
      <c r="BE36" s="814">
        <f t="shared" si="12"/>
        <v>0</v>
      </c>
      <c r="BF36" s="814">
        <f t="shared" si="12"/>
        <v>0</v>
      </c>
      <c r="BG36" s="814">
        <f t="shared" si="12"/>
        <v>0</v>
      </c>
      <c r="BH36" s="814">
        <f t="shared" si="12"/>
        <v>2112</v>
      </c>
      <c r="BI36" s="814">
        <f t="shared" si="12"/>
        <v>0</v>
      </c>
      <c r="BJ36" s="814">
        <f t="shared" si="12"/>
        <v>0</v>
      </c>
      <c r="BK36" s="815">
        <f t="shared" si="12"/>
        <v>24</v>
      </c>
    </row>
    <row r="37" spans="1:65" ht="20.100000000000001" customHeight="1"/>
    <row r="38" spans="1:65" ht="20.100000000000001" customHeight="1">
      <c r="BK38" s="816"/>
    </row>
    <row r="39" spans="1:65">
      <c r="J39" s="767">
        <v>49</v>
      </c>
    </row>
  </sheetData>
  <mergeCells count="57">
    <mergeCell ref="R2:S2"/>
    <mergeCell ref="A1:B1"/>
    <mergeCell ref="J2:K2"/>
    <mergeCell ref="L2:M2"/>
    <mergeCell ref="N2:O2"/>
    <mergeCell ref="P2:Q2"/>
    <mergeCell ref="AP2:AQ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BD2:BE2"/>
    <mergeCell ref="BF2:BG2"/>
    <mergeCell ref="BH2:BI2"/>
    <mergeCell ref="BJ2:BK2"/>
    <mergeCell ref="J4:K4"/>
    <mergeCell ref="L4:M4"/>
    <mergeCell ref="N4:O4"/>
    <mergeCell ref="P4:Q4"/>
    <mergeCell ref="R4:S4"/>
    <mergeCell ref="T4:U4"/>
    <mergeCell ref="AR2:AS2"/>
    <mergeCell ref="AT2:AU2"/>
    <mergeCell ref="AV2:AW2"/>
    <mergeCell ref="AX2:AY2"/>
    <mergeCell ref="AZ2:BA2"/>
    <mergeCell ref="BB2:BC2"/>
    <mergeCell ref="AT4:AU4"/>
    <mergeCell ref="V4:W4"/>
    <mergeCell ref="X4:Y4"/>
    <mergeCell ref="Z4:AA4"/>
    <mergeCell ref="AD4:AE4"/>
    <mergeCell ref="AF4:AG4"/>
    <mergeCell ref="AH4:AI4"/>
    <mergeCell ref="BH4:BI4"/>
    <mergeCell ref="BJ4:BK4"/>
    <mergeCell ref="A5:A15"/>
    <mergeCell ref="A17:A27"/>
    <mergeCell ref="A28:A36"/>
    <mergeCell ref="AV4:AW4"/>
    <mergeCell ref="AX4:AY4"/>
    <mergeCell ref="AZ4:BA4"/>
    <mergeCell ref="BB4:BC4"/>
    <mergeCell ref="BD4:BE4"/>
    <mergeCell ref="BF4:BG4"/>
    <mergeCell ref="AJ4:AK4"/>
    <mergeCell ref="AL4:AM4"/>
    <mergeCell ref="AN4:AO4"/>
    <mergeCell ref="AP4:AQ4"/>
    <mergeCell ref="AR4:AS4"/>
  </mergeCells>
  <printOptions horizontalCentered="1"/>
  <pageMargins left="0" right="0" top="0.25" bottom="0" header="0.3" footer="0.3"/>
  <pageSetup paperSize="5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1D54-0E58-4F63-BBA0-F5686D691735}">
  <dimension ref="A1:U27"/>
  <sheetViews>
    <sheetView zoomScale="80" zoomScaleNormal="80" workbookViewId="0">
      <selection activeCell="H18" sqref="H18"/>
    </sheetView>
  </sheetViews>
  <sheetFormatPr defaultColWidth="9.109375" defaultRowHeight="19.95" customHeight="1"/>
  <cols>
    <col min="1" max="1" width="6.6640625" style="663" customWidth="1"/>
    <col min="2" max="2" width="15.109375" style="625" bestFit="1" customWidth="1"/>
    <col min="3" max="3" width="18.109375" style="625" customWidth="1"/>
    <col min="4" max="4" width="19.5546875" style="625" bestFit="1" customWidth="1"/>
    <col min="5" max="5" width="19.6640625" style="625" bestFit="1" customWidth="1"/>
    <col min="6" max="6" width="19.6640625" style="625" customWidth="1"/>
    <col min="7" max="7" width="17.44140625" style="625" customWidth="1"/>
    <col min="8" max="8" width="14.33203125" style="625" customWidth="1"/>
    <col min="9" max="9" width="14.44140625" style="625" bestFit="1" customWidth="1"/>
    <col min="10" max="10" width="15.6640625" style="625" bestFit="1" customWidth="1"/>
    <col min="11" max="11" width="16.5546875" style="625" customWidth="1"/>
    <col min="12" max="12" width="8.33203125" style="625" bestFit="1" customWidth="1"/>
    <col min="13" max="13" width="11.33203125" style="625" bestFit="1" customWidth="1"/>
    <col min="14" max="14" width="9.5546875" style="625" bestFit="1" customWidth="1"/>
    <col min="15" max="15" width="11.5546875" style="625" bestFit="1" customWidth="1"/>
    <col min="16" max="16" width="14.33203125" style="625" customWidth="1"/>
    <col min="17" max="17" width="21.6640625" style="625" customWidth="1"/>
    <col min="18" max="18" width="25.6640625" style="625" bestFit="1" customWidth="1"/>
    <col min="19" max="19" width="11.5546875" style="625" bestFit="1" customWidth="1"/>
    <col min="20" max="20" width="13" style="625" bestFit="1" customWidth="1"/>
    <col min="21" max="21" width="17.6640625" style="625" customWidth="1"/>
    <col min="22" max="16384" width="9.109375" style="625"/>
  </cols>
  <sheetData>
    <row r="1" spans="1:21" ht="15.6">
      <c r="A1" s="953" t="s">
        <v>1178</v>
      </c>
      <c r="B1" s="954"/>
      <c r="C1" s="954"/>
      <c r="D1" s="955"/>
      <c r="E1" s="618"/>
      <c r="F1" s="618"/>
      <c r="G1" s="618"/>
      <c r="H1" s="618"/>
      <c r="I1" s="619"/>
      <c r="J1" s="620" t="s">
        <v>1179</v>
      </c>
      <c r="K1" s="621" t="s">
        <v>1180</v>
      </c>
      <c r="L1" s="622"/>
      <c r="M1" s="618"/>
      <c r="N1" s="618" t="s">
        <v>1181</v>
      </c>
      <c r="O1" s="623" t="s">
        <v>1182</v>
      </c>
      <c r="P1" s="618"/>
      <c r="Q1" s="619"/>
      <c r="R1" s="620" t="s">
        <v>1183</v>
      </c>
      <c r="S1" s="622" t="s">
        <v>1184</v>
      </c>
      <c r="T1" s="618" t="s">
        <v>1185</v>
      </c>
      <c r="U1" s="624"/>
    </row>
    <row r="2" spans="1:21" ht="14.4" thickBot="1">
      <c r="A2" s="626" t="s">
        <v>1</v>
      </c>
      <c r="B2" s="627" t="s">
        <v>351</v>
      </c>
      <c r="C2" s="627" t="s">
        <v>1186</v>
      </c>
      <c r="D2" s="627" t="s">
        <v>1187</v>
      </c>
      <c r="E2" s="627" t="s">
        <v>1188</v>
      </c>
      <c r="F2" s="627" t="s">
        <v>352</v>
      </c>
      <c r="G2" s="627" t="s">
        <v>112</v>
      </c>
      <c r="H2" s="627" t="s">
        <v>1189</v>
      </c>
      <c r="I2" s="628" t="s">
        <v>1190</v>
      </c>
      <c r="J2" s="629" t="s">
        <v>1191</v>
      </c>
      <c r="K2" s="630" t="s">
        <v>1192</v>
      </c>
      <c r="L2" s="631" t="s">
        <v>1193</v>
      </c>
      <c r="M2" s="627" t="s">
        <v>1194</v>
      </c>
      <c r="N2" s="627" t="s">
        <v>1195</v>
      </c>
      <c r="O2" s="627" t="s">
        <v>1196</v>
      </c>
      <c r="P2" s="627" t="s">
        <v>1197</v>
      </c>
      <c r="Q2" s="628" t="s">
        <v>1198</v>
      </c>
      <c r="R2" s="629" t="s">
        <v>1199</v>
      </c>
      <c r="S2" s="631" t="s">
        <v>1200</v>
      </c>
      <c r="T2" s="627" t="s">
        <v>1201</v>
      </c>
      <c r="U2" s="632" t="s">
        <v>323</v>
      </c>
    </row>
    <row r="3" spans="1:21" ht="19.95" customHeight="1">
      <c r="A3" s="633">
        <v>1</v>
      </c>
      <c r="B3" s="634" t="s">
        <v>1202</v>
      </c>
      <c r="C3" s="634" t="s">
        <v>229</v>
      </c>
      <c r="D3" s="633" t="s">
        <v>1203</v>
      </c>
      <c r="E3" s="635" t="s">
        <v>1204</v>
      </c>
      <c r="F3" s="634" t="s">
        <v>229</v>
      </c>
      <c r="G3" s="636" t="s">
        <v>1205</v>
      </c>
      <c r="H3" s="637">
        <v>1358</v>
      </c>
      <c r="I3" s="638">
        <v>1375</v>
      </c>
      <c r="J3" s="639">
        <f>I3-H3</f>
        <v>17</v>
      </c>
      <c r="K3" s="640" t="s">
        <v>1206</v>
      </c>
      <c r="L3" s="641" t="s">
        <v>1207</v>
      </c>
      <c r="M3" s="642">
        <v>24</v>
      </c>
      <c r="N3" s="643">
        <v>0.2</v>
      </c>
      <c r="O3" s="644">
        <v>1358</v>
      </c>
      <c r="P3" s="642">
        <v>35</v>
      </c>
      <c r="Q3" s="645">
        <v>4</v>
      </c>
      <c r="R3" s="639">
        <f>O3+P3-Q3</f>
        <v>1389</v>
      </c>
      <c r="S3" s="646">
        <v>1500</v>
      </c>
      <c r="T3" s="633">
        <v>1500</v>
      </c>
      <c r="U3" s="633" t="s">
        <v>1208</v>
      </c>
    </row>
    <row r="4" spans="1:21" ht="19.95" customHeight="1">
      <c r="A4" s="647">
        <v>2</v>
      </c>
      <c r="B4" s="634" t="s">
        <v>1202</v>
      </c>
      <c r="C4" s="634" t="s">
        <v>229</v>
      </c>
      <c r="D4" s="633" t="s">
        <v>1203</v>
      </c>
      <c r="E4" s="635" t="s">
        <v>1204</v>
      </c>
      <c r="F4" s="634" t="s">
        <v>229</v>
      </c>
      <c r="G4" s="636" t="s">
        <v>1209</v>
      </c>
      <c r="H4" s="647">
        <v>1492</v>
      </c>
      <c r="I4" s="637">
        <v>1512</v>
      </c>
      <c r="J4" s="639">
        <f>I4-H4</f>
        <v>20</v>
      </c>
      <c r="K4" s="640" t="s">
        <v>1206</v>
      </c>
      <c r="L4" s="641" t="s">
        <v>1207</v>
      </c>
      <c r="M4" s="647">
        <v>14</v>
      </c>
      <c r="N4" s="643">
        <v>0.19</v>
      </c>
      <c r="O4" s="647">
        <v>1492</v>
      </c>
      <c r="P4" s="635">
        <v>35</v>
      </c>
      <c r="Q4" s="645">
        <v>4</v>
      </c>
      <c r="R4" s="639">
        <f t="shared" ref="R4:R27" si="0">O4+P4-Q4</f>
        <v>1523</v>
      </c>
      <c r="S4" s="641">
        <v>1500</v>
      </c>
      <c r="T4" s="647">
        <v>3000</v>
      </c>
      <c r="U4" s="633" t="s">
        <v>1210</v>
      </c>
    </row>
    <row r="5" spans="1:21" ht="19.95" customHeight="1">
      <c r="A5" s="633">
        <v>3</v>
      </c>
      <c r="B5" s="634" t="s">
        <v>1202</v>
      </c>
      <c r="C5" s="648" t="s">
        <v>241</v>
      </c>
      <c r="D5" s="633" t="s">
        <v>1211</v>
      </c>
      <c r="E5" s="647" t="s">
        <v>1212</v>
      </c>
      <c r="F5" s="648" t="s">
        <v>241</v>
      </c>
      <c r="G5" s="636" t="s">
        <v>1213</v>
      </c>
      <c r="H5" s="647">
        <v>1208</v>
      </c>
      <c r="I5" s="649">
        <v>1228</v>
      </c>
      <c r="J5" s="639">
        <f>I5-H5</f>
        <v>20</v>
      </c>
      <c r="K5" s="650" t="s">
        <v>1214</v>
      </c>
      <c r="L5" s="651" t="s">
        <v>1215</v>
      </c>
      <c r="M5" s="647">
        <v>24</v>
      </c>
      <c r="N5" s="643">
        <v>0.2</v>
      </c>
      <c r="O5" s="647">
        <v>1208</v>
      </c>
      <c r="P5" s="647">
        <v>60</v>
      </c>
      <c r="Q5" s="649">
        <v>36</v>
      </c>
      <c r="R5" s="639">
        <f t="shared" si="0"/>
        <v>1232</v>
      </c>
      <c r="S5" s="641">
        <v>1500</v>
      </c>
      <c r="T5" s="647">
        <v>1500</v>
      </c>
      <c r="U5" s="648" t="s">
        <v>1216</v>
      </c>
    </row>
    <row r="6" spans="1:21" ht="19.95" customHeight="1">
      <c r="A6" s="647">
        <v>4</v>
      </c>
      <c r="B6" s="634" t="s">
        <v>1202</v>
      </c>
      <c r="C6" s="648" t="s">
        <v>241</v>
      </c>
      <c r="D6" s="647" t="s">
        <v>1217</v>
      </c>
      <c r="E6" s="647" t="s">
        <v>1218</v>
      </c>
      <c r="F6" s="648" t="s">
        <v>241</v>
      </c>
      <c r="G6" s="636" t="s">
        <v>1219</v>
      </c>
      <c r="H6" s="647">
        <v>1000</v>
      </c>
      <c r="I6" s="649">
        <v>1020</v>
      </c>
      <c r="J6" s="639">
        <f t="shared" ref="J6:J26" si="1">I6-H6</f>
        <v>20</v>
      </c>
      <c r="K6" s="650" t="s">
        <v>1220</v>
      </c>
      <c r="L6" s="641" t="s">
        <v>1221</v>
      </c>
      <c r="M6" s="647">
        <v>30</v>
      </c>
      <c r="N6" s="643">
        <v>0.25</v>
      </c>
      <c r="O6" s="647">
        <v>1000</v>
      </c>
      <c r="P6" s="647">
        <v>80</v>
      </c>
      <c r="Q6" s="649">
        <v>40</v>
      </c>
      <c r="R6" s="639">
        <f t="shared" si="0"/>
        <v>1040</v>
      </c>
      <c r="S6" s="641">
        <v>1200</v>
      </c>
      <c r="T6" s="647">
        <v>500</v>
      </c>
      <c r="U6" s="648"/>
    </row>
    <row r="7" spans="1:21" ht="19.95" customHeight="1">
      <c r="A7" s="633">
        <v>5</v>
      </c>
      <c r="B7" s="634" t="s">
        <v>1202</v>
      </c>
      <c r="C7" s="648" t="s">
        <v>241</v>
      </c>
      <c r="D7" s="633" t="s">
        <v>1222</v>
      </c>
      <c r="E7" s="647" t="s">
        <v>1218</v>
      </c>
      <c r="F7" s="648" t="s">
        <v>241</v>
      </c>
      <c r="G7" s="636" t="s">
        <v>1223</v>
      </c>
      <c r="H7" s="647">
        <v>1300</v>
      </c>
      <c r="I7" s="649">
        <v>1320</v>
      </c>
      <c r="J7" s="639">
        <f t="shared" si="1"/>
        <v>20</v>
      </c>
      <c r="K7" s="650" t="s">
        <v>1214</v>
      </c>
      <c r="L7" s="651" t="s">
        <v>1215</v>
      </c>
      <c r="M7" s="647">
        <v>12</v>
      </c>
      <c r="N7" s="643">
        <v>0.2</v>
      </c>
      <c r="O7" s="647">
        <v>1300</v>
      </c>
      <c r="P7" s="647">
        <v>75</v>
      </c>
      <c r="Q7" s="649">
        <v>108</v>
      </c>
      <c r="R7" s="639">
        <f t="shared" si="0"/>
        <v>1267</v>
      </c>
      <c r="S7" s="641">
        <v>1500</v>
      </c>
      <c r="T7" s="647">
        <v>100</v>
      </c>
      <c r="U7" s="648"/>
    </row>
    <row r="8" spans="1:21" ht="19.95" customHeight="1">
      <c r="A8" s="647">
        <v>6</v>
      </c>
      <c r="B8" s="634" t="s">
        <v>1202</v>
      </c>
      <c r="C8" s="648" t="s">
        <v>241</v>
      </c>
      <c r="D8" s="633" t="s">
        <v>1222</v>
      </c>
      <c r="E8" s="647" t="s">
        <v>1224</v>
      </c>
      <c r="F8" s="648" t="s">
        <v>241</v>
      </c>
      <c r="G8" s="636" t="s">
        <v>1225</v>
      </c>
      <c r="H8" s="647">
        <v>1371</v>
      </c>
      <c r="I8" s="649">
        <v>1391</v>
      </c>
      <c r="J8" s="639">
        <f t="shared" si="1"/>
        <v>20</v>
      </c>
      <c r="K8" s="640" t="s">
        <v>1206</v>
      </c>
      <c r="L8" s="641" t="s">
        <v>1207</v>
      </c>
      <c r="M8" s="647">
        <v>14</v>
      </c>
      <c r="N8" s="652">
        <v>0.17</v>
      </c>
      <c r="O8" s="647">
        <v>1371</v>
      </c>
      <c r="P8" s="647">
        <v>60</v>
      </c>
      <c r="Q8" s="649">
        <v>6</v>
      </c>
      <c r="R8" s="639">
        <f t="shared" si="0"/>
        <v>1425</v>
      </c>
      <c r="S8" s="641">
        <v>1600</v>
      </c>
      <c r="T8" s="647">
        <v>4200</v>
      </c>
      <c r="U8" s="648"/>
    </row>
    <row r="9" spans="1:21" ht="19.95" customHeight="1">
      <c r="A9" s="633">
        <v>7</v>
      </c>
      <c r="B9" s="634" t="s">
        <v>1202</v>
      </c>
      <c r="C9" s="648" t="s">
        <v>241</v>
      </c>
      <c r="D9" s="633" t="s">
        <v>539</v>
      </c>
      <c r="E9" s="647" t="s">
        <v>1224</v>
      </c>
      <c r="F9" s="648" t="s">
        <v>241</v>
      </c>
      <c r="G9" s="648" t="s">
        <v>1226</v>
      </c>
      <c r="H9" s="647">
        <v>1414</v>
      </c>
      <c r="I9" s="649">
        <v>1434</v>
      </c>
      <c r="J9" s="639">
        <f t="shared" si="1"/>
        <v>20</v>
      </c>
      <c r="K9" s="640" t="s">
        <v>1206</v>
      </c>
      <c r="L9" s="641" t="s">
        <v>1207</v>
      </c>
      <c r="M9" s="647">
        <v>14</v>
      </c>
      <c r="N9" s="643">
        <v>0.2</v>
      </c>
      <c r="O9" s="647">
        <v>1414</v>
      </c>
      <c r="P9" s="647">
        <v>36</v>
      </c>
      <c r="Q9" s="649">
        <v>71</v>
      </c>
      <c r="R9" s="639">
        <f t="shared" si="0"/>
        <v>1379</v>
      </c>
      <c r="S9" s="641">
        <v>1500</v>
      </c>
      <c r="T9" s="647">
        <v>1000</v>
      </c>
      <c r="U9" s="648"/>
    </row>
    <row r="10" spans="1:21" ht="19.95" customHeight="1">
      <c r="A10" s="647">
        <v>8</v>
      </c>
      <c r="B10" s="634" t="s">
        <v>1202</v>
      </c>
      <c r="C10" s="648" t="s">
        <v>241</v>
      </c>
      <c r="D10" s="647" t="s">
        <v>539</v>
      </c>
      <c r="E10" s="647" t="s">
        <v>1224</v>
      </c>
      <c r="F10" s="648" t="s">
        <v>241</v>
      </c>
      <c r="G10" s="648" t="s">
        <v>1227</v>
      </c>
      <c r="H10" s="647">
        <v>1300</v>
      </c>
      <c r="I10" s="649">
        <v>1320</v>
      </c>
      <c r="J10" s="639">
        <f t="shared" si="1"/>
        <v>20</v>
      </c>
      <c r="K10" s="650" t="s">
        <v>1214</v>
      </c>
      <c r="L10" s="651" t="s">
        <v>1215</v>
      </c>
      <c r="M10" s="647">
        <v>12</v>
      </c>
      <c r="N10" s="643">
        <v>0.25</v>
      </c>
      <c r="O10" s="647">
        <v>1300</v>
      </c>
      <c r="P10" s="647">
        <v>25</v>
      </c>
      <c r="Q10" s="649">
        <v>16</v>
      </c>
      <c r="R10" s="639">
        <f t="shared" si="0"/>
        <v>1309</v>
      </c>
      <c r="S10" s="641">
        <v>1400</v>
      </c>
      <c r="T10" s="647">
        <v>500</v>
      </c>
      <c r="U10" s="648" t="s">
        <v>1228</v>
      </c>
    </row>
    <row r="11" spans="1:21" ht="19.95" customHeight="1">
      <c r="A11" s="633">
        <v>9</v>
      </c>
      <c r="B11" s="634" t="s">
        <v>1202</v>
      </c>
      <c r="C11" s="648" t="s">
        <v>241</v>
      </c>
      <c r="D11" s="647" t="s">
        <v>1229</v>
      </c>
      <c r="E11" s="647" t="s">
        <v>1224</v>
      </c>
      <c r="F11" s="648" t="s">
        <v>241</v>
      </c>
      <c r="G11" s="648" t="s">
        <v>1230</v>
      </c>
      <c r="H11" s="647">
        <v>1358</v>
      </c>
      <c r="I11" s="649">
        <v>1378</v>
      </c>
      <c r="J11" s="639">
        <f t="shared" si="1"/>
        <v>20</v>
      </c>
      <c r="K11" s="640" t="s">
        <v>1206</v>
      </c>
      <c r="L11" s="641" t="s">
        <v>1207</v>
      </c>
      <c r="M11" s="647">
        <v>24</v>
      </c>
      <c r="N11" s="643">
        <v>0.2</v>
      </c>
      <c r="O11" s="647">
        <v>1358</v>
      </c>
      <c r="P11" s="647">
        <v>15</v>
      </c>
      <c r="Q11" s="649">
        <v>7</v>
      </c>
      <c r="R11" s="639">
        <f t="shared" si="0"/>
        <v>1366</v>
      </c>
      <c r="S11" s="641">
        <v>1500</v>
      </c>
      <c r="T11" s="647">
        <v>1000</v>
      </c>
      <c r="U11" s="648"/>
    </row>
    <row r="12" spans="1:21" ht="19.95" customHeight="1">
      <c r="A12" s="647">
        <v>10</v>
      </c>
      <c r="B12" s="634" t="s">
        <v>1202</v>
      </c>
      <c r="C12" s="648" t="s">
        <v>226</v>
      </c>
      <c r="D12" s="633" t="s">
        <v>1222</v>
      </c>
      <c r="E12" s="647" t="s">
        <v>719</v>
      </c>
      <c r="F12" s="648" t="s">
        <v>226</v>
      </c>
      <c r="G12" s="636" t="s">
        <v>1225</v>
      </c>
      <c r="H12" s="647">
        <v>1371</v>
      </c>
      <c r="I12" s="649">
        <v>1391</v>
      </c>
      <c r="J12" s="639">
        <f t="shared" si="1"/>
        <v>20</v>
      </c>
      <c r="K12" s="640" t="s">
        <v>1206</v>
      </c>
      <c r="L12" s="641" t="s">
        <v>1207</v>
      </c>
      <c r="M12" s="647">
        <v>14</v>
      </c>
      <c r="N12" s="652">
        <v>0.17</v>
      </c>
      <c r="O12" s="647">
        <v>1371</v>
      </c>
      <c r="P12" s="647">
        <v>35.700000000000003</v>
      </c>
      <c r="Q12" s="649">
        <v>21</v>
      </c>
      <c r="R12" s="639">
        <f t="shared" si="0"/>
        <v>1385.7</v>
      </c>
      <c r="S12" s="641">
        <v>1600</v>
      </c>
      <c r="T12" s="647">
        <v>4200</v>
      </c>
      <c r="U12" s="648"/>
    </row>
    <row r="13" spans="1:21" ht="19.95" customHeight="1">
      <c r="A13" s="633">
        <v>11</v>
      </c>
      <c r="B13" s="634" t="s">
        <v>1202</v>
      </c>
      <c r="C13" s="648" t="s">
        <v>226</v>
      </c>
      <c r="D13" s="647" t="s">
        <v>278</v>
      </c>
      <c r="E13" s="647" t="s">
        <v>487</v>
      </c>
      <c r="F13" s="648" t="s">
        <v>226</v>
      </c>
      <c r="G13" s="648" t="s">
        <v>1231</v>
      </c>
      <c r="H13" s="647">
        <v>1300</v>
      </c>
      <c r="I13" s="649">
        <v>1320</v>
      </c>
      <c r="J13" s="639">
        <f t="shared" si="1"/>
        <v>20</v>
      </c>
      <c r="K13" s="650" t="s">
        <v>1214</v>
      </c>
      <c r="L13" s="651" t="s">
        <v>1215</v>
      </c>
      <c r="M13" s="647">
        <v>12</v>
      </c>
      <c r="N13" s="652"/>
      <c r="O13" s="647">
        <v>1300</v>
      </c>
      <c r="P13" s="647">
        <v>75</v>
      </c>
      <c r="Q13" s="649">
        <v>108</v>
      </c>
      <c r="R13" s="639">
        <f t="shared" si="0"/>
        <v>1267</v>
      </c>
      <c r="S13" s="641">
        <v>1500</v>
      </c>
      <c r="T13" s="647">
        <v>200</v>
      </c>
      <c r="U13" s="648"/>
    </row>
    <row r="14" spans="1:21" ht="19.95" customHeight="1">
      <c r="A14" s="647">
        <v>12</v>
      </c>
      <c r="B14" s="634" t="s">
        <v>1202</v>
      </c>
      <c r="C14" s="648" t="s">
        <v>904</v>
      </c>
      <c r="D14" s="647" t="s">
        <v>1217</v>
      </c>
      <c r="E14" s="647" t="s">
        <v>854</v>
      </c>
      <c r="F14" s="648" t="s">
        <v>904</v>
      </c>
      <c r="G14" s="636" t="s">
        <v>1219</v>
      </c>
      <c r="H14" s="647">
        <v>1000</v>
      </c>
      <c r="I14" s="649">
        <v>1020</v>
      </c>
      <c r="J14" s="639">
        <f t="shared" si="1"/>
        <v>20</v>
      </c>
      <c r="K14" s="640" t="s">
        <v>1206</v>
      </c>
      <c r="L14" s="641" t="s">
        <v>1221</v>
      </c>
      <c r="M14" s="647">
        <v>30</v>
      </c>
      <c r="N14" s="643">
        <v>0.25</v>
      </c>
      <c r="O14" s="647">
        <v>1000</v>
      </c>
      <c r="P14" s="647">
        <v>75</v>
      </c>
      <c r="Q14" s="649">
        <v>35</v>
      </c>
      <c r="R14" s="639">
        <f t="shared" si="0"/>
        <v>1040</v>
      </c>
      <c r="S14" s="641">
        <v>1200</v>
      </c>
      <c r="T14" s="647">
        <v>150</v>
      </c>
      <c r="U14" s="648"/>
    </row>
    <row r="15" spans="1:21" ht="19.95" customHeight="1">
      <c r="A15" s="633">
        <v>13</v>
      </c>
      <c r="B15" s="634" t="s">
        <v>1202</v>
      </c>
      <c r="C15" s="648" t="s">
        <v>904</v>
      </c>
      <c r="D15" s="647" t="s">
        <v>1232</v>
      </c>
      <c r="E15" s="647" t="s">
        <v>854</v>
      </c>
      <c r="F15" s="648" t="s">
        <v>904</v>
      </c>
      <c r="G15" s="648" t="s">
        <v>1233</v>
      </c>
      <c r="H15" s="647">
        <v>900</v>
      </c>
      <c r="I15" s="649">
        <v>920</v>
      </c>
      <c r="J15" s="639">
        <f t="shared" si="1"/>
        <v>20</v>
      </c>
      <c r="K15" s="650" t="s">
        <v>1214</v>
      </c>
      <c r="L15" s="641" t="s">
        <v>1221</v>
      </c>
      <c r="M15" s="647">
        <v>24</v>
      </c>
      <c r="N15" s="652">
        <v>0.17</v>
      </c>
      <c r="O15" s="647">
        <v>900</v>
      </c>
      <c r="P15" s="647">
        <v>18.7</v>
      </c>
      <c r="Q15" s="649">
        <v>10</v>
      </c>
      <c r="R15" s="639">
        <f t="shared" si="0"/>
        <v>908.7</v>
      </c>
      <c r="S15" s="641">
        <v>1000</v>
      </c>
      <c r="T15" s="647">
        <v>300</v>
      </c>
      <c r="U15" s="648"/>
    </row>
    <row r="16" spans="1:21" ht="19.95" customHeight="1">
      <c r="A16" s="647">
        <v>14</v>
      </c>
      <c r="B16" s="634" t="s">
        <v>1202</v>
      </c>
      <c r="C16" s="648" t="s">
        <v>232</v>
      </c>
      <c r="D16" s="647" t="s">
        <v>1234</v>
      </c>
      <c r="E16" s="647" t="s">
        <v>230</v>
      </c>
      <c r="F16" s="648" t="s">
        <v>232</v>
      </c>
      <c r="G16" s="648" t="s">
        <v>1235</v>
      </c>
      <c r="H16" s="647">
        <v>1350</v>
      </c>
      <c r="I16" s="649">
        <v>1370</v>
      </c>
      <c r="J16" s="639">
        <f t="shared" si="1"/>
        <v>20</v>
      </c>
      <c r="K16" s="650" t="s">
        <v>1214</v>
      </c>
      <c r="L16" s="641" t="s">
        <v>1207</v>
      </c>
      <c r="M16" s="647">
        <v>14</v>
      </c>
      <c r="N16" s="652">
        <v>0.3</v>
      </c>
      <c r="O16" s="647">
        <v>1350</v>
      </c>
      <c r="P16" s="647">
        <v>28.5</v>
      </c>
      <c r="Q16" s="649">
        <v>14.2</v>
      </c>
      <c r="R16" s="639">
        <f t="shared" si="0"/>
        <v>1364.3</v>
      </c>
      <c r="S16" s="641">
        <v>1500</v>
      </c>
      <c r="T16" s="647">
        <v>300</v>
      </c>
      <c r="U16" s="648"/>
    </row>
    <row r="17" spans="1:21" ht="19.95" customHeight="1">
      <c r="A17" s="633">
        <v>15</v>
      </c>
      <c r="B17" s="634" t="s">
        <v>1202</v>
      </c>
      <c r="C17" s="634" t="s">
        <v>1202</v>
      </c>
      <c r="D17" s="647" t="s">
        <v>1236</v>
      </c>
      <c r="E17" s="647" t="s">
        <v>1237</v>
      </c>
      <c r="F17" s="634" t="s">
        <v>1202</v>
      </c>
      <c r="G17" s="648" t="s">
        <v>1238</v>
      </c>
      <c r="H17" s="647">
        <v>1770</v>
      </c>
      <c r="I17" s="649">
        <v>1790</v>
      </c>
      <c r="J17" s="639">
        <f t="shared" si="1"/>
        <v>20</v>
      </c>
      <c r="K17" s="640" t="s">
        <v>1206</v>
      </c>
      <c r="L17" s="641" t="s">
        <v>1221</v>
      </c>
      <c r="M17" s="647">
        <v>24</v>
      </c>
      <c r="N17" s="652">
        <v>0.17</v>
      </c>
      <c r="O17" s="647">
        <v>1770</v>
      </c>
      <c r="P17" s="647">
        <v>20</v>
      </c>
      <c r="Q17" s="649">
        <v>12</v>
      </c>
      <c r="R17" s="639">
        <f t="shared" si="0"/>
        <v>1778</v>
      </c>
      <c r="S17" s="641">
        <v>2000</v>
      </c>
      <c r="T17" s="647">
        <v>3000</v>
      </c>
      <c r="U17" s="653" t="s">
        <v>1239</v>
      </c>
    </row>
    <row r="18" spans="1:21" ht="19.95" customHeight="1">
      <c r="A18" s="647">
        <v>16</v>
      </c>
      <c r="B18" s="634" t="s">
        <v>1202</v>
      </c>
      <c r="C18" s="648" t="s">
        <v>248</v>
      </c>
      <c r="D18" s="647" t="s">
        <v>1236</v>
      </c>
      <c r="E18" s="647" t="s">
        <v>246</v>
      </c>
      <c r="F18" s="648" t="s">
        <v>248</v>
      </c>
      <c r="G18" s="648" t="s">
        <v>1240</v>
      </c>
      <c r="H18" s="647">
        <v>1354</v>
      </c>
      <c r="I18" s="649">
        <v>1374</v>
      </c>
      <c r="J18" s="639">
        <f t="shared" si="1"/>
        <v>20</v>
      </c>
      <c r="K18" s="640" t="s">
        <v>1206</v>
      </c>
      <c r="L18" s="641" t="s">
        <v>1207</v>
      </c>
      <c r="M18" s="647">
        <v>24</v>
      </c>
      <c r="N18" s="652">
        <v>0.17</v>
      </c>
      <c r="O18" s="647">
        <v>1395</v>
      </c>
      <c r="P18" s="647">
        <v>12</v>
      </c>
      <c r="Q18" s="649">
        <v>20</v>
      </c>
      <c r="R18" s="639">
        <f t="shared" si="0"/>
        <v>1387</v>
      </c>
      <c r="S18" s="641">
        <v>1500</v>
      </c>
      <c r="T18" s="647">
        <v>2000</v>
      </c>
      <c r="U18" s="648"/>
    </row>
    <row r="19" spans="1:21" ht="19.95" customHeight="1">
      <c r="A19" s="633">
        <v>17</v>
      </c>
      <c r="B19" s="634" t="s">
        <v>1202</v>
      </c>
      <c r="C19" s="648" t="s">
        <v>248</v>
      </c>
      <c r="D19" s="654"/>
      <c r="E19" s="647" t="s">
        <v>249</v>
      </c>
      <c r="F19" s="648" t="s">
        <v>248</v>
      </c>
      <c r="G19" s="648" t="s">
        <v>1241</v>
      </c>
      <c r="H19" s="647">
        <v>875</v>
      </c>
      <c r="I19" s="649">
        <v>895</v>
      </c>
      <c r="J19" s="639">
        <f t="shared" si="1"/>
        <v>20</v>
      </c>
      <c r="K19" s="650" t="s">
        <v>1214</v>
      </c>
      <c r="L19" s="641" t="s">
        <v>1221</v>
      </c>
      <c r="M19" s="647">
        <v>24</v>
      </c>
      <c r="N19" s="652">
        <v>0.15</v>
      </c>
      <c r="O19" s="647">
        <v>875</v>
      </c>
      <c r="P19" s="647">
        <v>20</v>
      </c>
      <c r="Q19" s="649">
        <v>12</v>
      </c>
      <c r="R19" s="639">
        <f t="shared" si="0"/>
        <v>883</v>
      </c>
      <c r="S19" s="641">
        <v>1000</v>
      </c>
      <c r="T19" s="647">
        <v>700</v>
      </c>
      <c r="U19" s="654"/>
    </row>
    <row r="20" spans="1:21" ht="19.95" customHeight="1">
      <c r="A20" s="647">
        <v>18</v>
      </c>
      <c r="B20" s="634" t="s">
        <v>1202</v>
      </c>
      <c r="C20" s="648" t="s">
        <v>248</v>
      </c>
      <c r="D20" s="654"/>
      <c r="E20" s="647" t="s">
        <v>249</v>
      </c>
      <c r="F20" s="648" t="s">
        <v>248</v>
      </c>
      <c r="G20" s="648" t="s">
        <v>1242</v>
      </c>
      <c r="H20" s="647">
        <v>850</v>
      </c>
      <c r="I20" s="649">
        <v>870</v>
      </c>
      <c r="J20" s="639">
        <f t="shared" si="1"/>
        <v>20</v>
      </c>
      <c r="K20" s="650" t="s">
        <v>1214</v>
      </c>
      <c r="L20" s="641" t="s">
        <v>1221</v>
      </c>
      <c r="M20" s="647">
        <v>24</v>
      </c>
      <c r="N20" s="643">
        <v>0.25</v>
      </c>
      <c r="O20" s="647">
        <v>850</v>
      </c>
      <c r="P20" s="647">
        <v>20</v>
      </c>
      <c r="Q20" s="649">
        <v>12</v>
      </c>
      <c r="R20" s="639">
        <f t="shared" si="0"/>
        <v>858</v>
      </c>
      <c r="S20" s="641">
        <v>1000</v>
      </c>
      <c r="T20" s="647">
        <v>300</v>
      </c>
      <c r="U20" s="654"/>
    </row>
    <row r="21" spans="1:21" ht="19.95" customHeight="1">
      <c r="A21" s="633">
        <v>19</v>
      </c>
      <c r="B21" s="634" t="s">
        <v>1202</v>
      </c>
      <c r="C21" s="655" t="s">
        <v>522</v>
      </c>
      <c r="D21" s="647" t="s">
        <v>1243</v>
      </c>
      <c r="E21" s="647" t="s">
        <v>1244</v>
      </c>
      <c r="F21" s="655" t="s">
        <v>522</v>
      </c>
      <c r="G21" s="648" t="s">
        <v>1245</v>
      </c>
      <c r="H21" s="647">
        <v>1600</v>
      </c>
      <c r="I21" s="649">
        <v>1620</v>
      </c>
      <c r="J21" s="639">
        <f t="shared" si="1"/>
        <v>20</v>
      </c>
      <c r="K21" s="650" t="s">
        <v>1214</v>
      </c>
      <c r="L21" s="641" t="s">
        <v>1246</v>
      </c>
      <c r="M21" s="647">
        <v>12</v>
      </c>
      <c r="N21" s="652">
        <v>0.32</v>
      </c>
      <c r="O21" s="647">
        <v>1600</v>
      </c>
      <c r="P21" s="647">
        <v>41</v>
      </c>
      <c r="Q21" s="649">
        <v>25</v>
      </c>
      <c r="R21" s="639">
        <f t="shared" si="0"/>
        <v>1616</v>
      </c>
      <c r="S21" s="641">
        <v>2000</v>
      </c>
      <c r="T21" s="647">
        <v>150</v>
      </c>
      <c r="U21" s="654"/>
    </row>
    <row r="22" spans="1:21" ht="19.95" customHeight="1">
      <c r="A22" s="647">
        <v>20</v>
      </c>
      <c r="B22" s="634" t="s">
        <v>1202</v>
      </c>
      <c r="C22" s="655" t="s">
        <v>522</v>
      </c>
      <c r="D22" s="647" t="s">
        <v>1236</v>
      </c>
      <c r="E22" s="647" t="s">
        <v>1244</v>
      </c>
      <c r="F22" s="655" t="s">
        <v>522</v>
      </c>
      <c r="G22" s="648" t="s">
        <v>1247</v>
      </c>
      <c r="H22" s="647">
        <v>1371</v>
      </c>
      <c r="I22" s="649">
        <v>1391</v>
      </c>
      <c r="J22" s="639">
        <f t="shared" si="1"/>
        <v>20</v>
      </c>
      <c r="K22" s="650" t="s">
        <v>1214</v>
      </c>
      <c r="L22" s="641" t="s">
        <v>1207</v>
      </c>
      <c r="M22" s="647">
        <v>14</v>
      </c>
      <c r="N22" s="643">
        <v>0.19</v>
      </c>
      <c r="O22" s="647">
        <v>1371</v>
      </c>
      <c r="P22" s="647">
        <v>35</v>
      </c>
      <c r="Q22" s="649">
        <v>14.2</v>
      </c>
      <c r="R22" s="639">
        <f t="shared" si="0"/>
        <v>1391.8</v>
      </c>
      <c r="S22" s="641">
        <v>1500</v>
      </c>
      <c r="T22" s="647">
        <v>100</v>
      </c>
      <c r="U22" s="648"/>
    </row>
    <row r="23" spans="1:21" ht="19.95" customHeight="1">
      <c r="A23" s="633">
        <v>21</v>
      </c>
      <c r="B23" s="634" t="s">
        <v>1202</v>
      </c>
      <c r="C23" s="655" t="s">
        <v>265</v>
      </c>
      <c r="D23" s="647" t="s">
        <v>298</v>
      </c>
      <c r="E23" s="647" t="s">
        <v>298</v>
      </c>
      <c r="F23" s="655" t="s">
        <v>265</v>
      </c>
      <c r="G23" s="648" t="s">
        <v>1248</v>
      </c>
      <c r="H23" s="647">
        <v>1087</v>
      </c>
      <c r="I23" s="649">
        <v>1107</v>
      </c>
      <c r="J23" s="639">
        <f t="shared" si="1"/>
        <v>20</v>
      </c>
      <c r="K23" s="650" t="s">
        <v>1214</v>
      </c>
      <c r="L23" s="641" t="s">
        <v>1207</v>
      </c>
      <c r="M23" s="647">
        <v>24</v>
      </c>
      <c r="N23" s="652">
        <v>0.17</v>
      </c>
      <c r="O23" s="647">
        <v>1087</v>
      </c>
      <c r="P23" s="647">
        <v>16</v>
      </c>
      <c r="Q23" s="649">
        <v>20.8</v>
      </c>
      <c r="R23" s="639">
        <f t="shared" si="0"/>
        <v>1082.2</v>
      </c>
      <c r="S23" s="641">
        <v>1200</v>
      </c>
      <c r="T23" s="647">
        <v>1500</v>
      </c>
      <c r="U23" s="648"/>
    </row>
    <row r="24" spans="1:21" ht="19.95" customHeight="1">
      <c r="A24" s="647">
        <v>22</v>
      </c>
      <c r="B24" s="634" t="s">
        <v>1202</v>
      </c>
      <c r="C24" s="655" t="s">
        <v>265</v>
      </c>
      <c r="D24" s="647" t="s">
        <v>513</v>
      </c>
      <c r="E24" s="647" t="s">
        <v>513</v>
      </c>
      <c r="F24" s="655" t="s">
        <v>265</v>
      </c>
      <c r="G24" s="648" t="s">
        <v>1249</v>
      </c>
      <c r="H24" s="647">
        <v>979</v>
      </c>
      <c r="I24" s="649">
        <v>999</v>
      </c>
      <c r="J24" s="639">
        <f t="shared" si="1"/>
        <v>20</v>
      </c>
      <c r="K24" s="650" t="s">
        <v>1214</v>
      </c>
      <c r="L24" s="641" t="s">
        <v>1207</v>
      </c>
      <c r="M24" s="647">
        <v>24</v>
      </c>
      <c r="N24" s="643">
        <v>0.19</v>
      </c>
      <c r="O24" s="647">
        <v>979</v>
      </c>
      <c r="P24" s="647"/>
      <c r="Q24" s="649">
        <v>28</v>
      </c>
      <c r="R24" s="639">
        <f t="shared" si="0"/>
        <v>951</v>
      </c>
      <c r="S24" s="641">
        <v>1100</v>
      </c>
      <c r="T24" s="647">
        <v>700</v>
      </c>
      <c r="U24" s="648" t="s">
        <v>1250</v>
      </c>
    </row>
    <row r="25" spans="1:21" ht="19.95" customHeight="1">
      <c r="A25" s="633">
        <v>23</v>
      </c>
      <c r="B25" s="634" t="s">
        <v>1202</v>
      </c>
      <c r="C25" s="655" t="s">
        <v>265</v>
      </c>
      <c r="D25" s="647" t="s">
        <v>1251</v>
      </c>
      <c r="E25" s="647" t="s">
        <v>1251</v>
      </c>
      <c r="F25" s="655" t="s">
        <v>265</v>
      </c>
      <c r="G25" s="648" t="s">
        <v>1252</v>
      </c>
      <c r="H25" s="647">
        <v>979</v>
      </c>
      <c r="I25" s="649">
        <v>999</v>
      </c>
      <c r="J25" s="639">
        <f t="shared" si="1"/>
        <v>20</v>
      </c>
      <c r="K25" s="650" t="s">
        <v>1214</v>
      </c>
      <c r="L25" s="641" t="s">
        <v>1207</v>
      </c>
      <c r="M25" s="647">
        <v>24</v>
      </c>
      <c r="N25" s="652">
        <v>0.17</v>
      </c>
      <c r="O25" s="647">
        <v>979</v>
      </c>
      <c r="P25" s="647"/>
      <c r="Q25" s="649">
        <v>37</v>
      </c>
      <c r="R25" s="639">
        <f t="shared" si="0"/>
        <v>942</v>
      </c>
      <c r="S25" s="641">
        <v>1100</v>
      </c>
      <c r="T25" s="647">
        <v>800</v>
      </c>
      <c r="U25" s="648" t="s">
        <v>1253</v>
      </c>
    </row>
    <row r="26" spans="1:21" ht="19.95" customHeight="1">
      <c r="A26" s="647">
        <v>24</v>
      </c>
      <c r="B26" s="634" t="s">
        <v>1202</v>
      </c>
      <c r="C26" s="655" t="s">
        <v>261</v>
      </c>
      <c r="D26" s="647" t="s">
        <v>1234</v>
      </c>
      <c r="E26" s="647" t="s">
        <v>259</v>
      </c>
      <c r="F26" s="655" t="s">
        <v>261</v>
      </c>
      <c r="G26" s="656" t="s">
        <v>1254</v>
      </c>
      <c r="H26" s="647">
        <v>1378</v>
      </c>
      <c r="I26" s="649">
        <v>1398</v>
      </c>
      <c r="J26" s="657">
        <f t="shared" si="1"/>
        <v>20</v>
      </c>
      <c r="K26" s="650" t="s">
        <v>1214</v>
      </c>
      <c r="L26" s="641" t="s">
        <v>1207</v>
      </c>
      <c r="M26" s="647">
        <v>24</v>
      </c>
      <c r="N26" s="652">
        <v>0.25</v>
      </c>
      <c r="O26" s="647">
        <v>1185</v>
      </c>
      <c r="P26" s="647">
        <v>30</v>
      </c>
      <c r="Q26" s="649">
        <v>12</v>
      </c>
      <c r="R26" s="639">
        <f t="shared" si="0"/>
        <v>1203</v>
      </c>
      <c r="S26" s="641">
        <v>1500</v>
      </c>
      <c r="T26" s="647">
        <v>200</v>
      </c>
      <c r="U26" s="654"/>
    </row>
    <row r="27" spans="1:21" ht="21" customHeight="1" thickBot="1">
      <c r="A27" s="633">
        <v>25</v>
      </c>
      <c r="B27" s="658"/>
      <c r="C27" s="659"/>
      <c r="D27" s="654"/>
      <c r="E27" s="654"/>
      <c r="F27" s="654"/>
      <c r="G27" s="648"/>
      <c r="H27" s="654"/>
      <c r="I27" s="660"/>
      <c r="J27" s="661"/>
      <c r="K27" s="661"/>
      <c r="L27" s="662"/>
      <c r="M27" s="654"/>
      <c r="N27" s="654"/>
      <c r="O27" s="654"/>
      <c r="P27" s="654"/>
      <c r="Q27" s="660"/>
      <c r="R27" s="639">
        <f t="shared" si="0"/>
        <v>0</v>
      </c>
      <c r="S27" s="662"/>
      <c r="T27" s="654"/>
      <c r="U27" s="654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FFF6-D9A3-4853-877A-EC6B6A880420}">
  <sheetPr>
    <tabColor rgb="FFFF0000"/>
  </sheetPr>
  <dimension ref="A1:AC94"/>
  <sheetViews>
    <sheetView zoomScale="50" zoomScaleNormal="50" workbookViewId="0">
      <pane xSplit="4" ySplit="1" topLeftCell="E20" activePane="bottomRight" state="frozen"/>
      <selection pane="topRight" activeCell="E1" sqref="E1"/>
      <selection pane="bottomLeft" activeCell="A3" sqref="A3"/>
      <selection pane="bottomRight" activeCell="N40" sqref="N40"/>
    </sheetView>
  </sheetViews>
  <sheetFormatPr defaultColWidth="9.109375" defaultRowHeight="20.399999999999999"/>
  <cols>
    <col min="1" max="1" width="3" style="229" bestFit="1" customWidth="1"/>
    <col min="2" max="2" width="26.109375" style="229" customWidth="1"/>
    <col min="3" max="3" width="5" style="229" customWidth="1"/>
    <col min="4" max="4" width="7.88671875" style="229" bestFit="1" customWidth="1"/>
    <col min="5" max="26" width="9" style="229" customWidth="1"/>
    <col min="27" max="27" width="9.6640625" style="229" customWidth="1"/>
    <col min="28" max="28" width="9.88671875" style="229" customWidth="1"/>
    <col min="29" max="29" width="12.109375" style="229" bestFit="1" customWidth="1"/>
    <col min="30" max="16384" width="9.109375" style="229"/>
  </cols>
  <sheetData>
    <row r="1" spans="1:29" ht="40.5" customHeight="1" thickBot="1">
      <c r="A1" s="908" t="s">
        <v>111</v>
      </c>
      <c r="B1" s="910" t="s">
        <v>112</v>
      </c>
      <c r="C1" s="910" t="s">
        <v>113</v>
      </c>
      <c r="D1" s="956" t="s">
        <v>114</v>
      </c>
      <c r="E1" s="957" t="s">
        <v>98</v>
      </c>
      <c r="F1" s="907"/>
      <c r="G1" s="906" t="s">
        <v>146</v>
      </c>
      <c r="H1" s="907"/>
      <c r="I1" s="906" t="s">
        <v>147</v>
      </c>
      <c r="J1" s="907"/>
      <c r="K1" s="906" t="s">
        <v>148</v>
      </c>
      <c r="L1" s="907"/>
      <c r="M1" s="906" t="s">
        <v>150</v>
      </c>
      <c r="N1" s="907"/>
      <c r="O1" s="906" t="s">
        <v>151</v>
      </c>
      <c r="P1" s="907"/>
      <c r="Q1" s="906" t="s">
        <v>152</v>
      </c>
      <c r="R1" s="907"/>
      <c r="S1" s="906" t="s">
        <v>153</v>
      </c>
      <c r="T1" s="907"/>
      <c r="U1" s="906" t="s">
        <v>154</v>
      </c>
      <c r="V1" s="907"/>
      <c r="W1" s="906" t="s">
        <v>107</v>
      </c>
      <c r="X1" s="907"/>
      <c r="Y1" s="906" t="s">
        <v>155</v>
      </c>
      <c r="Z1" s="907"/>
      <c r="AA1" s="906" t="s">
        <v>145</v>
      </c>
      <c r="AB1" s="907"/>
      <c r="AC1" s="230" t="s">
        <v>156</v>
      </c>
    </row>
    <row r="2" spans="1:29" ht="19.95" customHeight="1" thickBot="1">
      <c r="A2" s="909"/>
      <c r="B2" s="911"/>
      <c r="C2" s="911"/>
      <c r="D2" s="911"/>
      <c r="E2" s="284">
        <v>2024</v>
      </c>
      <c r="F2" s="285">
        <v>2025</v>
      </c>
      <c r="G2" s="284">
        <v>2024</v>
      </c>
      <c r="H2" s="285">
        <v>2025</v>
      </c>
      <c r="I2" s="284">
        <v>2024</v>
      </c>
      <c r="J2" s="285">
        <v>2025</v>
      </c>
      <c r="K2" s="284">
        <v>2024</v>
      </c>
      <c r="L2" s="285">
        <v>2025</v>
      </c>
      <c r="M2" s="284">
        <v>2024</v>
      </c>
      <c r="N2" s="285">
        <v>2025</v>
      </c>
      <c r="O2" s="284">
        <v>2024</v>
      </c>
      <c r="P2" s="285">
        <v>2025</v>
      </c>
      <c r="Q2" s="284">
        <v>2024</v>
      </c>
      <c r="R2" s="285">
        <v>2025</v>
      </c>
      <c r="S2" s="284">
        <v>2024</v>
      </c>
      <c r="T2" s="285">
        <v>2025</v>
      </c>
      <c r="U2" s="284">
        <v>2024</v>
      </c>
      <c r="V2" s="285">
        <v>2025</v>
      </c>
      <c r="W2" s="284">
        <v>2024</v>
      </c>
      <c r="X2" s="285">
        <v>2025</v>
      </c>
      <c r="Y2" s="284">
        <v>2024</v>
      </c>
      <c r="Z2" s="285">
        <v>2025</v>
      </c>
      <c r="AA2" s="284">
        <v>2024</v>
      </c>
      <c r="AB2" s="285">
        <v>2025</v>
      </c>
      <c r="AC2" s="286" t="s">
        <v>67</v>
      </c>
    </row>
    <row r="3" spans="1:29" ht="19.95" customHeight="1">
      <c r="A3" s="219">
        <v>1</v>
      </c>
      <c r="B3" s="231" t="s">
        <v>13</v>
      </c>
      <c r="C3" s="219">
        <v>0.7</v>
      </c>
      <c r="D3" s="219" t="s">
        <v>15</v>
      </c>
      <c r="E3" s="293">
        <v>105</v>
      </c>
      <c r="F3" s="232"/>
      <c r="G3" s="232">
        <v>34.799999999999997</v>
      </c>
      <c r="H3" s="232"/>
      <c r="I3" s="232">
        <v>60</v>
      </c>
      <c r="J3" s="232">
        <v>12</v>
      </c>
      <c r="K3" s="292">
        <v>72.599999999999994</v>
      </c>
      <c r="L3" s="292">
        <v>25.199999999999996</v>
      </c>
      <c r="M3" s="292">
        <v>280.2</v>
      </c>
      <c r="N3" s="292">
        <v>165.4</v>
      </c>
      <c r="O3" s="232">
        <v>14.4</v>
      </c>
      <c r="P3" s="232">
        <v>30</v>
      </c>
      <c r="Q3" s="232">
        <v>157.20000000000002</v>
      </c>
      <c r="R3" s="232">
        <v>96</v>
      </c>
      <c r="S3" s="232"/>
      <c r="T3" s="232"/>
      <c r="U3" s="232">
        <v>769.19999999999993</v>
      </c>
      <c r="V3" s="232">
        <v>498</v>
      </c>
      <c r="W3" s="232">
        <v>9.6</v>
      </c>
      <c r="X3" s="232">
        <v>1.1999999999999997</v>
      </c>
      <c r="Y3" s="292">
        <v>31.3</v>
      </c>
      <c r="Z3" s="292"/>
      <c r="AA3" s="232">
        <v>1534.2999999999997</v>
      </c>
      <c r="AB3" s="232">
        <v>827.80000000000007</v>
      </c>
      <c r="AC3" s="287">
        <v>0.14134292339515284</v>
      </c>
    </row>
    <row r="4" spans="1:29" s="299" customFormat="1" ht="19.95" customHeight="1">
      <c r="A4" s="296"/>
      <c r="B4" s="297" t="s">
        <v>183</v>
      </c>
      <c r="C4" s="296"/>
      <c r="D4" s="296"/>
      <c r="E4" s="298">
        <f>SUM(E3)</f>
        <v>105</v>
      </c>
      <c r="F4" s="298">
        <f t="shared" ref="F4:Q4" si="0">SUM(F3)</f>
        <v>0</v>
      </c>
      <c r="G4" s="298">
        <f t="shared" si="0"/>
        <v>34.799999999999997</v>
      </c>
      <c r="H4" s="298">
        <f t="shared" si="0"/>
        <v>0</v>
      </c>
      <c r="I4" s="298">
        <f t="shared" si="0"/>
        <v>60</v>
      </c>
      <c r="J4" s="298">
        <f t="shared" si="0"/>
        <v>12</v>
      </c>
      <c r="K4" s="298">
        <f t="shared" si="0"/>
        <v>72.599999999999994</v>
      </c>
      <c r="L4" s="298">
        <f t="shared" si="0"/>
        <v>25.199999999999996</v>
      </c>
      <c r="M4" s="298">
        <f t="shared" si="0"/>
        <v>280.2</v>
      </c>
      <c r="N4" s="298">
        <f t="shared" si="0"/>
        <v>165.4</v>
      </c>
      <c r="O4" s="298">
        <f t="shared" si="0"/>
        <v>14.4</v>
      </c>
      <c r="P4" s="298">
        <f t="shared" si="0"/>
        <v>30</v>
      </c>
      <c r="Q4" s="298">
        <f t="shared" si="0"/>
        <v>157.20000000000002</v>
      </c>
      <c r="R4" s="298">
        <f t="shared" ref="R4" si="1">SUM(R3)</f>
        <v>96</v>
      </c>
      <c r="S4" s="298">
        <f t="shared" ref="S4" si="2">SUM(S3)</f>
        <v>0</v>
      </c>
      <c r="T4" s="298">
        <f t="shared" ref="T4" si="3">SUM(T3)</f>
        <v>0</v>
      </c>
      <c r="U4" s="298">
        <f t="shared" ref="U4" si="4">SUM(U3)</f>
        <v>769.19999999999993</v>
      </c>
      <c r="V4" s="298">
        <f t="shared" ref="V4" si="5">SUM(V3)</f>
        <v>498</v>
      </c>
      <c r="W4" s="298">
        <f t="shared" ref="W4" si="6">SUM(W3)</f>
        <v>9.6</v>
      </c>
      <c r="X4" s="298">
        <f t="shared" ref="X4" si="7">SUM(X3)</f>
        <v>1.1999999999999997</v>
      </c>
      <c r="Y4" s="298">
        <f t="shared" ref="Y4" si="8">SUM(Y3)</f>
        <v>31.3</v>
      </c>
      <c r="Z4" s="298">
        <f t="shared" ref="Z4" si="9">SUM(Z3)</f>
        <v>0</v>
      </c>
      <c r="AA4" s="298">
        <f t="shared" ref="AA4" si="10">SUM(AA3)</f>
        <v>1534.2999999999997</v>
      </c>
      <c r="AB4" s="298">
        <f t="shared" ref="AB4:AC4" si="11">SUM(AB3)</f>
        <v>827.80000000000007</v>
      </c>
      <c r="AC4" s="298">
        <f t="shared" si="11"/>
        <v>0.14134292339515284</v>
      </c>
    </row>
    <row r="5" spans="1:29" ht="19.95" customHeight="1">
      <c r="A5" s="219">
        <v>2</v>
      </c>
      <c r="B5" s="231" t="s">
        <v>17</v>
      </c>
      <c r="C5" s="219">
        <v>1</v>
      </c>
      <c r="D5" s="219" t="s">
        <v>15</v>
      </c>
      <c r="E5" s="293"/>
      <c r="F5" s="292">
        <v>3.4285714285714284</v>
      </c>
      <c r="G5" s="292"/>
      <c r="H5" s="292"/>
      <c r="I5" s="292"/>
      <c r="J5" s="292"/>
      <c r="K5" s="292">
        <v>8.5714285714285712</v>
      </c>
      <c r="L5" s="292">
        <v>0</v>
      </c>
      <c r="M5" s="292"/>
      <c r="N5" s="292"/>
      <c r="O5" s="292"/>
      <c r="P5" s="292"/>
      <c r="Q5" s="292">
        <v>120</v>
      </c>
      <c r="R5" s="292">
        <v>0</v>
      </c>
      <c r="S5" s="292"/>
      <c r="T5" s="292"/>
      <c r="U5" s="232"/>
      <c r="V5" s="232"/>
      <c r="W5" s="232"/>
      <c r="X5" s="232"/>
      <c r="Y5" s="292"/>
      <c r="Z5" s="292"/>
      <c r="AA5" s="232">
        <v>128.57142857142858</v>
      </c>
      <c r="AB5" s="232">
        <v>3.4285714285714284</v>
      </c>
      <c r="AC5" s="287">
        <v>5.8541230826694983E-4</v>
      </c>
    </row>
    <row r="6" spans="1:29" ht="19.95" customHeight="1">
      <c r="A6" s="219">
        <v>3</v>
      </c>
      <c r="B6" s="164" t="s">
        <v>125</v>
      </c>
      <c r="C6" s="152">
        <v>0.64</v>
      </c>
      <c r="D6" s="152" t="s">
        <v>20</v>
      </c>
      <c r="E6" s="293">
        <v>21289.691428571434</v>
      </c>
      <c r="F6" s="292">
        <v>21275.611428571428</v>
      </c>
      <c r="G6" s="292">
        <v>1116.1600000000001</v>
      </c>
      <c r="H6" s="292">
        <v>490.23999999999995</v>
      </c>
      <c r="I6" s="292">
        <v>149.76</v>
      </c>
      <c r="J6" s="292">
        <v>14.08</v>
      </c>
      <c r="K6" s="292">
        <v>5012.4800000000005</v>
      </c>
      <c r="L6" s="292">
        <v>6690.1028571428569</v>
      </c>
      <c r="M6" s="292">
        <v>6900.4800000000014</v>
      </c>
      <c r="N6" s="292">
        <v>10144</v>
      </c>
      <c r="O6" s="292">
        <v>4503.04</v>
      </c>
      <c r="P6" s="292">
        <v>2979.8399999999997</v>
      </c>
      <c r="Q6" s="292">
        <v>37575.497142857137</v>
      </c>
      <c r="R6" s="292">
        <v>42938.880000000005</v>
      </c>
      <c r="S6" s="292">
        <v>2368</v>
      </c>
      <c r="T6" s="292">
        <v>3091.2000000000003</v>
      </c>
      <c r="U6" s="232">
        <v>4750.994285714286</v>
      </c>
      <c r="V6" s="232">
        <v>5218.5599999999995</v>
      </c>
      <c r="W6" s="292">
        <v>6131.2</v>
      </c>
      <c r="X6" s="292">
        <v>6602.1657142857148</v>
      </c>
      <c r="Y6" s="292">
        <v>11612.16</v>
      </c>
      <c r="Z6" s="292">
        <v>10357.731428571427</v>
      </c>
      <c r="AA6" s="232">
        <v>101409.46285714286</v>
      </c>
      <c r="AB6" s="232">
        <v>109802.41142857143</v>
      </c>
      <c r="AC6" s="287">
        <v>18.748240912239218</v>
      </c>
    </row>
    <row r="7" spans="1:29" s="299" customFormat="1" ht="19.95" customHeight="1">
      <c r="A7" s="296"/>
      <c r="B7" s="300" t="s">
        <v>166</v>
      </c>
      <c r="C7" s="301"/>
      <c r="D7" s="301"/>
      <c r="E7" s="298">
        <f>SUM(E5:E6)</f>
        <v>21289.691428571434</v>
      </c>
      <c r="F7" s="298">
        <f t="shared" ref="F7:AC7" si="12">SUM(F5:F6)</f>
        <v>21279.040000000001</v>
      </c>
      <c r="G7" s="298">
        <f t="shared" si="12"/>
        <v>1116.1600000000001</v>
      </c>
      <c r="H7" s="298">
        <f t="shared" si="12"/>
        <v>490.23999999999995</v>
      </c>
      <c r="I7" s="298">
        <f t="shared" si="12"/>
        <v>149.76</v>
      </c>
      <c r="J7" s="298">
        <f t="shared" si="12"/>
        <v>14.08</v>
      </c>
      <c r="K7" s="298">
        <f t="shared" si="12"/>
        <v>5021.0514285714289</v>
      </c>
      <c r="L7" s="298">
        <f t="shared" si="12"/>
        <v>6690.1028571428569</v>
      </c>
      <c r="M7" s="298">
        <f t="shared" si="12"/>
        <v>6900.4800000000014</v>
      </c>
      <c r="N7" s="298">
        <f t="shared" si="12"/>
        <v>10144</v>
      </c>
      <c r="O7" s="298">
        <f t="shared" si="12"/>
        <v>4503.04</v>
      </c>
      <c r="P7" s="298">
        <f t="shared" si="12"/>
        <v>2979.8399999999997</v>
      </c>
      <c r="Q7" s="298">
        <f t="shared" si="12"/>
        <v>37695.497142857137</v>
      </c>
      <c r="R7" s="298">
        <f t="shared" si="12"/>
        <v>42938.880000000005</v>
      </c>
      <c r="S7" s="298">
        <f t="shared" si="12"/>
        <v>2368</v>
      </c>
      <c r="T7" s="298">
        <f t="shared" si="12"/>
        <v>3091.2000000000003</v>
      </c>
      <c r="U7" s="298">
        <f t="shared" si="12"/>
        <v>4750.994285714286</v>
      </c>
      <c r="V7" s="298">
        <f t="shared" si="12"/>
        <v>5218.5599999999995</v>
      </c>
      <c r="W7" s="298">
        <f t="shared" si="12"/>
        <v>6131.2</v>
      </c>
      <c r="X7" s="298">
        <f t="shared" si="12"/>
        <v>6602.1657142857148</v>
      </c>
      <c r="Y7" s="298">
        <f t="shared" si="12"/>
        <v>11612.16</v>
      </c>
      <c r="Z7" s="298">
        <f t="shared" si="12"/>
        <v>10357.731428571427</v>
      </c>
      <c r="AA7" s="298">
        <f t="shared" si="12"/>
        <v>101538.0342857143</v>
      </c>
      <c r="AB7" s="298">
        <f t="shared" si="12"/>
        <v>109805.84</v>
      </c>
      <c r="AC7" s="298">
        <f t="shared" si="12"/>
        <v>18.748826324547487</v>
      </c>
    </row>
    <row r="8" spans="1:29" ht="19.95" customHeight="1">
      <c r="A8" s="219">
        <v>4</v>
      </c>
      <c r="B8" s="164" t="s">
        <v>21</v>
      </c>
      <c r="C8" s="152">
        <v>1</v>
      </c>
      <c r="D8" s="152" t="s">
        <v>15</v>
      </c>
      <c r="E8" s="293">
        <v>6001.7142857142853</v>
      </c>
      <c r="F8" s="292">
        <v>11782.285714285714</v>
      </c>
      <c r="G8" s="292">
        <v>265.71428571428572</v>
      </c>
      <c r="H8" s="292">
        <v>865.71428571428567</v>
      </c>
      <c r="I8" s="292">
        <v>303.42857142857144</v>
      </c>
      <c r="J8" s="292">
        <v>1990.2857142857142</v>
      </c>
      <c r="K8" s="292">
        <v>2470.2857142857142</v>
      </c>
      <c r="L8" s="292">
        <v>3752.5714285714284</v>
      </c>
      <c r="M8" s="292">
        <v>1294.2857142857142</v>
      </c>
      <c r="N8" s="292">
        <v>2700</v>
      </c>
      <c r="O8" s="292">
        <v>120</v>
      </c>
      <c r="P8" s="292">
        <v>222.85714285714286</v>
      </c>
      <c r="Q8" s="292">
        <v>1621.7142857142858</v>
      </c>
      <c r="R8" s="292">
        <v>6288.8571428571431</v>
      </c>
      <c r="S8" s="292"/>
      <c r="T8" s="292">
        <v>360</v>
      </c>
      <c r="U8" s="232">
        <v>171.42857142857142</v>
      </c>
      <c r="V8" s="232">
        <v>51.428571428571431</v>
      </c>
      <c r="W8" s="292">
        <v>2093.1428571428573</v>
      </c>
      <c r="X8" s="292">
        <v>3404.5714285714284</v>
      </c>
      <c r="Y8" s="292"/>
      <c r="Z8" s="292">
        <v>977.14285714285711</v>
      </c>
      <c r="AA8" s="232">
        <v>14341.714285714284</v>
      </c>
      <c r="AB8" s="232">
        <v>32395.714285714286</v>
      </c>
      <c r="AC8" s="287">
        <v>5.5314145477373433</v>
      </c>
    </row>
    <row r="9" spans="1:29" ht="19.95" customHeight="1">
      <c r="A9" s="219">
        <v>5</v>
      </c>
      <c r="B9" s="164" t="s">
        <v>22</v>
      </c>
      <c r="C9" s="152">
        <v>0.6</v>
      </c>
      <c r="D9" s="152" t="s">
        <v>15</v>
      </c>
      <c r="E9" s="293">
        <v>145.02857142857141</v>
      </c>
      <c r="F9" s="292">
        <v>175.8857142857143</v>
      </c>
      <c r="G9" s="292"/>
      <c r="H9" s="292"/>
      <c r="I9" s="292"/>
      <c r="J9" s="292"/>
      <c r="K9" s="292">
        <v>161.48571428571429</v>
      </c>
      <c r="L9" s="292">
        <v>213.94285714285712</v>
      </c>
      <c r="M9" s="292"/>
      <c r="N9" s="292"/>
      <c r="O9" s="292"/>
      <c r="P9" s="292"/>
      <c r="Q9" s="292"/>
      <c r="R9" s="292"/>
      <c r="S9" s="292"/>
      <c r="T9" s="292"/>
      <c r="U9" s="232"/>
      <c r="V9" s="232"/>
      <c r="W9" s="292"/>
      <c r="X9" s="292"/>
      <c r="Y9" s="292"/>
      <c r="Z9" s="292"/>
      <c r="AA9" s="232">
        <v>306.51428571428573</v>
      </c>
      <c r="AB9" s="232">
        <v>389.82857142857142</v>
      </c>
      <c r="AC9" s="287">
        <v>6.6561379449952204E-2</v>
      </c>
    </row>
    <row r="10" spans="1:29" ht="19.95" customHeight="1">
      <c r="A10" s="219">
        <v>6</v>
      </c>
      <c r="B10" s="164" t="s">
        <v>23</v>
      </c>
      <c r="C10" s="152">
        <v>0.64</v>
      </c>
      <c r="D10" s="152" t="s">
        <v>20</v>
      </c>
      <c r="E10" s="293">
        <v>19673.782857142858</v>
      </c>
      <c r="F10" s="292">
        <v>21909.119999999995</v>
      </c>
      <c r="G10" s="292">
        <v>723.19999999999993</v>
      </c>
      <c r="H10" s="292">
        <v>393.96571428571434</v>
      </c>
      <c r="I10" s="292">
        <v>282.88</v>
      </c>
      <c r="J10" s="292">
        <v>710.39999999999986</v>
      </c>
      <c r="K10" s="292">
        <v>6604.7085714285722</v>
      </c>
      <c r="L10" s="292">
        <v>8870.4</v>
      </c>
      <c r="M10" s="292">
        <v>3654.4000000000005</v>
      </c>
      <c r="N10" s="292">
        <v>2592</v>
      </c>
      <c r="O10" s="292">
        <v>4851.2</v>
      </c>
      <c r="P10" s="292">
        <v>134.4</v>
      </c>
      <c r="Q10" s="292">
        <v>4298.24</v>
      </c>
      <c r="R10" s="292">
        <v>5390.0800000000008</v>
      </c>
      <c r="S10" s="292">
        <v>345.59999999999997</v>
      </c>
      <c r="T10" s="292">
        <v>160</v>
      </c>
      <c r="U10" s="232">
        <v>2332.1600000000003</v>
      </c>
      <c r="V10" s="232">
        <v>806.39999999999986</v>
      </c>
      <c r="W10" s="292">
        <v>128</v>
      </c>
      <c r="X10" s="292">
        <v>143.35999999999999</v>
      </c>
      <c r="Y10" s="292">
        <v>350.71999999999997</v>
      </c>
      <c r="Z10" s="292"/>
      <c r="AA10" s="232">
        <v>43244.891428571435</v>
      </c>
      <c r="AB10" s="232">
        <v>41110.125714285714</v>
      </c>
      <c r="AC10" s="287">
        <v>7.0193589630338105</v>
      </c>
    </row>
    <row r="11" spans="1:29" s="299" customFormat="1" ht="19.95" customHeight="1">
      <c r="A11" s="296"/>
      <c r="B11" s="300" t="s">
        <v>167</v>
      </c>
      <c r="C11" s="301"/>
      <c r="D11" s="301"/>
      <c r="E11" s="298">
        <f>SUM(E8:E10)</f>
        <v>25820.525714285715</v>
      </c>
      <c r="F11" s="298">
        <f t="shared" ref="F11:AC11" si="13">SUM(F8:F10)</f>
        <v>33867.291428571421</v>
      </c>
      <c r="G11" s="298">
        <f t="shared" si="13"/>
        <v>988.9142857142856</v>
      </c>
      <c r="H11" s="298">
        <f t="shared" si="13"/>
        <v>1259.68</v>
      </c>
      <c r="I11" s="298">
        <f t="shared" si="13"/>
        <v>586.30857142857144</v>
      </c>
      <c r="J11" s="298">
        <f t="shared" si="13"/>
        <v>2700.6857142857143</v>
      </c>
      <c r="K11" s="298">
        <f t="shared" si="13"/>
        <v>9236.4800000000014</v>
      </c>
      <c r="L11" s="298">
        <f t="shared" si="13"/>
        <v>12836.914285714285</v>
      </c>
      <c r="M11" s="298">
        <f t="shared" si="13"/>
        <v>4948.6857142857152</v>
      </c>
      <c r="N11" s="298">
        <f t="shared" si="13"/>
        <v>5292</v>
      </c>
      <c r="O11" s="298">
        <f t="shared" si="13"/>
        <v>4971.2</v>
      </c>
      <c r="P11" s="298">
        <f t="shared" si="13"/>
        <v>357.25714285714287</v>
      </c>
      <c r="Q11" s="298">
        <f t="shared" si="13"/>
        <v>5919.954285714286</v>
      </c>
      <c r="R11" s="298">
        <f t="shared" si="13"/>
        <v>11678.937142857143</v>
      </c>
      <c r="S11" s="298">
        <f t="shared" si="13"/>
        <v>345.59999999999997</v>
      </c>
      <c r="T11" s="298">
        <f t="shared" si="13"/>
        <v>520</v>
      </c>
      <c r="U11" s="298">
        <f t="shared" si="13"/>
        <v>2503.5885714285719</v>
      </c>
      <c r="V11" s="298">
        <f t="shared" si="13"/>
        <v>857.82857142857131</v>
      </c>
      <c r="W11" s="298">
        <f t="shared" si="13"/>
        <v>2221.1428571428573</v>
      </c>
      <c r="X11" s="298">
        <f t="shared" si="13"/>
        <v>3547.9314285714286</v>
      </c>
      <c r="Y11" s="298">
        <f t="shared" si="13"/>
        <v>350.71999999999997</v>
      </c>
      <c r="Z11" s="298">
        <f t="shared" si="13"/>
        <v>977.14285714285711</v>
      </c>
      <c r="AA11" s="298">
        <f t="shared" si="13"/>
        <v>57893.120000000003</v>
      </c>
      <c r="AB11" s="298">
        <f t="shared" si="13"/>
        <v>73895.66857142857</v>
      </c>
      <c r="AC11" s="298">
        <f t="shared" si="13"/>
        <v>12.617334890221105</v>
      </c>
    </row>
    <row r="12" spans="1:29" ht="19.95" customHeight="1">
      <c r="A12" s="219">
        <v>7</v>
      </c>
      <c r="B12" s="164" t="s">
        <v>24</v>
      </c>
      <c r="C12" s="152">
        <v>1</v>
      </c>
      <c r="D12" s="152" t="s">
        <v>15</v>
      </c>
      <c r="E12" s="293"/>
      <c r="F12" s="292">
        <v>406.28571428571428</v>
      </c>
      <c r="G12" s="292"/>
      <c r="H12" s="292">
        <v>42.857142857142854</v>
      </c>
      <c r="I12" s="292"/>
      <c r="J12" s="292">
        <v>1599.4285714285713</v>
      </c>
      <c r="K12" s="292"/>
      <c r="L12" s="292">
        <v>18.857142857142858</v>
      </c>
      <c r="M12" s="292"/>
      <c r="N12" s="292"/>
      <c r="O12" s="292"/>
      <c r="P12" s="292">
        <v>980.57142857142856</v>
      </c>
      <c r="Q12" s="292"/>
      <c r="R12" s="292">
        <v>1700.5714285714287</v>
      </c>
      <c r="S12" s="292"/>
      <c r="T12" s="292">
        <v>94.285714285714292</v>
      </c>
      <c r="U12" s="232"/>
      <c r="V12" s="232"/>
      <c r="W12" s="292"/>
      <c r="X12" s="292">
        <v>20.571428571428573</v>
      </c>
      <c r="Y12" s="292"/>
      <c r="Z12" s="292"/>
      <c r="AA12" s="232">
        <v>0</v>
      </c>
      <c r="AB12" s="232">
        <v>4863.4285714285716</v>
      </c>
      <c r="AC12" s="287">
        <v>0.83040735927666842</v>
      </c>
    </row>
    <row r="13" spans="1:29" ht="19.95" customHeight="1">
      <c r="A13" s="219">
        <v>8</v>
      </c>
      <c r="B13" s="164" t="s">
        <v>25</v>
      </c>
      <c r="C13" s="152">
        <v>0.64</v>
      </c>
      <c r="D13" s="152" t="s">
        <v>20</v>
      </c>
      <c r="E13" s="293">
        <v>10353.097142857141</v>
      </c>
      <c r="F13" s="292">
        <v>9274.6057142857153</v>
      </c>
      <c r="G13" s="292">
        <v>1635.8400000000004</v>
      </c>
      <c r="H13" s="292">
        <v>711.68</v>
      </c>
      <c r="I13" s="292">
        <v>12112.64</v>
      </c>
      <c r="J13" s="292">
        <v>8012.8</v>
      </c>
      <c r="K13" s="292">
        <v>485.39428571428579</v>
      </c>
      <c r="L13" s="292">
        <v>305.92</v>
      </c>
      <c r="M13" s="292">
        <v>1662.72</v>
      </c>
      <c r="N13" s="292">
        <v>844.80000000000007</v>
      </c>
      <c r="O13" s="292">
        <v>5281.3714285714286</v>
      </c>
      <c r="P13" s="292">
        <v>1063.68</v>
      </c>
      <c r="Q13" s="292">
        <v>15559.680000000002</v>
      </c>
      <c r="R13" s="292">
        <v>12646.4</v>
      </c>
      <c r="S13" s="292">
        <v>1209.6000000000001</v>
      </c>
      <c r="T13" s="292">
        <v>544</v>
      </c>
      <c r="U13" s="232">
        <v>38.4</v>
      </c>
      <c r="V13" s="232"/>
      <c r="W13" s="292">
        <v>234.05714285714288</v>
      </c>
      <c r="X13" s="292">
        <v>129.89714285714285</v>
      </c>
      <c r="Y13" s="292">
        <v>1.28</v>
      </c>
      <c r="Z13" s="292"/>
      <c r="AA13" s="232">
        <v>48574.079999999994</v>
      </c>
      <c r="AB13" s="232">
        <v>33533.782857142862</v>
      </c>
      <c r="AC13" s="287">
        <v>5.725734357969114</v>
      </c>
    </row>
    <row r="14" spans="1:29" s="299" customFormat="1" ht="19.95" customHeight="1">
      <c r="A14" s="296"/>
      <c r="B14" s="300" t="s">
        <v>25</v>
      </c>
      <c r="C14" s="301"/>
      <c r="D14" s="301"/>
      <c r="E14" s="298">
        <f>SUM(E12:E13)</f>
        <v>10353.097142857141</v>
      </c>
      <c r="F14" s="298">
        <f t="shared" ref="F14:AC14" si="14">SUM(F12:F13)</f>
        <v>9680.8914285714291</v>
      </c>
      <c r="G14" s="298">
        <f t="shared" si="14"/>
        <v>1635.8400000000004</v>
      </c>
      <c r="H14" s="298">
        <f t="shared" si="14"/>
        <v>754.53714285714284</v>
      </c>
      <c r="I14" s="298">
        <f t="shared" si="14"/>
        <v>12112.64</v>
      </c>
      <c r="J14" s="298">
        <f t="shared" si="14"/>
        <v>9612.2285714285717</v>
      </c>
      <c r="K14" s="298">
        <f t="shared" si="14"/>
        <v>485.39428571428579</v>
      </c>
      <c r="L14" s="298">
        <f t="shared" si="14"/>
        <v>324.77714285714285</v>
      </c>
      <c r="M14" s="298">
        <f t="shared" si="14"/>
        <v>1662.72</v>
      </c>
      <c r="N14" s="298">
        <f t="shared" si="14"/>
        <v>844.80000000000007</v>
      </c>
      <c r="O14" s="298">
        <f t="shared" si="14"/>
        <v>5281.3714285714286</v>
      </c>
      <c r="P14" s="298">
        <f t="shared" si="14"/>
        <v>2044.2514285714287</v>
      </c>
      <c r="Q14" s="298">
        <f t="shared" si="14"/>
        <v>15559.680000000002</v>
      </c>
      <c r="R14" s="298">
        <f t="shared" si="14"/>
        <v>14346.971428571429</v>
      </c>
      <c r="S14" s="298">
        <f t="shared" si="14"/>
        <v>1209.6000000000001</v>
      </c>
      <c r="T14" s="298">
        <f t="shared" si="14"/>
        <v>638.28571428571433</v>
      </c>
      <c r="U14" s="298">
        <f t="shared" si="14"/>
        <v>38.4</v>
      </c>
      <c r="V14" s="298">
        <f t="shared" si="14"/>
        <v>0</v>
      </c>
      <c r="W14" s="298">
        <f t="shared" si="14"/>
        <v>234.05714285714288</v>
      </c>
      <c r="X14" s="298">
        <f t="shared" si="14"/>
        <v>150.46857142857144</v>
      </c>
      <c r="Y14" s="298">
        <f t="shared" si="14"/>
        <v>1.28</v>
      </c>
      <c r="Z14" s="298">
        <f t="shared" si="14"/>
        <v>0</v>
      </c>
      <c r="AA14" s="298">
        <f t="shared" si="14"/>
        <v>48574.079999999994</v>
      </c>
      <c r="AB14" s="298">
        <f t="shared" si="14"/>
        <v>38397.211428571434</v>
      </c>
      <c r="AC14" s="298">
        <f t="shared" si="14"/>
        <v>6.5561417172457821</v>
      </c>
    </row>
    <row r="15" spans="1:29" ht="19.95" customHeight="1">
      <c r="A15" s="219">
        <v>9</v>
      </c>
      <c r="B15" s="164" t="s">
        <v>26</v>
      </c>
      <c r="C15" s="152">
        <v>1</v>
      </c>
      <c r="D15" s="152" t="s">
        <v>15</v>
      </c>
      <c r="E15" s="293"/>
      <c r="F15" s="292">
        <v>282.85714285714283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32"/>
      <c r="V15" s="232"/>
      <c r="W15" s="292"/>
      <c r="X15" s="292"/>
      <c r="Y15" s="292"/>
      <c r="Z15" s="292"/>
      <c r="AA15" s="232">
        <v>0</v>
      </c>
      <c r="AB15" s="232">
        <v>282.85714285714283</v>
      </c>
      <c r="AC15" s="287">
        <v>4.8296515432023367E-2</v>
      </c>
    </row>
    <row r="16" spans="1:29" ht="19.95" customHeight="1">
      <c r="A16" s="219">
        <v>10</v>
      </c>
      <c r="B16" s="164" t="s">
        <v>27</v>
      </c>
      <c r="C16" s="152">
        <v>0.7</v>
      </c>
      <c r="D16" s="152" t="s">
        <v>15</v>
      </c>
      <c r="E16" s="293">
        <v>826.8</v>
      </c>
      <c r="F16" s="292">
        <v>660</v>
      </c>
      <c r="G16" s="292">
        <v>186</v>
      </c>
      <c r="H16" s="292">
        <v>132</v>
      </c>
      <c r="I16" s="292">
        <v>1219.2</v>
      </c>
      <c r="J16" s="292">
        <v>1680</v>
      </c>
      <c r="K16" s="292">
        <v>152.4</v>
      </c>
      <c r="L16" s="292">
        <v>0</v>
      </c>
      <c r="M16" s="292">
        <v>244.59999999999997</v>
      </c>
      <c r="N16" s="292">
        <v>42</v>
      </c>
      <c r="O16" s="292">
        <v>150</v>
      </c>
      <c r="P16" s="292">
        <v>1.1999999999999997</v>
      </c>
      <c r="Q16" s="292">
        <v>234</v>
      </c>
      <c r="R16" s="292">
        <v>270</v>
      </c>
      <c r="S16" s="292"/>
      <c r="T16" s="292"/>
      <c r="U16" s="232"/>
      <c r="V16" s="232"/>
      <c r="W16" s="292">
        <v>24</v>
      </c>
      <c r="X16" s="292">
        <v>0</v>
      </c>
      <c r="Y16" s="292"/>
      <c r="Z16" s="292"/>
      <c r="AA16" s="232">
        <v>3037</v>
      </c>
      <c r="AB16" s="232">
        <v>2785.2</v>
      </c>
      <c r="AC16" s="287">
        <v>0.47555968862065673</v>
      </c>
    </row>
    <row r="17" spans="1:29" ht="19.95" customHeight="1">
      <c r="A17" s="219">
        <v>11</v>
      </c>
      <c r="B17" s="164" t="s">
        <v>28</v>
      </c>
      <c r="C17" s="152">
        <v>0.68</v>
      </c>
      <c r="D17" s="152" t="s">
        <v>15</v>
      </c>
      <c r="E17" s="293">
        <v>302.11428571428576</v>
      </c>
      <c r="F17" s="292">
        <v>1.1657142857142857</v>
      </c>
      <c r="G17" s="292">
        <v>9.3257142857142856</v>
      </c>
      <c r="H17" s="292">
        <v>0</v>
      </c>
      <c r="I17" s="292"/>
      <c r="J17" s="292"/>
      <c r="K17" s="292">
        <v>36.137142857142862</v>
      </c>
      <c r="L17" s="292">
        <v>139.8857142857143</v>
      </c>
      <c r="M17" s="292">
        <v>30.308571428571433</v>
      </c>
      <c r="N17" s="292">
        <v>17.485714285714288</v>
      </c>
      <c r="O17" s="292">
        <v>116.57142857142858</v>
      </c>
      <c r="P17" s="292">
        <v>23.314285714285717</v>
      </c>
      <c r="Q17" s="292">
        <v>86.845714285714294</v>
      </c>
      <c r="R17" s="292">
        <v>129.39428571428573</v>
      </c>
      <c r="S17" s="292"/>
      <c r="T17" s="292"/>
      <c r="U17" s="232"/>
      <c r="V17" s="232"/>
      <c r="W17" s="292">
        <v>13.502857142857144</v>
      </c>
      <c r="X17" s="292">
        <v>6.9714285714285724</v>
      </c>
      <c r="Y17" s="292"/>
      <c r="Z17" s="292"/>
      <c r="AA17" s="232">
        <v>594.80571428571432</v>
      </c>
      <c r="AB17" s="232">
        <v>318.2171428571429</v>
      </c>
      <c r="AC17" s="287">
        <v>5.4334067704616518E-2</v>
      </c>
    </row>
    <row r="18" spans="1:29" ht="19.95" customHeight="1">
      <c r="A18" s="219">
        <v>12</v>
      </c>
      <c r="B18" s="164" t="s">
        <v>27</v>
      </c>
      <c r="C18" s="152">
        <v>0.64</v>
      </c>
      <c r="D18" s="152" t="s">
        <v>20</v>
      </c>
      <c r="E18" s="293">
        <v>10621.257142857143</v>
      </c>
      <c r="F18" s="292">
        <v>10298.148571428572</v>
      </c>
      <c r="G18" s="292">
        <v>3106.56</v>
      </c>
      <c r="H18" s="292">
        <v>2316.8000000000002</v>
      </c>
      <c r="I18" s="292">
        <v>8741.1200000000008</v>
      </c>
      <c r="J18" s="292">
        <v>10780.160000000002</v>
      </c>
      <c r="K18" s="292">
        <v>160.00000000000003</v>
      </c>
      <c r="L18" s="292">
        <v>64</v>
      </c>
      <c r="M18" s="292">
        <v>2860.7999999999997</v>
      </c>
      <c r="N18" s="292">
        <v>2643.2000000000003</v>
      </c>
      <c r="O18" s="292">
        <v>1036.8</v>
      </c>
      <c r="P18" s="292">
        <v>67.84</v>
      </c>
      <c r="Q18" s="292">
        <v>89.600000000000009</v>
      </c>
      <c r="R18" s="292">
        <v>0</v>
      </c>
      <c r="S18" s="292">
        <v>4358.3999999999996</v>
      </c>
      <c r="T18" s="292">
        <v>4940.8</v>
      </c>
      <c r="U18" s="232">
        <v>309.76000000000005</v>
      </c>
      <c r="V18" s="232"/>
      <c r="W18" s="292">
        <v>34.56</v>
      </c>
      <c r="X18" s="292">
        <v>2.56</v>
      </c>
      <c r="Y18" s="292">
        <v>1868.8</v>
      </c>
      <c r="Z18" s="292">
        <v>1999.36</v>
      </c>
      <c r="AA18" s="232">
        <v>33187.657142857141</v>
      </c>
      <c r="AB18" s="232">
        <v>33112.868571428575</v>
      </c>
      <c r="AC18" s="287">
        <v>5.6538652402575416</v>
      </c>
    </row>
    <row r="19" spans="1:29" ht="19.95" customHeight="1">
      <c r="A19" s="219">
        <v>13</v>
      </c>
      <c r="B19" s="164" t="s">
        <v>29</v>
      </c>
      <c r="C19" s="152">
        <v>0.64</v>
      </c>
      <c r="D19" s="152" t="s">
        <v>20</v>
      </c>
      <c r="E19" s="293">
        <v>51.291428571428575</v>
      </c>
      <c r="F19" s="292">
        <v>0</v>
      </c>
      <c r="G19" s="292">
        <v>14.354285714285714</v>
      </c>
      <c r="H19" s="292"/>
      <c r="I19" s="292">
        <v>55.31428571428571</v>
      </c>
      <c r="J19" s="292"/>
      <c r="K19" s="292">
        <v>389.12</v>
      </c>
      <c r="L19" s="292">
        <v>686.08</v>
      </c>
      <c r="M19" s="292">
        <v>124.16</v>
      </c>
      <c r="N19" s="292">
        <v>0</v>
      </c>
      <c r="O19" s="292">
        <v>30.72</v>
      </c>
      <c r="P19" s="292">
        <v>0</v>
      </c>
      <c r="Q19" s="292">
        <v>501.75999999999993</v>
      </c>
      <c r="R19" s="292">
        <v>392.96000000000004</v>
      </c>
      <c r="S19" s="292">
        <v>256</v>
      </c>
      <c r="T19" s="292">
        <v>192</v>
      </c>
      <c r="U19" s="232">
        <v>0.64</v>
      </c>
      <c r="V19" s="232"/>
      <c r="W19" s="292">
        <v>53.76</v>
      </c>
      <c r="X19" s="292">
        <v>19.2</v>
      </c>
      <c r="Y19" s="292">
        <v>32</v>
      </c>
      <c r="Z19" s="292">
        <v>64.028571428571439</v>
      </c>
      <c r="AA19" s="232">
        <v>1509.1200000000001</v>
      </c>
      <c r="AB19" s="232">
        <v>1354.2685714285715</v>
      </c>
      <c r="AC19" s="287">
        <v>0.23123493470390388</v>
      </c>
    </row>
    <row r="20" spans="1:29" s="299" customFormat="1" ht="19.95" customHeight="1">
      <c r="A20" s="296"/>
      <c r="B20" s="300" t="s">
        <v>168</v>
      </c>
      <c r="C20" s="301"/>
      <c r="D20" s="301"/>
      <c r="E20" s="298">
        <f>SUM(E15:E19)</f>
        <v>11801.462857142857</v>
      </c>
      <c r="F20" s="298">
        <f t="shared" ref="F20:AC20" si="15">SUM(F15:F19)</f>
        <v>11242.17142857143</v>
      </c>
      <c r="G20" s="298">
        <f t="shared" si="15"/>
        <v>3316.24</v>
      </c>
      <c r="H20" s="298">
        <f t="shared" si="15"/>
        <v>2448.8000000000002</v>
      </c>
      <c r="I20" s="298">
        <f t="shared" si="15"/>
        <v>10015.634285714288</v>
      </c>
      <c r="J20" s="298">
        <f t="shared" si="15"/>
        <v>12460.160000000002</v>
      </c>
      <c r="K20" s="298">
        <f t="shared" si="15"/>
        <v>737.65714285714284</v>
      </c>
      <c r="L20" s="298">
        <f t="shared" si="15"/>
        <v>889.96571428571428</v>
      </c>
      <c r="M20" s="298">
        <f t="shared" si="15"/>
        <v>3259.8685714285712</v>
      </c>
      <c r="N20" s="298">
        <f t="shared" si="15"/>
        <v>2702.6857142857148</v>
      </c>
      <c r="O20" s="298">
        <f t="shared" si="15"/>
        <v>1334.0914285714287</v>
      </c>
      <c r="P20" s="298">
        <f t="shared" si="15"/>
        <v>92.354285714285723</v>
      </c>
      <c r="Q20" s="298">
        <f t="shared" si="15"/>
        <v>912.20571428571429</v>
      </c>
      <c r="R20" s="298">
        <f t="shared" si="15"/>
        <v>792.35428571428577</v>
      </c>
      <c r="S20" s="298">
        <f t="shared" si="15"/>
        <v>4614.3999999999996</v>
      </c>
      <c r="T20" s="298">
        <f t="shared" si="15"/>
        <v>5132.8</v>
      </c>
      <c r="U20" s="298">
        <f t="shared" si="15"/>
        <v>310.40000000000003</v>
      </c>
      <c r="V20" s="298">
        <f t="shared" si="15"/>
        <v>0</v>
      </c>
      <c r="W20" s="298">
        <f t="shared" si="15"/>
        <v>125.82285714285715</v>
      </c>
      <c r="X20" s="298">
        <f t="shared" si="15"/>
        <v>28.731428571428573</v>
      </c>
      <c r="Y20" s="298">
        <f t="shared" si="15"/>
        <v>1900.8</v>
      </c>
      <c r="Z20" s="298">
        <f t="shared" si="15"/>
        <v>2063.3885714285711</v>
      </c>
      <c r="AA20" s="298">
        <f t="shared" si="15"/>
        <v>38328.582857142857</v>
      </c>
      <c r="AB20" s="298">
        <f t="shared" si="15"/>
        <v>37853.411428571431</v>
      </c>
      <c r="AC20" s="298">
        <f t="shared" si="15"/>
        <v>6.4632904467187426</v>
      </c>
    </row>
    <row r="21" spans="1:29" ht="19.95" customHeight="1">
      <c r="A21" s="219">
        <v>14</v>
      </c>
      <c r="B21" s="164" t="s">
        <v>30</v>
      </c>
      <c r="C21" s="152">
        <v>0.64</v>
      </c>
      <c r="D21" s="152" t="s">
        <v>20</v>
      </c>
      <c r="E21" s="293">
        <v>35634.560000000005</v>
      </c>
      <c r="F21" s="292">
        <v>32759.314285714288</v>
      </c>
      <c r="G21" s="292">
        <v>552.96</v>
      </c>
      <c r="H21" s="292">
        <v>424.96000000000004</v>
      </c>
      <c r="I21" s="292">
        <v>26596.754285714291</v>
      </c>
      <c r="J21" s="292">
        <v>32572.799999999996</v>
      </c>
      <c r="K21" s="292">
        <v>17941.760000000002</v>
      </c>
      <c r="L21" s="292">
        <v>18040.32</v>
      </c>
      <c r="M21" s="292">
        <v>496.36571428571426</v>
      </c>
      <c r="N21" s="292">
        <v>902.4000000000002</v>
      </c>
      <c r="O21" s="292">
        <v>9306.880000000001</v>
      </c>
      <c r="P21" s="292">
        <v>2003.2000000000003</v>
      </c>
      <c r="Q21" s="292">
        <v>15.360000000000001</v>
      </c>
      <c r="R21" s="292">
        <v>12.8</v>
      </c>
      <c r="S21" s="292">
        <v>6.4</v>
      </c>
      <c r="T21" s="292"/>
      <c r="U21" s="232"/>
      <c r="V21" s="232"/>
      <c r="W21" s="292"/>
      <c r="X21" s="292"/>
      <c r="Y21" s="292">
        <v>1.28</v>
      </c>
      <c r="Z21" s="292">
        <v>0</v>
      </c>
      <c r="AA21" s="232">
        <v>90552.320000000007</v>
      </c>
      <c r="AB21" s="232">
        <v>86715.794285714277</v>
      </c>
      <c r="AC21" s="287">
        <v>14.806310544667244</v>
      </c>
    </row>
    <row r="22" spans="1:29" s="299" customFormat="1" ht="19.95" customHeight="1">
      <c r="A22" s="296"/>
      <c r="B22" s="300" t="s">
        <v>184</v>
      </c>
      <c r="C22" s="301"/>
      <c r="D22" s="301"/>
      <c r="E22" s="298">
        <f>SUM(E21)</f>
        <v>35634.560000000005</v>
      </c>
      <c r="F22" s="298">
        <f t="shared" ref="F22:AC22" si="16">SUM(F21)</f>
        <v>32759.314285714288</v>
      </c>
      <c r="G22" s="298">
        <f t="shared" si="16"/>
        <v>552.96</v>
      </c>
      <c r="H22" s="298">
        <f t="shared" si="16"/>
        <v>424.96000000000004</v>
      </c>
      <c r="I22" s="298">
        <f t="shared" si="16"/>
        <v>26596.754285714291</v>
      </c>
      <c r="J22" s="298">
        <f t="shared" si="16"/>
        <v>32572.799999999996</v>
      </c>
      <c r="K22" s="298">
        <f t="shared" si="16"/>
        <v>17941.760000000002</v>
      </c>
      <c r="L22" s="298">
        <f t="shared" si="16"/>
        <v>18040.32</v>
      </c>
      <c r="M22" s="298">
        <f t="shared" si="16"/>
        <v>496.36571428571426</v>
      </c>
      <c r="N22" s="298">
        <f t="shared" si="16"/>
        <v>902.4000000000002</v>
      </c>
      <c r="O22" s="298">
        <f t="shared" si="16"/>
        <v>9306.880000000001</v>
      </c>
      <c r="P22" s="298">
        <f t="shared" si="16"/>
        <v>2003.2000000000003</v>
      </c>
      <c r="Q22" s="298">
        <f t="shared" si="16"/>
        <v>15.360000000000001</v>
      </c>
      <c r="R22" s="298">
        <f t="shared" si="16"/>
        <v>12.8</v>
      </c>
      <c r="S22" s="298">
        <f t="shared" si="16"/>
        <v>6.4</v>
      </c>
      <c r="T22" s="298">
        <f t="shared" si="16"/>
        <v>0</v>
      </c>
      <c r="U22" s="298">
        <f t="shared" si="16"/>
        <v>0</v>
      </c>
      <c r="V22" s="298">
        <f t="shared" si="16"/>
        <v>0</v>
      </c>
      <c r="W22" s="298">
        <f t="shared" si="16"/>
        <v>0</v>
      </c>
      <c r="X22" s="298">
        <f t="shared" si="16"/>
        <v>0</v>
      </c>
      <c r="Y22" s="298">
        <f t="shared" si="16"/>
        <v>1.28</v>
      </c>
      <c r="Z22" s="298">
        <f t="shared" si="16"/>
        <v>0</v>
      </c>
      <c r="AA22" s="298">
        <f t="shared" si="16"/>
        <v>90552.320000000007</v>
      </c>
      <c r="AB22" s="298">
        <f t="shared" si="16"/>
        <v>86715.794285714277</v>
      </c>
      <c r="AC22" s="298">
        <f t="shared" si="16"/>
        <v>14.806310544667244</v>
      </c>
    </row>
    <row r="23" spans="1:29" ht="19.95" customHeight="1">
      <c r="A23" s="219">
        <v>15</v>
      </c>
      <c r="B23" s="164" t="s">
        <v>62</v>
      </c>
      <c r="C23" s="152">
        <v>0.64</v>
      </c>
      <c r="D23" s="152" t="s">
        <v>20</v>
      </c>
      <c r="E23" s="293">
        <v>13524.937142857143</v>
      </c>
      <c r="F23" s="292">
        <v>10659.108571428573</v>
      </c>
      <c r="G23" s="292">
        <v>599.04</v>
      </c>
      <c r="H23" s="292">
        <v>401.92</v>
      </c>
      <c r="I23" s="292">
        <v>2889.1428571428573</v>
      </c>
      <c r="J23" s="292">
        <v>4083.2</v>
      </c>
      <c r="K23" s="292">
        <v>9274.880000000001</v>
      </c>
      <c r="L23" s="292">
        <v>10304.548571428573</v>
      </c>
      <c r="M23" s="292">
        <v>4334.08</v>
      </c>
      <c r="N23" s="292">
        <v>8101.1200000000008</v>
      </c>
      <c r="O23" s="292">
        <v>7430.4000000000005</v>
      </c>
      <c r="P23" s="292">
        <v>4627.2</v>
      </c>
      <c r="Q23" s="292">
        <v>14.08</v>
      </c>
      <c r="R23" s="292">
        <v>0</v>
      </c>
      <c r="S23" s="292"/>
      <c r="T23" s="292"/>
      <c r="U23" s="232">
        <v>30.720000000000002</v>
      </c>
      <c r="V23" s="232">
        <v>0</v>
      </c>
      <c r="W23" s="292">
        <v>57.600000000000009</v>
      </c>
      <c r="X23" s="292">
        <v>0</v>
      </c>
      <c r="Y23" s="292">
        <v>17.919999999999998</v>
      </c>
      <c r="Z23" s="292">
        <v>0</v>
      </c>
      <c r="AA23" s="232">
        <v>38172.800000000003</v>
      </c>
      <c r="AB23" s="232">
        <v>38177.097142857143</v>
      </c>
      <c r="AC23" s="287">
        <v>6.5185582470550436</v>
      </c>
    </row>
    <row r="24" spans="1:29" s="299" customFormat="1" ht="19.95" customHeight="1">
      <c r="A24" s="296"/>
      <c r="B24" s="300" t="s">
        <v>181</v>
      </c>
      <c r="C24" s="301"/>
      <c r="D24" s="301"/>
      <c r="E24" s="298">
        <f>SUM(E23)</f>
        <v>13524.937142857143</v>
      </c>
      <c r="F24" s="298">
        <f t="shared" ref="F24:AC24" si="17">SUM(F23)</f>
        <v>10659.108571428573</v>
      </c>
      <c r="G24" s="298">
        <f t="shared" si="17"/>
        <v>599.04</v>
      </c>
      <c r="H24" s="298">
        <f t="shared" si="17"/>
        <v>401.92</v>
      </c>
      <c r="I24" s="298">
        <f t="shared" si="17"/>
        <v>2889.1428571428573</v>
      </c>
      <c r="J24" s="298">
        <f t="shared" si="17"/>
        <v>4083.2</v>
      </c>
      <c r="K24" s="298">
        <f t="shared" si="17"/>
        <v>9274.880000000001</v>
      </c>
      <c r="L24" s="298">
        <f t="shared" si="17"/>
        <v>10304.548571428573</v>
      </c>
      <c r="M24" s="298">
        <f t="shared" si="17"/>
        <v>4334.08</v>
      </c>
      <c r="N24" s="298">
        <f t="shared" si="17"/>
        <v>8101.1200000000008</v>
      </c>
      <c r="O24" s="298">
        <f t="shared" si="17"/>
        <v>7430.4000000000005</v>
      </c>
      <c r="P24" s="298">
        <f t="shared" si="17"/>
        <v>4627.2</v>
      </c>
      <c r="Q24" s="298">
        <f t="shared" si="17"/>
        <v>14.08</v>
      </c>
      <c r="R24" s="298">
        <f t="shared" si="17"/>
        <v>0</v>
      </c>
      <c r="S24" s="298">
        <f t="shared" si="17"/>
        <v>0</v>
      </c>
      <c r="T24" s="298">
        <f t="shared" si="17"/>
        <v>0</v>
      </c>
      <c r="U24" s="298">
        <f t="shared" si="17"/>
        <v>30.720000000000002</v>
      </c>
      <c r="V24" s="298">
        <f t="shared" si="17"/>
        <v>0</v>
      </c>
      <c r="W24" s="298">
        <f t="shared" si="17"/>
        <v>57.600000000000009</v>
      </c>
      <c r="X24" s="298">
        <f t="shared" si="17"/>
        <v>0</v>
      </c>
      <c r="Y24" s="298">
        <f t="shared" si="17"/>
        <v>17.919999999999998</v>
      </c>
      <c r="Z24" s="298">
        <f t="shared" si="17"/>
        <v>0</v>
      </c>
      <c r="AA24" s="298">
        <f t="shared" si="17"/>
        <v>38172.800000000003</v>
      </c>
      <c r="AB24" s="298">
        <f t="shared" si="17"/>
        <v>38177.097142857143</v>
      </c>
      <c r="AC24" s="298">
        <f t="shared" si="17"/>
        <v>6.5185582470550436</v>
      </c>
    </row>
    <row r="25" spans="1:29" ht="19.95" customHeight="1">
      <c r="A25" s="219">
        <v>16</v>
      </c>
      <c r="B25" s="233" t="s">
        <v>31</v>
      </c>
      <c r="C25" s="152">
        <v>0.64</v>
      </c>
      <c r="D25" s="152" t="s">
        <v>20</v>
      </c>
      <c r="E25" s="293">
        <v>9.4171428571428599</v>
      </c>
      <c r="F25" s="292">
        <v>0</v>
      </c>
      <c r="G25" s="292"/>
      <c r="H25" s="292"/>
      <c r="I25" s="292"/>
      <c r="J25" s="292"/>
      <c r="K25" s="292">
        <v>2233.6914285714283</v>
      </c>
      <c r="L25" s="292">
        <v>1880.3199999999997</v>
      </c>
      <c r="M25" s="292"/>
      <c r="N25" s="292"/>
      <c r="O25" s="292"/>
      <c r="P25" s="292"/>
      <c r="Q25" s="292">
        <v>58.88</v>
      </c>
      <c r="R25" s="292">
        <v>0</v>
      </c>
      <c r="S25" s="292"/>
      <c r="T25" s="292"/>
      <c r="U25" s="232">
        <v>89.600000000000009</v>
      </c>
      <c r="V25" s="232">
        <v>0</v>
      </c>
      <c r="W25" s="292">
        <v>709.12</v>
      </c>
      <c r="X25" s="292">
        <v>734.69142857142856</v>
      </c>
      <c r="Y25" s="292">
        <v>460.8</v>
      </c>
      <c r="Z25" s="292">
        <v>720.6400000000001</v>
      </c>
      <c r="AA25" s="232">
        <v>3561.5085714285715</v>
      </c>
      <c r="AB25" s="232">
        <v>3335.6514285714284</v>
      </c>
      <c r="AC25" s="287">
        <v>0.56954665902573509</v>
      </c>
    </row>
    <row r="26" spans="1:29" s="299" customFormat="1" ht="19.95" customHeight="1">
      <c r="A26" s="296"/>
      <c r="B26" s="302" t="s">
        <v>185</v>
      </c>
      <c r="C26" s="301"/>
      <c r="D26" s="301"/>
      <c r="E26" s="298">
        <f>SUM(E25)</f>
        <v>9.4171428571428599</v>
      </c>
      <c r="F26" s="298">
        <f t="shared" ref="F26:AC26" si="18">SUM(F25)</f>
        <v>0</v>
      </c>
      <c r="G26" s="298">
        <f t="shared" si="18"/>
        <v>0</v>
      </c>
      <c r="H26" s="298">
        <f t="shared" si="18"/>
        <v>0</v>
      </c>
      <c r="I26" s="298">
        <f t="shared" si="18"/>
        <v>0</v>
      </c>
      <c r="J26" s="298">
        <f t="shared" si="18"/>
        <v>0</v>
      </c>
      <c r="K26" s="298">
        <f t="shared" si="18"/>
        <v>2233.6914285714283</v>
      </c>
      <c r="L26" s="298">
        <f t="shared" si="18"/>
        <v>1880.3199999999997</v>
      </c>
      <c r="M26" s="298">
        <f t="shared" si="18"/>
        <v>0</v>
      </c>
      <c r="N26" s="298">
        <f t="shared" si="18"/>
        <v>0</v>
      </c>
      <c r="O26" s="298">
        <f t="shared" si="18"/>
        <v>0</v>
      </c>
      <c r="P26" s="298">
        <f t="shared" si="18"/>
        <v>0</v>
      </c>
      <c r="Q26" s="298">
        <f t="shared" si="18"/>
        <v>58.88</v>
      </c>
      <c r="R26" s="298">
        <f t="shared" si="18"/>
        <v>0</v>
      </c>
      <c r="S26" s="298">
        <f t="shared" si="18"/>
        <v>0</v>
      </c>
      <c r="T26" s="298">
        <f t="shared" si="18"/>
        <v>0</v>
      </c>
      <c r="U26" s="298">
        <f t="shared" si="18"/>
        <v>89.600000000000009</v>
      </c>
      <c r="V26" s="298">
        <f t="shared" si="18"/>
        <v>0</v>
      </c>
      <c r="W26" s="298">
        <f t="shared" si="18"/>
        <v>709.12</v>
      </c>
      <c r="X26" s="298">
        <f t="shared" si="18"/>
        <v>734.69142857142856</v>
      </c>
      <c r="Y26" s="298">
        <f t="shared" si="18"/>
        <v>460.8</v>
      </c>
      <c r="Z26" s="298">
        <f t="shared" si="18"/>
        <v>720.6400000000001</v>
      </c>
      <c r="AA26" s="298">
        <f t="shared" si="18"/>
        <v>3561.5085714285715</v>
      </c>
      <c r="AB26" s="298">
        <f t="shared" si="18"/>
        <v>3335.6514285714284</v>
      </c>
      <c r="AC26" s="298">
        <f t="shared" si="18"/>
        <v>0.56954665902573509</v>
      </c>
    </row>
    <row r="27" spans="1:29" ht="19.95" customHeight="1">
      <c r="A27" s="219">
        <v>17</v>
      </c>
      <c r="B27" s="164" t="s">
        <v>149</v>
      </c>
      <c r="C27" s="152">
        <v>0.64</v>
      </c>
      <c r="D27" s="152" t="s">
        <v>20</v>
      </c>
      <c r="E27" s="293">
        <v>205.53142857142856</v>
      </c>
      <c r="F27" s="292"/>
      <c r="G27" s="292">
        <v>20.48</v>
      </c>
      <c r="H27" s="292"/>
      <c r="I27" s="292">
        <v>149.85142857142858</v>
      </c>
      <c r="J27" s="292">
        <v>28.16</v>
      </c>
      <c r="K27" s="292">
        <v>156.16000000000003</v>
      </c>
      <c r="L27" s="292">
        <v>101.12</v>
      </c>
      <c r="M27" s="292">
        <v>12.799999999999999</v>
      </c>
      <c r="N27" s="292"/>
      <c r="O27" s="292">
        <v>27.52</v>
      </c>
      <c r="P27" s="292">
        <v>26.880000000000003</v>
      </c>
      <c r="Q27" s="292">
        <v>25.782857142857143</v>
      </c>
      <c r="R27" s="292">
        <v>6.4</v>
      </c>
      <c r="S27" s="292"/>
      <c r="T27" s="292"/>
      <c r="U27" s="232">
        <v>8.411428571428571</v>
      </c>
      <c r="V27" s="232">
        <v>0</v>
      </c>
      <c r="W27" s="292">
        <v>5.12</v>
      </c>
      <c r="X27" s="292">
        <v>0</v>
      </c>
      <c r="Y27" s="292">
        <v>62.537142857142854</v>
      </c>
      <c r="Z27" s="292">
        <v>0</v>
      </c>
      <c r="AA27" s="232">
        <v>674.19428571428568</v>
      </c>
      <c r="AB27" s="232">
        <v>162.56</v>
      </c>
      <c r="AC27" s="287">
        <v>2.7756348909296985E-2</v>
      </c>
    </row>
    <row r="28" spans="1:29" ht="19.95" customHeight="1">
      <c r="A28" s="219">
        <v>18</v>
      </c>
      <c r="B28" s="164" t="s">
        <v>33</v>
      </c>
      <c r="C28" s="152">
        <v>0.64</v>
      </c>
      <c r="D28" s="152" t="s">
        <v>18</v>
      </c>
      <c r="E28" s="293">
        <v>123.97714285714285</v>
      </c>
      <c r="F28" s="292">
        <v>511.26857142857142</v>
      </c>
      <c r="G28" s="292"/>
      <c r="H28" s="292"/>
      <c r="I28" s="292"/>
      <c r="J28" s="292"/>
      <c r="K28" s="292">
        <v>3629.3485714285716</v>
      </c>
      <c r="L28" s="292">
        <v>4662.6742857142863</v>
      </c>
      <c r="M28" s="292"/>
      <c r="N28" s="292"/>
      <c r="O28" s="292">
        <v>394.97142857142859</v>
      </c>
      <c r="P28" s="292">
        <v>197.48571428571429</v>
      </c>
      <c r="Q28" s="292"/>
      <c r="R28" s="292"/>
      <c r="S28" s="292"/>
      <c r="T28" s="292"/>
      <c r="U28" s="232">
        <v>1426.2857142857142</v>
      </c>
      <c r="V28" s="232">
        <v>2238.1714285714284</v>
      </c>
      <c r="W28" s="292"/>
      <c r="X28" s="292"/>
      <c r="Y28" s="292"/>
      <c r="Z28" s="292"/>
      <c r="AA28" s="232">
        <v>5574.5828571428574</v>
      </c>
      <c r="AB28" s="232">
        <v>7609.6</v>
      </c>
      <c r="AC28" s="287">
        <v>1.2993031044548864</v>
      </c>
    </row>
    <row r="29" spans="1:29" ht="19.95" customHeight="1">
      <c r="A29" s="219">
        <v>19</v>
      </c>
      <c r="B29" s="164" t="s">
        <v>42</v>
      </c>
      <c r="C29" s="152">
        <v>0.64</v>
      </c>
      <c r="D29" s="152" t="s">
        <v>20</v>
      </c>
      <c r="E29" s="293">
        <v>4501.028571428571</v>
      </c>
      <c r="F29" s="292">
        <v>4583.68</v>
      </c>
      <c r="G29" s="292">
        <v>2009.6000000000001</v>
      </c>
      <c r="H29" s="292">
        <v>1406.72</v>
      </c>
      <c r="I29" s="292"/>
      <c r="J29" s="292"/>
      <c r="K29" s="292">
        <v>1832.9599999999998</v>
      </c>
      <c r="L29" s="292">
        <v>2708.48</v>
      </c>
      <c r="M29" s="292">
        <v>1002.2399999999999</v>
      </c>
      <c r="N29" s="292">
        <v>1990.3999999999999</v>
      </c>
      <c r="O29" s="292">
        <v>829.43999999999994</v>
      </c>
      <c r="P29" s="292"/>
      <c r="Q29" s="292"/>
      <c r="R29" s="292"/>
      <c r="S29" s="292">
        <v>49.92</v>
      </c>
      <c r="T29" s="292"/>
      <c r="U29" s="232"/>
      <c r="V29" s="232"/>
      <c r="W29" s="292"/>
      <c r="X29" s="292"/>
      <c r="Y29" s="292"/>
      <c r="Z29" s="292"/>
      <c r="AA29" s="232">
        <v>10225.188571428571</v>
      </c>
      <c r="AB29" s="232">
        <v>10689.28</v>
      </c>
      <c r="AC29" s="287">
        <v>1.8251438562325917</v>
      </c>
    </row>
    <row r="30" spans="1:29" s="299" customFormat="1" ht="19.95" customHeight="1">
      <c r="A30" s="296"/>
      <c r="B30" s="300" t="s">
        <v>170</v>
      </c>
      <c r="C30" s="301"/>
      <c r="D30" s="301"/>
      <c r="E30" s="298">
        <f>SUM(E27:E29)</f>
        <v>4830.5371428571425</v>
      </c>
      <c r="F30" s="298">
        <f t="shared" ref="F30:AC30" si="19">SUM(F27:F29)</f>
        <v>5094.948571428572</v>
      </c>
      <c r="G30" s="298">
        <f t="shared" si="19"/>
        <v>2030.0800000000002</v>
      </c>
      <c r="H30" s="298">
        <f t="shared" si="19"/>
        <v>1406.72</v>
      </c>
      <c r="I30" s="298">
        <f t="shared" si="19"/>
        <v>149.85142857142858</v>
      </c>
      <c r="J30" s="298">
        <f t="shared" si="19"/>
        <v>28.16</v>
      </c>
      <c r="K30" s="298">
        <f t="shared" si="19"/>
        <v>5618.4685714285715</v>
      </c>
      <c r="L30" s="298">
        <f t="shared" si="19"/>
        <v>7472.2742857142857</v>
      </c>
      <c r="M30" s="298">
        <f t="shared" si="19"/>
        <v>1015.0399999999998</v>
      </c>
      <c r="N30" s="298">
        <f t="shared" si="19"/>
        <v>1990.3999999999999</v>
      </c>
      <c r="O30" s="298">
        <f t="shared" si="19"/>
        <v>1251.9314285714286</v>
      </c>
      <c r="P30" s="298">
        <f t="shared" si="19"/>
        <v>224.36571428571429</v>
      </c>
      <c r="Q30" s="298">
        <f t="shared" si="19"/>
        <v>25.782857142857143</v>
      </c>
      <c r="R30" s="298">
        <f t="shared" si="19"/>
        <v>6.4</v>
      </c>
      <c r="S30" s="298">
        <f t="shared" si="19"/>
        <v>49.92</v>
      </c>
      <c r="T30" s="298">
        <f t="shared" si="19"/>
        <v>0</v>
      </c>
      <c r="U30" s="298">
        <f t="shared" si="19"/>
        <v>1434.6971428571428</v>
      </c>
      <c r="V30" s="298">
        <f t="shared" si="19"/>
        <v>2238.1714285714284</v>
      </c>
      <c r="W30" s="298">
        <f t="shared" si="19"/>
        <v>5.12</v>
      </c>
      <c r="X30" s="298">
        <f t="shared" si="19"/>
        <v>0</v>
      </c>
      <c r="Y30" s="298">
        <f t="shared" si="19"/>
        <v>62.537142857142854</v>
      </c>
      <c r="Z30" s="298">
        <f t="shared" si="19"/>
        <v>0</v>
      </c>
      <c r="AA30" s="298">
        <f t="shared" si="19"/>
        <v>16473.965714285714</v>
      </c>
      <c r="AB30" s="298">
        <f t="shared" si="19"/>
        <v>18461.440000000002</v>
      </c>
      <c r="AC30" s="298">
        <f t="shared" si="19"/>
        <v>3.152203309596775</v>
      </c>
    </row>
    <row r="31" spans="1:29" ht="19.95" customHeight="1">
      <c r="A31" s="219">
        <v>20</v>
      </c>
      <c r="B31" s="164" t="s">
        <v>34</v>
      </c>
      <c r="C31" s="152">
        <v>0.6</v>
      </c>
      <c r="D31" s="152" t="s">
        <v>18</v>
      </c>
      <c r="E31" s="293">
        <v>82.285714285714292</v>
      </c>
      <c r="F31" s="292">
        <v>483.42857142857144</v>
      </c>
      <c r="G31" s="292">
        <v>6.1714285714285708</v>
      </c>
      <c r="H31" s="292">
        <v>232.45714285714286</v>
      </c>
      <c r="I31" s="292">
        <v>150.17142857142858</v>
      </c>
      <c r="J31" s="292">
        <v>1391.1428571428571</v>
      </c>
      <c r="K31" s="292">
        <v>253.02857142857144</v>
      </c>
      <c r="L31" s="292">
        <v>6255.7714285714274</v>
      </c>
      <c r="M31" s="292"/>
      <c r="N31" s="292"/>
      <c r="O31" s="292">
        <v>102.51428571428571</v>
      </c>
      <c r="P31" s="292">
        <v>2170.5428571428574</v>
      </c>
      <c r="Q31" s="292">
        <v>2476.4571428571426</v>
      </c>
      <c r="R31" s="292">
        <v>10682.742857142857</v>
      </c>
      <c r="S31" s="292">
        <v>17.485714285714284</v>
      </c>
      <c r="T31" s="292"/>
      <c r="U31" s="232"/>
      <c r="V31" s="232"/>
      <c r="W31" s="292">
        <v>164.57142857142858</v>
      </c>
      <c r="X31" s="292">
        <v>311.65714285714284</v>
      </c>
      <c r="Y31" s="292"/>
      <c r="Z31" s="292"/>
      <c r="AA31" s="232">
        <v>3252.6857142857143</v>
      </c>
      <c r="AB31" s="232">
        <v>21527.742857142857</v>
      </c>
      <c r="AC31" s="287">
        <v>3.6757599776850585</v>
      </c>
    </row>
    <row r="32" spans="1:29" ht="19.95" customHeight="1">
      <c r="A32" s="219">
        <v>21</v>
      </c>
      <c r="B32" s="164" t="s">
        <v>35</v>
      </c>
      <c r="C32" s="152">
        <v>0.64</v>
      </c>
      <c r="D32" s="152" t="s">
        <v>20</v>
      </c>
      <c r="E32" s="293">
        <v>448.54857142857145</v>
      </c>
      <c r="F32" s="232">
        <v>0</v>
      </c>
      <c r="G32" s="292">
        <v>66.925714285714292</v>
      </c>
      <c r="H32" s="292">
        <v>0</v>
      </c>
      <c r="I32" s="292">
        <v>153.32571428571433</v>
      </c>
      <c r="J32" s="292">
        <v>2.56</v>
      </c>
      <c r="K32" s="292">
        <v>247.77142857142857</v>
      </c>
      <c r="L32" s="292">
        <v>0</v>
      </c>
      <c r="M32" s="292">
        <v>19.2</v>
      </c>
      <c r="N32" s="292"/>
      <c r="O32" s="292">
        <v>21.759999999999998</v>
      </c>
      <c r="P32" s="292">
        <v>0</v>
      </c>
      <c r="Q32" s="292">
        <v>70.582857142857137</v>
      </c>
      <c r="R32" s="292">
        <v>0</v>
      </c>
      <c r="S32" s="292"/>
      <c r="T32" s="292"/>
      <c r="U32" s="232">
        <v>7.1314285714285717</v>
      </c>
      <c r="V32" s="232"/>
      <c r="W32" s="292">
        <v>9.6</v>
      </c>
      <c r="X32" s="292">
        <v>6.4285714285714288</v>
      </c>
      <c r="Y32" s="292">
        <v>34.83428571428572</v>
      </c>
      <c r="Z32" s="292">
        <v>281.60000000000002</v>
      </c>
      <c r="AA32" s="232">
        <v>1079.68</v>
      </c>
      <c r="AB32" s="232">
        <v>290.58857142857147</v>
      </c>
      <c r="AC32" s="287">
        <v>4.9616620187165346E-2</v>
      </c>
    </row>
    <row r="33" spans="1:29" ht="19.95" customHeight="1">
      <c r="A33" s="219">
        <v>22</v>
      </c>
      <c r="B33" s="164" t="s">
        <v>36</v>
      </c>
      <c r="C33" s="152">
        <v>1</v>
      </c>
      <c r="D33" s="152" t="s">
        <v>18</v>
      </c>
      <c r="E33" s="293"/>
      <c r="F33" s="232">
        <v>6.8571428571428568</v>
      </c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32"/>
      <c r="V33" s="232"/>
      <c r="W33" s="292"/>
      <c r="X33" s="292"/>
      <c r="Y33" s="292"/>
      <c r="Z33" s="292"/>
      <c r="AA33" s="232">
        <v>0</v>
      </c>
      <c r="AB33" s="232">
        <v>6.8571428571428568</v>
      </c>
      <c r="AC33" s="287">
        <v>1.1708246165338997E-3</v>
      </c>
    </row>
    <row r="34" spans="1:29" ht="19.95" customHeight="1">
      <c r="A34" s="219">
        <v>23</v>
      </c>
      <c r="B34" s="164" t="s">
        <v>36</v>
      </c>
      <c r="C34" s="152">
        <v>1</v>
      </c>
      <c r="D34" s="152" t="s">
        <v>15</v>
      </c>
      <c r="E34" s="293"/>
      <c r="F34" s="232">
        <v>53.142857142857146</v>
      </c>
      <c r="G34" s="292"/>
      <c r="H34" s="292">
        <v>764.42857142857144</v>
      </c>
      <c r="I34" s="292"/>
      <c r="J34" s="292">
        <v>1078</v>
      </c>
      <c r="K34" s="292"/>
      <c r="L34" s="292">
        <v>2026.1428571428571</v>
      </c>
      <c r="M34" s="292"/>
      <c r="N34" s="292">
        <v>102.85714285714286</v>
      </c>
      <c r="O34" s="292"/>
      <c r="P34" s="292">
        <v>623.28571428571433</v>
      </c>
      <c r="Q34" s="292"/>
      <c r="R34" s="292">
        <v>841.71428571428567</v>
      </c>
      <c r="S34" s="292"/>
      <c r="T34" s="292">
        <v>68.571428571428569</v>
      </c>
      <c r="U34" s="232"/>
      <c r="V34" s="232"/>
      <c r="W34" s="292"/>
      <c r="X34" s="295">
        <v>168</v>
      </c>
      <c r="Y34" s="292"/>
      <c r="Z34" s="292">
        <v>1539.4285714285713</v>
      </c>
      <c r="AA34" s="232">
        <v>0</v>
      </c>
      <c r="AB34" s="232">
        <v>7265.5714285714275</v>
      </c>
      <c r="AC34" s="287">
        <v>1.2405618577562001</v>
      </c>
    </row>
    <row r="35" spans="1:29" ht="19.95" customHeight="1">
      <c r="A35" s="219">
        <v>24</v>
      </c>
      <c r="B35" s="164" t="s">
        <v>37</v>
      </c>
      <c r="C35" s="152">
        <v>0.6</v>
      </c>
      <c r="D35" s="152" t="s">
        <v>18</v>
      </c>
      <c r="E35" s="293"/>
      <c r="F35" s="232">
        <v>4.1142857142857139</v>
      </c>
      <c r="G35" s="292"/>
      <c r="H35" s="292">
        <v>20.571428571428573</v>
      </c>
      <c r="I35" s="292"/>
      <c r="J35" s="292">
        <v>158.39999999999995</v>
      </c>
      <c r="K35" s="292"/>
      <c r="L35" s="292">
        <v>176.91428571428574</v>
      </c>
      <c r="M35" s="292"/>
      <c r="N35" s="292">
        <v>20.571428571428573</v>
      </c>
      <c r="O35" s="292"/>
      <c r="P35" s="292">
        <v>378.25714285714287</v>
      </c>
      <c r="Q35" s="292"/>
      <c r="R35" s="292">
        <v>302.39999999999998</v>
      </c>
      <c r="S35" s="292"/>
      <c r="T35" s="292">
        <v>102.85714285714286</v>
      </c>
      <c r="U35" s="232"/>
      <c r="V35" s="232"/>
      <c r="W35" s="292"/>
      <c r="X35" s="295">
        <v>57.571428571428569</v>
      </c>
      <c r="Y35" s="292"/>
      <c r="Z35" s="292"/>
      <c r="AA35" s="232">
        <v>0</v>
      </c>
      <c r="AB35" s="232">
        <v>1221.6571428571428</v>
      </c>
      <c r="AC35" s="287">
        <v>0.2085921623073187</v>
      </c>
    </row>
    <row r="36" spans="1:29" s="299" customFormat="1" ht="19.95" customHeight="1">
      <c r="A36" s="296"/>
      <c r="B36" s="300" t="s">
        <v>171</v>
      </c>
      <c r="C36" s="301"/>
      <c r="D36" s="301"/>
      <c r="E36" s="298">
        <f>SUM(E31:E35)</f>
        <v>530.83428571428578</v>
      </c>
      <c r="F36" s="298">
        <f t="shared" ref="F36:AC36" si="20">SUM(F31:F35)</f>
        <v>547.5428571428572</v>
      </c>
      <c r="G36" s="298">
        <f t="shared" si="20"/>
        <v>73.09714285714287</v>
      </c>
      <c r="H36" s="298">
        <f t="shared" si="20"/>
        <v>1017.4571428571429</v>
      </c>
      <c r="I36" s="298">
        <f t="shared" si="20"/>
        <v>303.49714285714288</v>
      </c>
      <c r="J36" s="298">
        <f t="shared" si="20"/>
        <v>2630.1028571428574</v>
      </c>
      <c r="K36" s="298">
        <f t="shared" si="20"/>
        <v>500.8</v>
      </c>
      <c r="L36" s="298">
        <f t="shared" si="20"/>
        <v>8458.8285714285703</v>
      </c>
      <c r="M36" s="298">
        <f t="shared" si="20"/>
        <v>19.2</v>
      </c>
      <c r="N36" s="298">
        <f t="shared" si="20"/>
        <v>123.42857142857143</v>
      </c>
      <c r="O36" s="298">
        <f t="shared" si="20"/>
        <v>124.2742857142857</v>
      </c>
      <c r="P36" s="298">
        <f t="shared" si="20"/>
        <v>3172.0857142857144</v>
      </c>
      <c r="Q36" s="298">
        <f t="shared" si="20"/>
        <v>2547.0399999999995</v>
      </c>
      <c r="R36" s="298">
        <f t="shared" si="20"/>
        <v>11826.857142857143</v>
      </c>
      <c r="S36" s="298">
        <f t="shared" si="20"/>
        <v>17.485714285714284</v>
      </c>
      <c r="T36" s="298">
        <f t="shared" si="20"/>
        <v>171.42857142857144</v>
      </c>
      <c r="U36" s="298">
        <f t="shared" si="20"/>
        <v>7.1314285714285717</v>
      </c>
      <c r="V36" s="298">
        <f t="shared" si="20"/>
        <v>0</v>
      </c>
      <c r="W36" s="298">
        <f t="shared" si="20"/>
        <v>174.17142857142858</v>
      </c>
      <c r="X36" s="298">
        <f t="shared" si="20"/>
        <v>543.65714285714284</v>
      </c>
      <c r="Y36" s="298">
        <f t="shared" si="20"/>
        <v>34.83428571428572</v>
      </c>
      <c r="Z36" s="298">
        <f t="shared" si="20"/>
        <v>1821.0285714285715</v>
      </c>
      <c r="AA36" s="298">
        <f t="shared" si="20"/>
        <v>4332.3657142857146</v>
      </c>
      <c r="AB36" s="298">
        <f t="shared" si="20"/>
        <v>30312.417142857143</v>
      </c>
      <c r="AC36" s="298">
        <f t="shared" si="20"/>
        <v>5.1757014425522767</v>
      </c>
    </row>
    <row r="37" spans="1:29" ht="19.95" customHeight="1">
      <c r="A37" s="219">
        <v>25</v>
      </c>
      <c r="B37" s="164" t="s">
        <v>40</v>
      </c>
      <c r="C37" s="152">
        <v>0.75</v>
      </c>
      <c r="D37" s="152"/>
      <c r="E37" s="293"/>
      <c r="F37" s="23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32"/>
      <c r="V37" s="232"/>
      <c r="W37" s="292"/>
      <c r="X37" s="292"/>
      <c r="Y37" s="292"/>
      <c r="Z37" s="292"/>
      <c r="AA37" s="232">
        <v>0</v>
      </c>
      <c r="AB37" s="232">
        <v>0</v>
      </c>
      <c r="AC37" s="287">
        <v>0</v>
      </c>
    </row>
    <row r="38" spans="1:29" ht="19.95" customHeight="1">
      <c r="A38" s="219">
        <v>26</v>
      </c>
      <c r="B38" s="164" t="s">
        <v>165</v>
      </c>
      <c r="C38" s="152">
        <v>0.6</v>
      </c>
      <c r="D38" s="152" t="s">
        <v>15</v>
      </c>
      <c r="E38" s="293"/>
      <c r="F38" s="232">
        <v>321.94285714285712</v>
      </c>
      <c r="G38" s="292"/>
      <c r="H38" s="292">
        <v>55.542857142857144</v>
      </c>
      <c r="I38" s="292"/>
      <c r="J38" s="292">
        <v>31.885714285714283</v>
      </c>
      <c r="K38" s="292"/>
      <c r="L38" s="292">
        <v>12.342857142857143</v>
      </c>
      <c r="M38" s="292"/>
      <c r="N38" s="292"/>
      <c r="O38" s="292"/>
      <c r="P38" s="292">
        <v>24.685714285714287</v>
      </c>
      <c r="Q38" s="292"/>
      <c r="R38" s="292">
        <v>168.17142857142858</v>
      </c>
      <c r="S38" s="292"/>
      <c r="T38" s="292"/>
      <c r="U38" s="232"/>
      <c r="V38" s="232"/>
      <c r="W38" s="292"/>
      <c r="X38" s="292">
        <v>71.48571428571428</v>
      </c>
      <c r="Y38" s="292"/>
      <c r="Z38" s="292">
        <v>102.85714285714286</v>
      </c>
      <c r="AA38" s="232">
        <v>0</v>
      </c>
      <c r="AB38" s="232">
        <v>788.91428571428582</v>
      </c>
      <c r="AC38" s="287">
        <v>0.13470337213222519</v>
      </c>
    </row>
    <row r="39" spans="1:29" ht="19.95" customHeight="1">
      <c r="A39" s="219">
        <v>27</v>
      </c>
      <c r="B39" s="164" t="s">
        <v>40</v>
      </c>
      <c r="C39" s="152">
        <v>0.64</v>
      </c>
      <c r="D39" s="152" t="s">
        <v>18</v>
      </c>
      <c r="E39" s="293">
        <v>532.66285714285721</v>
      </c>
      <c r="F39" s="232">
        <v>1016.7771428571428</v>
      </c>
      <c r="G39" s="292">
        <v>686.72</v>
      </c>
      <c r="H39" s="292">
        <v>4526.8114285714282</v>
      </c>
      <c r="I39" s="292">
        <v>507.61142857142858</v>
      </c>
      <c r="J39" s="292">
        <v>729.41714285714284</v>
      </c>
      <c r="K39" s="292">
        <v>552.04571428571433</v>
      </c>
      <c r="L39" s="292">
        <v>603.42857142857144</v>
      </c>
      <c r="M39" s="292">
        <v>114.10285714285715</v>
      </c>
      <c r="N39" s="292"/>
      <c r="O39" s="292">
        <v>39.497142857142862</v>
      </c>
      <c r="P39" s="292">
        <v>160.18285714285713</v>
      </c>
      <c r="Q39" s="292">
        <v>1579.8857142857144</v>
      </c>
      <c r="R39" s="292">
        <v>675.84</v>
      </c>
      <c r="S39" s="292">
        <v>296.2285714285714</v>
      </c>
      <c r="T39" s="292">
        <v>482.74285714285713</v>
      </c>
      <c r="U39" s="232">
        <v>1037.8971428571429</v>
      </c>
      <c r="V39" s="232">
        <v>109.71428571428571</v>
      </c>
      <c r="W39" s="292">
        <v>1536.9142857142858</v>
      </c>
      <c r="X39" s="292">
        <v>2265.48</v>
      </c>
      <c r="Y39" s="292">
        <v>618.60571428571427</v>
      </c>
      <c r="Z39" s="292">
        <v>1283.6571428571428</v>
      </c>
      <c r="AA39" s="232">
        <v>7502.1714285714297</v>
      </c>
      <c r="AB39" s="232">
        <v>11854.051428571427</v>
      </c>
      <c r="AC39" s="287">
        <v>2.0240230526585807</v>
      </c>
    </row>
    <row r="40" spans="1:29" ht="19.95" customHeight="1">
      <c r="A40" s="219">
        <v>28</v>
      </c>
      <c r="B40" s="164" t="s">
        <v>164</v>
      </c>
      <c r="C40" s="152">
        <v>0.6</v>
      </c>
      <c r="D40" s="152" t="s">
        <v>15</v>
      </c>
      <c r="E40" s="293"/>
      <c r="F40" s="232">
        <v>195.42857142857142</v>
      </c>
      <c r="G40" s="292"/>
      <c r="H40" s="292">
        <v>103.88571428571429</v>
      </c>
      <c r="I40" s="292"/>
      <c r="J40" s="292">
        <v>25.714285714285715</v>
      </c>
      <c r="K40" s="292"/>
      <c r="L40" s="292">
        <v>76.114285714285714</v>
      </c>
      <c r="M40" s="292"/>
      <c r="N40" s="292"/>
      <c r="O40" s="292"/>
      <c r="P40" s="292">
        <v>22.62857142857143</v>
      </c>
      <c r="Q40" s="292"/>
      <c r="R40" s="292">
        <v>338.91428571428571</v>
      </c>
      <c r="S40" s="292"/>
      <c r="T40" s="292"/>
      <c r="U40" s="232"/>
      <c r="V40" s="232"/>
      <c r="W40" s="292"/>
      <c r="X40" s="292">
        <v>31.37142857142857</v>
      </c>
      <c r="Y40" s="292"/>
      <c r="Z40" s="292">
        <v>103.88571428571429</v>
      </c>
      <c r="AA40" s="232">
        <v>0</v>
      </c>
      <c r="AB40" s="232">
        <v>897.94285714285718</v>
      </c>
      <c r="AC40" s="287">
        <v>0.15331948353511418</v>
      </c>
    </row>
    <row r="41" spans="1:29" ht="19.95" customHeight="1">
      <c r="A41" s="219">
        <v>29</v>
      </c>
      <c r="B41" s="164" t="s">
        <v>64</v>
      </c>
      <c r="C41" s="152">
        <v>0.64</v>
      </c>
      <c r="D41" s="152" t="s">
        <v>20</v>
      </c>
      <c r="E41" s="293"/>
      <c r="F41" s="232">
        <v>341.76000000000005</v>
      </c>
      <c r="G41" s="292"/>
      <c r="H41" s="292">
        <v>2417.9199999999996</v>
      </c>
      <c r="I41" s="292"/>
      <c r="J41" s="292">
        <v>431.36</v>
      </c>
      <c r="K41" s="292"/>
      <c r="L41" s="292">
        <v>181.57714285714286</v>
      </c>
      <c r="M41" s="292"/>
      <c r="N41" s="292">
        <v>1.28</v>
      </c>
      <c r="O41" s="292"/>
      <c r="P41" s="292">
        <v>70.400000000000006</v>
      </c>
      <c r="Q41" s="292"/>
      <c r="R41" s="292">
        <v>78.080000000000013</v>
      </c>
      <c r="S41" s="292"/>
      <c r="T41" s="292"/>
      <c r="U41" s="232"/>
      <c r="V41" s="232"/>
      <c r="W41" s="292"/>
      <c r="X41" s="292">
        <v>25.6</v>
      </c>
      <c r="Y41" s="292"/>
      <c r="Z41" s="292"/>
      <c r="AA41" s="232">
        <v>0</v>
      </c>
      <c r="AB41" s="232">
        <v>3547.977142857143</v>
      </c>
      <c r="AC41" s="287">
        <v>0.60580026758952688</v>
      </c>
    </row>
    <row r="42" spans="1:29" s="299" customFormat="1" ht="19.95" customHeight="1">
      <c r="A42" s="296"/>
      <c r="B42" s="300" t="s">
        <v>186</v>
      </c>
      <c r="C42" s="301"/>
      <c r="D42" s="301"/>
      <c r="E42" s="298">
        <f>SUM(E37:E41)</f>
        <v>532.66285714285721</v>
      </c>
      <c r="F42" s="298">
        <f t="shared" ref="F42:AC42" si="21">SUM(F37:F41)</f>
        <v>1875.9085714285713</v>
      </c>
      <c r="G42" s="298">
        <f t="shared" si="21"/>
        <v>686.72</v>
      </c>
      <c r="H42" s="298">
        <f t="shared" si="21"/>
        <v>7104.16</v>
      </c>
      <c r="I42" s="298">
        <f t="shared" si="21"/>
        <v>507.61142857142858</v>
      </c>
      <c r="J42" s="298">
        <f t="shared" si="21"/>
        <v>1218.3771428571426</v>
      </c>
      <c r="K42" s="298">
        <f t="shared" si="21"/>
        <v>552.04571428571433</v>
      </c>
      <c r="L42" s="298">
        <f t="shared" si="21"/>
        <v>873.46285714285727</v>
      </c>
      <c r="M42" s="298">
        <f t="shared" si="21"/>
        <v>114.10285714285715</v>
      </c>
      <c r="N42" s="298">
        <f t="shared" si="21"/>
        <v>1.28</v>
      </c>
      <c r="O42" s="298">
        <f t="shared" si="21"/>
        <v>39.497142857142862</v>
      </c>
      <c r="P42" s="298">
        <f t="shared" si="21"/>
        <v>277.89714285714285</v>
      </c>
      <c r="Q42" s="298">
        <f t="shared" si="21"/>
        <v>1579.8857142857144</v>
      </c>
      <c r="R42" s="298">
        <f t="shared" si="21"/>
        <v>1261.0057142857142</v>
      </c>
      <c r="S42" s="298">
        <f t="shared" si="21"/>
        <v>296.2285714285714</v>
      </c>
      <c r="T42" s="298">
        <f t="shared" si="21"/>
        <v>482.74285714285713</v>
      </c>
      <c r="U42" s="298">
        <f t="shared" si="21"/>
        <v>1037.8971428571429</v>
      </c>
      <c r="V42" s="298">
        <f t="shared" si="21"/>
        <v>109.71428571428571</v>
      </c>
      <c r="W42" s="298">
        <f t="shared" si="21"/>
        <v>1536.9142857142858</v>
      </c>
      <c r="X42" s="298">
        <f t="shared" si="21"/>
        <v>2393.937142857143</v>
      </c>
      <c r="Y42" s="298">
        <f t="shared" si="21"/>
        <v>618.60571428571427</v>
      </c>
      <c r="Z42" s="298">
        <f t="shared" si="21"/>
        <v>1490.4</v>
      </c>
      <c r="AA42" s="298">
        <f t="shared" si="21"/>
        <v>7502.1714285714297</v>
      </c>
      <c r="AB42" s="298">
        <f t="shared" si="21"/>
        <v>17088.885714285712</v>
      </c>
      <c r="AC42" s="298">
        <f t="shared" si="21"/>
        <v>2.917846175915447</v>
      </c>
    </row>
    <row r="43" spans="1:29" ht="19.95" customHeight="1">
      <c r="A43" s="219">
        <v>30</v>
      </c>
      <c r="B43" s="164" t="s">
        <v>38</v>
      </c>
      <c r="C43" s="152">
        <v>0.7</v>
      </c>
      <c r="D43" s="152" t="s">
        <v>15</v>
      </c>
      <c r="E43" s="293">
        <v>160.69999999999999</v>
      </c>
      <c r="F43" s="232">
        <v>37.199999999999996</v>
      </c>
      <c r="G43" s="292">
        <v>6.5999999999999988</v>
      </c>
      <c r="H43" s="292"/>
      <c r="I43" s="292">
        <v>72.599999999999994</v>
      </c>
      <c r="J43" s="292"/>
      <c r="K43" s="292">
        <v>42.499999999999993</v>
      </c>
      <c r="L43" s="292">
        <v>3.2999999999999994</v>
      </c>
      <c r="M43" s="292">
        <v>17.400000000000002</v>
      </c>
      <c r="N43" s="292">
        <v>0</v>
      </c>
      <c r="O43" s="292">
        <v>13.799999999999999</v>
      </c>
      <c r="P43" s="292">
        <v>0</v>
      </c>
      <c r="Q43" s="292">
        <v>209.79999999999998</v>
      </c>
      <c r="R43" s="292">
        <v>84.6</v>
      </c>
      <c r="S43" s="292"/>
      <c r="T43" s="292"/>
      <c r="U43" s="232">
        <v>67.199999999999989</v>
      </c>
      <c r="V43" s="232">
        <v>24</v>
      </c>
      <c r="W43" s="292">
        <v>63.6</v>
      </c>
      <c r="X43" s="292">
        <v>45.628571428571426</v>
      </c>
      <c r="Y43" s="232">
        <v>92.399999999999991</v>
      </c>
      <c r="Z43" s="232"/>
      <c r="AA43" s="232">
        <v>746.59999999999991</v>
      </c>
      <c r="AB43" s="232">
        <v>194.72857142857143</v>
      </c>
      <c r="AC43" s="287">
        <v>3.3248979891611644E-2</v>
      </c>
    </row>
    <row r="44" spans="1:29" ht="19.95" customHeight="1">
      <c r="A44" s="219">
        <v>31</v>
      </c>
      <c r="B44" s="164" t="s">
        <v>39</v>
      </c>
      <c r="C44" s="152">
        <v>0.35</v>
      </c>
      <c r="D44" s="152" t="s">
        <v>18</v>
      </c>
      <c r="E44" s="293">
        <v>67.7</v>
      </c>
      <c r="F44" s="232">
        <v>53.85</v>
      </c>
      <c r="G44" s="292">
        <v>1.3499999999999999</v>
      </c>
      <c r="H44" s="292"/>
      <c r="I44" s="292">
        <v>45.3</v>
      </c>
      <c r="J44" s="292"/>
      <c r="K44" s="292">
        <v>3.5999999999999992</v>
      </c>
      <c r="L44" s="292">
        <v>6.2999999999999989</v>
      </c>
      <c r="M44" s="292">
        <v>1.8</v>
      </c>
      <c r="N44" s="292">
        <v>0</v>
      </c>
      <c r="O44" s="292">
        <v>7.7999999999999989</v>
      </c>
      <c r="P44" s="292">
        <v>0</v>
      </c>
      <c r="Q44" s="292">
        <v>24.8</v>
      </c>
      <c r="R44" s="292">
        <v>88</v>
      </c>
      <c r="S44" s="292"/>
      <c r="T44" s="292"/>
      <c r="U44" s="232">
        <v>1.1999999999999997</v>
      </c>
      <c r="V44" s="232">
        <v>0</v>
      </c>
      <c r="W44" s="232">
        <v>6.6000000000000005</v>
      </c>
      <c r="X44" s="232">
        <v>0.5</v>
      </c>
      <c r="Y44" s="232">
        <v>6</v>
      </c>
      <c r="Z44" s="232"/>
      <c r="AA44" s="232">
        <v>166.14999999999998</v>
      </c>
      <c r="AB44" s="232">
        <v>148.65</v>
      </c>
      <c r="AC44" s="287">
        <v>2.5381282390298947E-2</v>
      </c>
    </row>
    <row r="45" spans="1:29" s="299" customFormat="1" ht="19.95" customHeight="1">
      <c r="A45" s="296"/>
      <c r="B45" s="300" t="s">
        <v>172</v>
      </c>
      <c r="C45" s="301"/>
      <c r="D45" s="301"/>
      <c r="E45" s="298">
        <f>SUM(E43:E44)</f>
        <v>228.39999999999998</v>
      </c>
      <c r="F45" s="298">
        <f t="shared" ref="F45:AC45" si="22">SUM(F43:F44)</f>
        <v>91.05</v>
      </c>
      <c r="G45" s="298">
        <f t="shared" si="22"/>
        <v>7.9499999999999984</v>
      </c>
      <c r="H45" s="298">
        <f t="shared" si="22"/>
        <v>0</v>
      </c>
      <c r="I45" s="298">
        <f t="shared" si="22"/>
        <v>117.89999999999999</v>
      </c>
      <c r="J45" s="298">
        <f t="shared" si="22"/>
        <v>0</v>
      </c>
      <c r="K45" s="298">
        <f t="shared" si="22"/>
        <v>46.099999999999994</v>
      </c>
      <c r="L45" s="298">
        <f t="shared" si="22"/>
        <v>9.5999999999999979</v>
      </c>
      <c r="M45" s="298">
        <f t="shared" si="22"/>
        <v>19.200000000000003</v>
      </c>
      <c r="N45" s="298">
        <f t="shared" si="22"/>
        <v>0</v>
      </c>
      <c r="O45" s="298">
        <f t="shared" si="22"/>
        <v>21.599999999999998</v>
      </c>
      <c r="P45" s="298">
        <f t="shared" si="22"/>
        <v>0</v>
      </c>
      <c r="Q45" s="298">
        <f t="shared" si="22"/>
        <v>234.6</v>
      </c>
      <c r="R45" s="298">
        <f t="shared" si="22"/>
        <v>172.6</v>
      </c>
      <c r="S45" s="298">
        <f t="shared" si="22"/>
        <v>0</v>
      </c>
      <c r="T45" s="298">
        <f t="shared" si="22"/>
        <v>0</v>
      </c>
      <c r="U45" s="298">
        <f t="shared" si="22"/>
        <v>68.399999999999991</v>
      </c>
      <c r="V45" s="298">
        <f t="shared" si="22"/>
        <v>24</v>
      </c>
      <c r="W45" s="298">
        <f t="shared" si="22"/>
        <v>70.2</v>
      </c>
      <c r="X45" s="298">
        <f t="shared" si="22"/>
        <v>46.128571428571426</v>
      </c>
      <c r="Y45" s="298">
        <f t="shared" si="22"/>
        <v>98.399999999999991</v>
      </c>
      <c r="Z45" s="298">
        <f t="shared" si="22"/>
        <v>0</v>
      </c>
      <c r="AA45" s="298">
        <f t="shared" si="22"/>
        <v>912.74999999999989</v>
      </c>
      <c r="AB45" s="298">
        <f t="shared" si="22"/>
        <v>343.37857142857143</v>
      </c>
      <c r="AC45" s="298">
        <f t="shared" si="22"/>
        <v>5.8630262281910595E-2</v>
      </c>
    </row>
    <row r="46" spans="1:29" ht="19.95" customHeight="1">
      <c r="A46" s="219">
        <v>32</v>
      </c>
      <c r="B46" s="164" t="s">
        <v>41</v>
      </c>
      <c r="C46" s="152">
        <v>0.64</v>
      </c>
      <c r="D46" s="152" t="s">
        <v>18</v>
      </c>
      <c r="E46" s="293">
        <v>77265.280000000013</v>
      </c>
      <c r="F46" s="292">
        <v>84623.542857142849</v>
      </c>
      <c r="G46" s="292">
        <v>1895.8628571428569</v>
      </c>
      <c r="H46" s="292">
        <v>1906.4685714285713</v>
      </c>
      <c r="I46" s="292">
        <v>6040.6857142857134</v>
      </c>
      <c r="J46" s="292">
        <v>11497.691428571428</v>
      </c>
      <c r="K46" s="292">
        <v>8022.2171428571437</v>
      </c>
      <c r="L46" s="292">
        <v>8450.1942857142858</v>
      </c>
      <c r="M46" s="292">
        <v>6903.68</v>
      </c>
      <c r="N46" s="292">
        <v>14284.800000000001</v>
      </c>
      <c r="O46" s="292">
        <v>17043.017142857141</v>
      </c>
      <c r="P46" s="292">
        <v>0</v>
      </c>
      <c r="Q46" s="292">
        <v>1796.8457142857146</v>
      </c>
      <c r="R46" s="292">
        <v>3052.2514285714283</v>
      </c>
      <c r="S46" s="292">
        <v>10.971428571428572</v>
      </c>
      <c r="T46" s="292"/>
      <c r="U46" s="232"/>
      <c r="V46" s="232"/>
      <c r="W46" s="232"/>
      <c r="X46" s="232">
        <v>6.5828571428571427</v>
      </c>
      <c r="Y46" s="232"/>
      <c r="Z46" s="232"/>
      <c r="AA46" s="232">
        <v>118978.56000000001</v>
      </c>
      <c r="AB46" s="232">
        <v>123821.53142857143</v>
      </c>
      <c r="AC46" s="287">
        <v>21.141939153635033</v>
      </c>
    </row>
    <row r="47" spans="1:29" s="299" customFormat="1" ht="19.95" customHeight="1">
      <c r="A47" s="296"/>
      <c r="B47" s="300" t="s">
        <v>41</v>
      </c>
      <c r="C47" s="301"/>
      <c r="D47" s="301"/>
      <c r="E47" s="298">
        <f>SUM(E46)</f>
        <v>77265.280000000013</v>
      </c>
      <c r="F47" s="298">
        <f t="shared" ref="F47:AC47" si="23">SUM(F46)</f>
        <v>84623.542857142849</v>
      </c>
      <c r="G47" s="298">
        <f t="shared" si="23"/>
        <v>1895.8628571428569</v>
      </c>
      <c r="H47" s="298">
        <f t="shared" si="23"/>
        <v>1906.4685714285713</v>
      </c>
      <c r="I47" s="298">
        <f t="shared" si="23"/>
        <v>6040.6857142857134</v>
      </c>
      <c r="J47" s="298">
        <f t="shared" si="23"/>
        <v>11497.691428571428</v>
      </c>
      <c r="K47" s="298">
        <f t="shared" si="23"/>
        <v>8022.2171428571437</v>
      </c>
      <c r="L47" s="298">
        <f t="shared" si="23"/>
        <v>8450.1942857142858</v>
      </c>
      <c r="M47" s="298">
        <f t="shared" si="23"/>
        <v>6903.68</v>
      </c>
      <c r="N47" s="298">
        <f t="shared" si="23"/>
        <v>14284.800000000001</v>
      </c>
      <c r="O47" s="298">
        <f t="shared" si="23"/>
        <v>17043.017142857141</v>
      </c>
      <c r="P47" s="298">
        <f t="shared" si="23"/>
        <v>0</v>
      </c>
      <c r="Q47" s="298">
        <f t="shared" si="23"/>
        <v>1796.8457142857146</v>
      </c>
      <c r="R47" s="298">
        <f t="shared" si="23"/>
        <v>3052.2514285714283</v>
      </c>
      <c r="S47" s="298">
        <f t="shared" si="23"/>
        <v>10.971428571428572</v>
      </c>
      <c r="T47" s="298">
        <f t="shared" si="23"/>
        <v>0</v>
      </c>
      <c r="U47" s="298">
        <f t="shared" si="23"/>
        <v>0</v>
      </c>
      <c r="V47" s="298">
        <f t="shared" si="23"/>
        <v>0</v>
      </c>
      <c r="W47" s="298">
        <f t="shared" si="23"/>
        <v>0</v>
      </c>
      <c r="X47" s="298">
        <f t="shared" si="23"/>
        <v>6.5828571428571427</v>
      </c>
      <c r="Y47" s="298">
        <f t="shared" si="23"/>
        <v>0</v>
      </c>
      <c r="Z47" s="298">
        <f t="shared" si="23"/>
        <v>0</v>
      </c>
      <c r="AA47" s="298">
        <f t="shared" si="23"/>
        <v>118978.56000000001</v>
      </c>
      <c r="AB47" s="298">
        <f t="shared" si="23"/>
        <v>123821.53142857143</v>
      </c>
      <c r="AC47" s="298">
        <f t="shared" si="23"/>
        <v>21.141939153635033</v>
      </c>
    </row>
    <row r="48" spans="1:29" ht="19.95" customHeight="1">
      <c r="A48" s="219">
        <v>33</v>
      </c>
      <c r="B48" s="164" t="s">
        <v>43</v>
      </c>
      <c r="C48" s="152">
        <v>0.64</v>
      </c>
      <c r="D48" s="152" t="s">
        <v>18</v>
      </c>
      <c r="E48" s="293">
        <v>3262.9028571428571</v>
      </c>
      <c r="F48" s="232">
        <v>3721.508571428571</v>
      </c>
      <c r="G48" s="232">
        <v>8.7771428571428576</v>
      </c>
      <c r="H48" s="232"/>
      <c r="I48" s="292">
        <v>2.1942857142857144</v>
      </c>
      <c r="J48" s="292">
        <v>87.771428571428572</v>
      </c>
      <c r="K48" s="292">
        <v>2.1942857142857144</v>
      </c>
      <c r="L48" s="292">
        <v>6.5828571428571427</v>
      </c>
      <c r="M48" s="292">
        <v>362.05714285714288</v>
      </c>
      <c r="N48" s="292">
        <v>362.05714285714288</v>
      </c>
      <c r="O48" s="292">
        <v>509.07428571428574</v>
      </c>
      <c r="P48" s="292"/>
      <c r="Q48" s="232"/>
      <c r="R48" s="232"/>
      <c r="S48" s="232"/>
      <c r="T48" s="232"/>
      <c r="U48" s="232"/>
      <c r="V48" s="232"/>
      <c r="W48" s="232"/>
      <c r="X48" s="232"/>
      <c r="Y48" s="232"/>
      <c r="Z48" s="232"/>
      <c r="AA48" s="232">
        <v>4147.2</v>
      </c>
      <c r="AB48" s="232">
        <v>4177.9199999999992</v>
      </c>
      <c r="AC48" s="287">
        <v>0.71336002236177432</v>
      </c>
    </row>
    <row r="49" spans="1:29" s="299" customFormat="1" ht="19.95" customHeight="1">
      <c r="A49" s="296"/>
      <c r="B49" s="303" t="s">
        <v>43</v>
      </c>
      <c r="C49" s="304"/>
      <c r="D49" s="304"/>
      <c r="E49" s="298">
        <f>SUM(E48)</f>
        <v>3262.9028571428571</v>
      </c>
      <c r="F49" s="298">
        <f t="shared" ref="F49:AC49" si="24">SUM(F48)</f>
        <v>3721.508571428571</v>
      </c>
      <c r="G49" s="298">
        <f t="shared" si="24"/>
        <v>8.7771428571428576</v>
      </c>
      <c r="H49" s="298">
        <f t="shared" si="24"/>
        <v>0</v>
      </c>
      <c r="I49" s="298">
        <f t="shared" si="24"/>
        <v>2.1942857142857144</v>
      </c>
      <c r="J49" s="298">
        <f t="shared" si="24"/>
        <v>87.771428571428572</v>
      </c>
      <c r="K49" s="298">
        <f t="shared" si="24"/>
        <v>2.1942857142857144</v>
      </c>
      <c r="L49" s="298">
        <f t="shared" si="24"/>
        <v>6.5828571428571427</v>
      </c>
      <c r="M49" s="298">
        <f t="shared" si="24"/>
        <v>362.05714285714288</v>
      </c>
      <c r="N49" s="298">
        <f t="shared" si="24"/>
        <v>362.05714285714288</v>
      </c>
      <c r="O49" s="298">
        <f t="shared" si="24"/>
        <v>509.07428571428574</v>
      </c>
      <c r="P49" s="298">
        <f t="shared" si="24"/>
        <v>0</v>
      </c>
      <c r="Q49" s="298">
        <f t="shared" si="24"/>
        <v>0</v>
      </c>
      <c r="R49" s="298">
        <f t="shared" si="24"/>
        <v>0</v>
      </c>
      <c r="S49" s="298">
        <f t="shared" si="24"/>
        <v>0</v>
      </c>
      <c r="T49" s="298">
        <f t="shared" si="24"/>
        <v>0</v>
      </c>
      <c r="U49" s="298">
        <f t="shared" si="24"/>
        <v>0</v>
      </c>
      <c r="V49" s="298">
        <f t="shared" si="24"/>
        <v>0</v>
      </c>
      <c r="W49" s="298">
        <f t="shared" si="24"/>
        <v>0</v>
      </c>
      <c r="X49" s="298">
        <f t="shared" si="24"/>
        <v>0</v>
      </c>
      <c r="Y49" s="298">
        <f t="shared" si="24"/>
        <v>0</v>
      </c>
      <c r="Z49" s="298">
        <f t="shared" si="24"/>
        <v>0</v>
      </c>
      <c r="AA49" s="298">
        <f t="shared" si="24"/>
        <v>4147.2</v>
      </c>
      <c r="AB49" s="298">
        <f t="shared" si="24"/>
        <v>4177.9199999999992</v>
      </c>
      <c r="AC49" s="298">
        <f t="shared" si="24"/>
        <v>0.71336002236177432</v>
      </c>
    </row>
    <row r="50" spans="1:29" ht="19.95" customHeight="1">
      <c r="A50" s="219">
        <v>34</v>
      </c>
      <c r="B50" s="234" t="s">
        <v>44</v>
      </c>
      <c r="C50" s="220">
        <v>0.64</v>
      </c>
      <c r="D50" s="220" t="s">
        <v>20</v>
      </c>
      <c r="E50" s="293">
        <v>896</v>
      </c>
      <c r="F50" s="232">
        <v>1632</v>
      </c>
      <c r="G50" s="232"/>
      <c r="H50" s="232"/>
      <c r="I50" s="232"/>
      <c r="J50" s="232"/>
      <c r="K50" s="232">
        <v>369.91999999999996</v>
      </c>
      <c r="L50" s="232">
        <v>328.96000000000004</v>
      </c>
      <c r="M50" s="232">
        <v>524.79999999999995</v>
      </c>
      <c r="N50" s="232">
        <v>492.8</v>
      </c>
      <c r="O50" s="232">
        <v>885.76</v>
      </c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2">
        <v>2676.48</v>
      </c>
      <c r="AB50" s="232">
        <v>2453.7600000000002</v>
      </c>
      <c r="AC50" s="287">
        <v>0.41896788078049074</v>
      </c>
    </row>
    <row r="51" spans="1:29" s="299" customFormat="1" ht="19.95" customHeight="1">
      <c r="A51" s="305"/>
      <c r="B51" s="303" t="s">
        <v>173</v>
      </c>
      <c r="C51" s="304"/>
      <c r="D51" s="304"/>
      <c r="E51" s="306">
        <f>SUM(E50)</f>
        <v>896</v>
      </c>
      <c r="F51" s="306">
        <f t="shared" ref="F51:AC51" si="25">SUM(F50)</f>
        <v>1632</v>
      </c>
      <c r="G51" s="306">
        <f t="shared" si="25"/>
        <v>0</v>
      </c>
      <c r="H51" s="306">
        <f t="shared" si="25"/>
        <v>0</v>
      </c>
      <c r="I51" s="306">
        <f t="shared" si="25"/>
        <v>0</v>
      </c>
      <c r="J51" s="306">
        <f t="shared" si="25"/>
        <v>0</v>
      </c>
      <c r="K51" s="306">
        <f t="shared" si="25"/>
        <v>369.91999999999996</v>
      </c>
      <c r="L51" s="306">
        <f t="shared" si="25"/>
        <v>328.96000000000004</v>
      </c>
      <c r="M51" s="306">
        <f t="shared" si="25"/>
        <v>524.79999999999995</v>
      </c>
      <c r="N51" s="306">
        <f t="shared" si="25"/>
        <v>492.8</v>
      </c>
      <c r="O51" s="306">
        <f t="shared" si="25"/>
        <v>885.76</v>
      </c>
      <c r="P51" s="306">
        <f t="shared" si="25"/>
        <v>0</v>
      </c>
      <c r="Q51" s="306">
        <f t="shared" si="25"/>
        <v>0</v>
      </c>
      <c r="R51" s="306">
        <f t="shared" si="25"/>
        <v>0</v>
      </c>
      <c r="S51" s="306">
        <f t="shared" si="25"/>
        <v>0</v>
      </c>
      <c r="T51" s="306">
        <f t="shared" si="25"/>
        <v>0</v>
      </c>
      <c r="U51" s="306">
        <f t="shared" si="25"/>
        <v>0</v>
      </c>
      <c r="V51" s="306">
        <f t="shared" si="25"/>
        <v>0</v>
      </c>
      <c r="W51" s="306">
        <f t="shared" si="25"/>
        <v>0</v>
      </c>
      <c r="X51" s="306">
        <f t="shared" si="25"/>
        <v>0</v>
      </c>
      <c r="Y51" s="306">
        <f t="shared" si="25"/>
        <v>0</v>
      </c>
      <c r="Z51" s="306">
        <f t="shared" si="25"/>
        <v>0</v>
      </c>
      <c r="AA51" s="306">
        <f t="shared" si="25"/>
        <v>2676.48</v>
      </c>
      <c r="AB51" s="306">
        <f t="shared" si="25"/>
        <v>2453.7600000000002</v>
      </c>
      <c r="AC51" s="306">
        <f t="shared" si="25"/>
        <v>0.41896788078049074</v>
      </c>
    </row>
    <row r="52" spans="1:29" ht="19.95" customHeight="1">
      <c r="A52" s="235"/>
      <c r="B52" s="236" t="s">
        <v>159</v>
      </c>
      <c r="C52" s="221"/>
      <c r="D52" s="221"/>
      <c r="E52" s="288">
        <v>206085.30857142858</v>
      </c>
      <c r="F52" s="288">
        <v>217074.31857142856</v>
      </c>
      <c r="G52" s="288">
        <v>12946.441428571428</v>
      </c>
      <c r="H52" s="288">
        <v>17214.942857142854</v>
      </c>
      <c r="I52" s="288">
        <v>59531.979999999996</v>
      </c>
      <c r="J52" s="288">
        <v>76917.257142857139</v>
      </c>
      <c r="K52" s="288">
        <v>60115.26</v>
      </c>
      <c r="L52" s="288">
        <v>76592.051428571445</v>
      </c>
      <c r="M52" s="288">
        <v>30840.480000000003</v>
      </c>
      <c r="N52" s="288">
        <v>45407.171428571433</v>
      </c>
      <c r="O52" s="288">
        <v>52716.537142857153</v>
      </c>
      <c r="P52" s="288">
        <v>15808.451428571429</v>
      </c>
      <c r="Q52" s="288">
        <v>66517.011428571423</v>
      </c>
      <c r="R52" s="288">
        <v>86185.057142857157</v>
      </c>
      <c r="S52" s="288">
        <v>8918.6057142857135</v>
      </c>
      <c r="T52" s="288">
        <v>10036.457142857143</v>
      </c>
      <c r="U52" s="288">
        <v>11041.028571428571</v>
      </c>
      <c r="V52" s="288">
        <v>8946.2742857142857</v>
      </c>
      <c r="W52" s="288">
        <v>11274.948571428575</v>
      </c>
      <c r="X52" s="288">
        <v>14055.494285714287</v>
      </c>
      <c r="Y52" s="288">
        <v>15190.63714285714</v>
      </c>
      <c r="Z52" s="288">
        <v>17430.331428571426</v>
      </c>
      <c r="AA52" s="288">
        <v>535178.23857142869</v>
      </c>
      <c r="AB52" s="288">
        <v>585667.80714285711</v>
      </c>
      <c r="AC52" s="288">
        <v>99.999999999999986</v>
      </c>
    </row>
    <row r="53" spans="1:29" ht="19.95" customHeight="1">
      <c r="A53" s="238"/>
      <c r="B53" s="239" t="s">
        <v>180</v>
      </c>
      <c r="C53" s="239"/>
      <c r="D53" s="239"/>
      <c r="E53" s="239"/>
      <c r="F53" s="237">
        <v>214144</v>
      </c>
      <c r="G53" s="237"/>
      <c r="H53" s="237">
        <v>14520</v>
      </c>
      <c r="I53" s="237"/>
      <c r="J53" s="237">
        <v>63714</v>
      </c>
      <c r="K53" s="237"/>
      <c r="L53" s="237">
        <v>67035</v>
      </c>
      <c r="M53" s="237"/>
      <c r="N53" s="237">
        <v>34306</v>
      </c>
      <c r="O53" s="237"/>
      <c r="P53" s="237">
        <v>48996</v>
      </c>
      <c r="Q53" s="237"/>
      <c r="R53" s="237">
        <v>72931</v>
      </c>
      <c r="S53" s="237"/>
      <c r="T53" s="237">
        <v>9738</v>
      </c>
      <c r="U53" s="237"/>
      <c r="V53" s="237">
        <v>9831</v>
      </c>
      <c r="W53" s="237"/>
      <c r="X53" s="237">
        <v>13802</v>
      </c>
      <c r="Y53" s="237"/>
      <c r="Z53" s="237">
        <v>14689</v>
      </c>
      <c r="AA53" s="237"/>
      <c r="AB53" s="237">
        <v>563706</v>
      </c>
      <c r="AC53" s="237"/>
    </row>
    <row r="54" spans="1:29" ht="19.95" customHeight="1">
      <c r="A54" s="238"/>
      <c r="B54" s="239" t="s">
        <v>157</v>
      </c>
      <c r="C54" s="239"/>
      <c r="D54" s="239"/>
      <c r="E54" s="239"/>
      <c r="F54" s="237">
        <v>1.3683869599094862</v>
      </c>
      <c r="G54" s="237"/>
      <c r="H54" s="240">
        <v>18.56021251475795</v>
      </c>
      <c r="I54" s="240"/>
      <c r="J54" s="240">
        <v>20.722693823739121</v>
      </c>
      <c r="K54" s="240"/>
      <c r="L54" s="240">
        <v>14.256808277126055</v>
      </c>
      <c r="M54" s="240"/>
      <c r="N54" s="240">
        <v>32.359270764797486</v>
      </c>
      <c r="O54" s="240"/>
      <c r="P54" s="237">
        <v>-67.735220367843439</v>
      </c>
      <c r="Q54" s="237"/>
      <c r="R54" s="240">
        <v>18.173420277875181</v>
      </c>
      <c r="S54" s="240"/>
      <c r="T54" s="240">
        <v>3.0648710500836103</v>
      </c>
      <c r="U54" s="240"/>
      <c r="V54" s="237">
        <v>-8.999346091808718</v>
      </c>
      <c r="W54" s="237"/>
      <c r="X54" s="237">
        <v>1.8366489328668791</v>
      </c>
      <c r="Y54" s="237"/>
      <c r="Z54" s="240">
        <v>18.66247823930442</v>
      </c>
      <c r="AA54" s="240"/>
      <c r="AB54" s="240">
        <v>3.8959683137765211</v>
      </c>
      <c r="AC54" s="237"/>
    </row>
    <row r="55" spans="1:29" ht="19.95" customHeight="1">
      <c r="A55" s="238"/>
      <c r="B55" s="239" t="s">
        <v>158</v>
      </c>
      <c r="C55" s="239"/>
      <c r="D55" s="239"/>
      <c r="E55" s="239"/>
      <c r="F55" s="237">
        <v>2930.3185714285646</v>
      </c>
      <c r="G55" s="237"/>
      <c r="H55" s="240">
        <v>2694.9428571428543</v>
      </c>
      <c r="I55" s="240"/>
      <c r="J55" s="240">
        <v>13203.257142857139</v>
      </c>
      <c r="K55" s="240"/>
      <c r="L55" s="240">
        <v>9557.0514285714453</v>
      </c>
      <c r="M55" s="240"/>
      <c r="N55" s="240">
        <v>11101.171428571433</v>
      </c>
      <c r="O55" s="240"/>
      <c r="P55" s="237">
        <v>-33187.548571428575</v>
      </c>
      <c r="Q55" s="237"/>
      <c r="R55" s="240">
        <v>13254.057142857157</v>
      </c>
      <c r="S55" s="240"/>
      <c r="T55" s="240">
        <v>298.45714285714348</v>
      </c>
      <c r="U55" s="240"/>
      <c r="V55" s="237">
        <v>-884.72571428571428</v>
      </c>
      <c r="W55" s="237"/>
      <c r="X55" s="237">
        <v>253.49428571428689</v>
      </c>
      <c r="Y55" s="237"/>
      <c r="Z55" s="240">
        <v>2741.3314285714259</v>
      </c>
      <c r="AA55" s="240"/>
      <c r="AB55" s="240">
        <v>21961.807142857113</v>
      </c>
      <c r="AC55" s="237"/>
    </row>
    <row r="56" spans="1:29" ht="19.95" customHeight="1"/>
    <row r="57" spans="1:29" ht="19.95" customHeight="1"/>
    <row r="58" spans="1:29" ht="19.95" customHeight="1"/>
    <row r="59" spans="1:29" ht="19.95" customHeight="1"/>
    <row r="60" spans="1:29" ht="19.95" customHeight="1"/>
    <row r="61" spans="1:29" ht="19.95" customHeight="1"/>
    <row r="62" spans="1:29" ht="19.95" customHeight="1"/>
    <row r="63" spans="1:29" ht="19.95" customHeight="1"/>
    <row r="64" spans="1:29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</sheetData>
  <mergeCells count="16">
    <mergeCell ref="AA1:AB1"/>
    <mergeCell ref="U1:V1"/>
    <mergeCell ref="W1:X1"/>
    <mergeCell ref="Y1:Z1"/>
    <mergeCell ref="Q1:R1"/>
    <mergeCell ref="M1:N1"/>
    <mergeCell ref="O1:P1"/>
    <mergeCell ref="S1:T1"/>
    <mergeCell ref="I1:J1"/>
    <mergeCell ref="G1:H1"/>
    <mergeCell ref="K1:L1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B549-7677-4691-8A6F-D6D8159623E2}">
  <sheetPr>
    <tabColor rgb="FFFF0000"/>
  </sheetPr>
  <dimension ref="A1:AT31"/>
  <sheetViews>
    <sheetView workbookViewId="0">
      <pane xSplit="4" ySplit="4" topLeftCell="K20" activePane="bottomRight" state="frozen"/>
      <selection activeCell="AO5" sqref="AO5"/>
      <selection pane="topRight" activeCell="AO5" sqref="AO5"/>
      <selection pane="bottomLeft" activeCell="AO5" sqref="AO5"/>
      <selection pane="bottomRight" activeCell="AR5" sqref="AR5:AR29"/>
    </sheetView>
  </sheetViews>
  <sheetFormatPr defaultColWidth="9.109375" defaultRowHeight="20.399999999999999"/>
  <cols>
    <col min="1" max="1" width="5.33203125" style="174" customWidth="1"/>
    <col min="2" max="2" width="29.109375" style="147" customWidth="1"/>
    <col min="3" max="3" width="9.109375" style="147"/>
    <col min="4" max="4" width="11.44140625" style="147" customWidth="1"/>
    <col min="5" max="5" width="10.44140625" style="147" customWidth="1"/>
    <col min="6" max="7" width="11.5546875" style="147" customWidth="1"/>
    <col min="8" max="19" width="9.33203125" style="147" bestFit="1" customWidth="1"/>
    <col min="20" max="40" width="9.33203125" style="147" hidden="1" customWidth="1"/>
    <col min="41" max="41" width="10.5546875" style="147" bestFit="1" customWidth="1"/>
    <col min="42" max="43" width="13.33203125" style="147" bestFit="1" customWidth="1"/>
    <col min="44" max="44" width="13.5546875" style="147" customWidth="1"/>
    <col min="45" max="45" width="12.6640625" style="147" customWidth="1"/>
    <col min="46" max="16384" width="9.109375" style="147"/>
  </cols>
  <sheetData>
    <row r="1" spans="1:46" ht="45.75" customHeight="1">
      <c r="A1" s="179"/>
      <c r="B1" s="144" t="s">
        <v>110</v>
      </c>
      <c r="C1" s="145"/>
      <c r="D1" s="145"/>
      <c r="E1" s="146"/>
    </row>
    <row r="2" spans="1:46" ht="25.5" customHeight="1">
      <c r="B2" s="148"/>
      <c r="C2" s="149"/>
      <c r="D2" s="149"/>
    </row>
    <row r="3" spans="1:46" ht="42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58" t="s">
        <v>115</v>
      </c>
      <c r="F3" s="959"/>
      <c r="G3" s="960"/>
      <c r="H3" s="958" t="s">
        <v>116</v>
      </c>
      <c r="I3" s="959"/>
      <c r="J3" s="960"/>
      <c r="K3" s="958" t="s">
        <v>117</v>
      </c>
      <c r="L3" s="959"/>
      <c r="M3" s="960"/>
      <c r="N3" s="958" t="s">
        <v>118</v>
      </c>
      <c r="O3" s="959"/>
      <c r="P3" s="960"/>
      <c r="Q3" s="958" t="s">
        <v>119</v>
      </c>
      <c r="R3" s="959"/>
      <c r="S3" s="960"/>
      <c r="T3" s="958" t="s">
        <v>120</v>
      </c>
      <c r="U3" s="959"/>
      <c r="V3" s="960"/>
      <c r="W3" s="958" t="s">
        <v>121</v>
      </c>
      <c r="X3" s="959"/>
      <c r="Y3" s="960"/>
      <c r="Z3" s="958" t="s">
        <v>122</v>
      </c>
      <c r="AA3" s="959"/>
      <c r="AB3" s="960"/>
      <c r="AC3" s="958" t="s">
        <v>123</v>
      </c>
      <c r="AD3" s="959"/>
      <c r="AE3" s="960"/>
      <c r="AF3" s="958" t="s">
        <v>92</v>
      </c>
      <c r="AG3" s="959"/>
      <c r="AH3" s="960"/>
      <c r="AI3" s="958" t="s">
        <v>93</v>
      </c>
      <c r="AJ3" s="959"/>
      <c r="AK3" s="960"/>
      <c r="AL3" s="962" t="s">
        <v>94</v>
      </c>
      <c r="AM3" s="962"/>
      <c r="AN3" s="962"/>
      <c r="AO3" s="963" t="s">
        <v>140</v>
      </c>
      <c r="AP3" s="963"/>
      <c r="AQ3" s="963"/>
      <c r="AR3" s="180" t="s">
        <v>95</v>
      </c>
      <c r="AS3" s="181" t="s">
        <v>67</v>
      </c>
    </row>
    <row r="4" spans="1:46" ht="30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6" t="s">
        <v>141</v>
      </c>
      <c r="AP4" s="176" t="s">
        <v>142</v>
      </c>
      <c r="AQ4" s="176" t="s">
        <v>97</v>
      </c>
      <c r="AR4" s="177" t="s">
        <v>97</v>
      </c>
      <c r="AS4" s="177" t="s">
        <v>97</v>
      </c>
    </row>
    <row r="5" spans="1:46" ht="20.100000000000001" customHeight="1">
      <c r="A5" s="173">
        <v>1</v>
      </c>
      <c r="B5" s="151" t="s">
        <v>125</v>
      </c>
      <c r="C5" s="152">
        <v>0.64</v>
      </c>
      <c r="D5" s="152" t="s">
        <v>20</v>
      </c>
      <c r="E5" s="153">
        <v>2503</v>
      </c>
      <c r="F5" s="153">
        <v>35045</v>
      </c>
      <c r="G5" s="153">
        <v>22428.799999999996</v>
      </c>
      <c r="H5" s="153">
        <v>2402</v>
      </c>
      <c r="I5" s="153">
        <v>33628</v>
      </c>
      <c r="J5" s="154">
        <v>21521.919999999998</v>
      </c>
      <c r="K5" s="153">
        <v>2256</v>
      </c>
      <c r="L5" s="154">
        <v>31584</v>
      </c>
      <c r="M5" s="155">
        <f>L5*$C5</f>
        <v>20213.760000000002</v>
      </c>
      <c r="N5" s="153">
        <v>2103</v>
      </c>
      <c r="O5" s="153">
        <v>29442</v>
      </c>
      <c r="P5" s="156">
        <f>O5*$C5</f>
        <v>18842.88</v>
      </c>
      <c r="Q5" s="153">
        <v>2253</v>
      </c>
      <c r="R5" s="153">
        <v>31546</v>
      </c>
      <c r="S5" s="156">
        <f>R5*$C5</f>
        <v>20189.439999999999</v>
      </c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78">
        <f t="shared" ref="AO5:AO16" si="0">E5+H5+K5+N5+Q5</f>
        <v>11517</v>
      </c>
      <c r="AP5" s="178">
        <f t="shared" ref="AP5:AP16" si="1">F5+I5+L5+O5+R5</f>
        <v>161245</v>
      </c>
      <c r="AQ5" s="178">
        <f t="shared" ref="AQ5:AQ16" si="2">G5+J5+M5+P5+S5</f>
        <v>103196.8</v>
      </c>
      <c r="AR5" s="182">
        <f t="shared" ref="AR5:AR16" si="3">AQ5/5</f>
        <v>20639.36</v>
      </c>
      <c r="AS5" s="183">
        <f>AR5/$AR$29%</f>
        <v>9.6717807543251961</v>
      </c>
      <c r="AT5" s="147">
        <v>4</v>
      </c>
    </row>
    <row r="6" spans="1:46" ht="20.100000000000001" customHeight="1">
      <c r="A6" s="173">
        <v>2</v>
      </c>
      <c r="B6" s="151" t="s">
        <v>21</v>
      </c>
      <c r="C6" s="152">
        <v>1</v>
      </c>
      <c r="D6" s="152" t="s">
        <v>15</v>
      </c>
      <c r="E6" s="153">
        <v>1162</v>
      </c>
      <c r="F6" s="153">
        <v>13944</v>
      </c>
      <c r="G6" s="153">
        <v>13944</v>
      </c>
      <c r="H6" s="153">
        <v>555</v>
      </c>
      <c r="I6" s="153">
        <v>6660</v>
      </c>
      <c r="J6" s="154">
        <v>6660</v>
      </c>
      <c r="K6" s="153">
        <v>825</v>
      </c>
      <c r="L6" s="154">
        <v>9900</v>
      </c>
      <c r="M6" s="155">
        <f t="shared" ref="M6:M17" si="4">L6*$C6</f>
        <v>9900</v>
      </c>
      <c r="N6" s="153">
        <v>980</v>
      </c>
      <c r="O6" s="153">
        <v>11760</v>
      </c>
      <c r="P6" s="156">
        <f t="shared" ref="P6:P17" si="5">O6*$C6</f>
        <v>11760</v>
      </c>
      <c r="Q6" s="153">
        <v>1099</v>
      </c>
      <c r="R6" s="153">
        <v>13188</v>
      </c>
      <c r="S6" s="156">
        <f t="shared" ref="S6:S17" si="6">R6*$C6</f>
        <v>13188</v>
      </c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78">
        <f t="shared" si="0"/>
        <v>4621</v>
      </c>
      <c r="AP6" s="178">
        <f t="shared" si="1"/>
        <v>55452</v>
      </c>
      <c r="AQ6" s="178">
        <f t="shared" si="2"/>
        <v>55452</v>
      </c>
      <c r="AR6" s="182">
        <f t="shared" si="3"/>
        <v>11090.4</v>
      </c>
      <c r="AS6" s="183">
        <f t="shared" ref="AS6:AS29" si="7">AR6/$AR$29%</f>
        <v>5.1970563659807354</v>
      </c>
      <c r="AT6" s="147">
        <v>5</v>
      </c>
    </row>
    <row r="7" spans="1:46" ht="20.100000000000001" customHeight="1">
      <c r="A7" s="173">
        <v>3</v>
      </c>
      <c r="B7" s="151" t="s">
        <v>22</v>
      </c>
      <c r="C7" s="152">
        <v>0.6</v>
      </c>
      <c r="D7" s="152" t="s">
        <v>15</v>
      </c>
      <c r="E7" s="153">
        <v>21</v>
      </c>
      <c r="F7" s="153">
        <v>252</v>
      </c>
      <c r="G7" s="153">
        <v>151.19999999999999</v>
      </c>
      <c r="H7" s="153">
        <v>35</v>
      </c>
      <c r="I7" s="153">
        <v>420</v>
      </c>
      <c r="J7" s="154">
        <v>252</v>
      </c>
      <c r="K7" s="153">
        <v>20</v>
      </c>
      <c r="L7" s="154">
        <v>240</v>
      </c>
      <c r="M7" s="155">
        <f t="shared" si="4"/>
        <v>144</v>
      </c>
      <c r="N7" s="153">
        <v>15</v>
      </c>
      <c r="O7" s="153">
        <v>180</v>
      </c>
      <c r="P7" s="156">
        <f t="shared" si="5"/>
        <v>108</v>
      </c>
      <c r="Q7" s="153">
        <v>40</v>
      </c>
      <c r="R7" s="153">
        <v>480</v>
      </c>
      <c r="S7" s="156">
        <f t="shared" si="6"/>
        <v>288</v>
      </c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78">
        <f t="shared" si="0"/>
        <v>131</v>
      </c>
      <c r="AP7" s="178">
        <f t="shared" si="1"/>
        <v>1572</v>
      </c>
      <c r="AQ7" s="178">
        <f t="shared" si="2"/>
        <v>943.2</v>
      </c>
      <c r="AR7" s="182">
        <f t="shared" si="3"/>
        <v>188.64000000000001</v>
      </c>
      <c r="AS7" s="183">
        <f t="shared" si="7"/>
        <v>8.839831862499152E-2</v>
      </c>
    </row>
    <row r="8" spans="1:46" ht="20.100000000000001" customHeight="1">
      <c r="A8" s="173">
        <v>4</v>
      </c>
      <c r="B8" s="151" t="s">
        <v>23</v>
      </c>
      <c r="C8" s="152">
        <v>0.64</v>
      </c>
      <c r="D8" s="152" t="s">
        <v>20</v>
      </c>
      <c r="E8" s="153">
        <v>3057</v>
      </c>
      <c r="F8" s="153">
        <v>42798</v>
      </c>
      <c r="G8" s="153">
        <v>27390.719999999987</v>
      </c>
      <c r="H8" s="153">
        <v>2022</v>
      </c>
      <c r="I8" s="153">
        <v>28308</v>
      </c>
      <c r="J8" s="154">
        <v>18117.12</v>
      </c>
      <c r="K8" s="153">
        <v>2227</v>
      </c>
      <c r="L8" s="154">
        <v>31178</v>
      </c>
      <c r="M8" s="155">
        <f t="shared" si="4"/>
        <v>19953.920000000002</v>
      </c>
      <c r="N8" s="153">
        <v>2562</v>
      </c>
      <c r="O8" s="153">
        <v>35868</v>
      </c>
      <c r="P8" s="156">
        <f t="shared" si="5"/>
        <v>22955.52</v>
      </c>
      <c r="Q8" s="153">
        <v>2506</v>
      </c>
      <c r="R8" s="153">
        <v>35087</v>
      </c>
      <c r="S8" s="156">
        <f t="shared" si="6"/>
        <v>22455.68</v>
      </c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78">
        <f t="shared" si="0"/>
        <v>12374</v>
      </c>
      <c r="AP8" s="178">
        <f t="shared" si="1"/>
        <v>173239</v>
      </c>
      <c r="AQ8" s="178">
        <f t="shared" si="2"/>
        <v>110872.95999999999</v>
      </c>
      <c r="AR8" s="182">
        <f t="shared" si="3"/>
        <v>22174.591999999997</v>
      </c>
      <c r="AS8" s="183">
        <f t="shared" si="7"/>
        <v>10.391203610025379</v>
      </c>
      <c r="AT8" s="147">
        <v>3</v>
      </c>
    </row>
    <row r="9" spans="1:46" ht="20.100000000000001" customHeight="1">
      <c r="A9" s="173">
        <v>5</v>
      </c>
      <c r="B9" s="151" t="s">
        <v>24</v>
      </c>
      <c r="C9" s="152">
        <v>1</v>
      </c>
      <c r="D9" s="152" t="s">
        <v>15</v>
      </c>
      <c r="E9" s="153"/>
      <c r="F9" s="153"/>
      <c r="G9" s="153"/>
      <c r="H9" s="153"/>
      <c r="I9" s="153"/>
      <c r="J9" s="154">
        <f t="shared" ref="J9:J13" si="8">I9*$C9</f>
        <v>0</v>
      </c>
      <c r="K9" s="153"/>
      <c r="L9" s="154"/>
      <c r="M9" s="155">
        <f t="shared" si="4"/>
        <v>0</v>
      </c>
      <c r="N9" s="153">
        <v>100</v>
      </c>
      <c r="O9" s="153">
        <v>1200</v>
      </c>
      <c r="P9" s="156">
        <f t="shared" si="5"/>
        <v>1200</v>
      </c>
      <c r="Q9" s="153">
        <v>85</v>
      </c>
      <c r="R9" s="153">
        <v>1020</v>
      </c>
      <c r="S9" s="156">
        <f t="shared" si="6"/>
        <v>1020</v>
      </c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78">
        <f t="shared" si="0"/>
        <v>185</v>
      </c>
      <c r="AP9" s="178">
        <f t="shared" si="1"/>
        <v>2220</v>
      </c>
      <c r="AQ9" s="178">
        <f t="shared" si="2"/>
        <v>2220</v>
      </c>
      <c r="AR9" s="182">
        <f t="shared" si="3"/>
        <v>444</v>
      </c>
      <c r="AS9" s="183">
        <f t="shared" si="7"/>
        <v>0.20806220032599784</v>
      </c>
    </row>
    <row r="10" spans="1:46" ht="20.100000000000001" customHeight="1">
      <c r="A10" s="173">
        <v>6</v>
      </c>
      <c r="B10" s="151" t="s">
        <v>25</v>
      </c>
      <c r="C10" s="152">
        <v>0.64</v>
      </c>
      <c r="D10" s="152" t="s">
        <v>20</v>
      </c>
      <c r="E10" s="153">
        <v>1323</v>
      </c>
      <c r="F10" s="153">
        <v>18531</v>
      </c>
      <c r="G10" s="153">
        <v>11859.840000000004</v>
      </c>
      <c r="H10" s="153">
        <v>895</v>
      </c>
      <c r="I10" s="153">
        <v>12530</v>
      </c>
      <c r="J10" s="154">
        <v>8019.2000000000035</v>
      </c>
      <c r="K10" s="153">
        <v>868</v>
      </c>
      <c r="L10" s="154">
        <v>12161</v>
      </c>
      <c r="M10" s="155">
        <f t="shared" si="4"/>
        <v>7783.04</v>
      </c>
      <c r="N10" s="153">
        <v>755</v>
      </c>
      <c r="O10" s="153">
        <v>10574</v>
      </c>
      <c r="P10" s="156">
        <f t="shared" si="5"/>
        <v>6767.3600000000006</v>
      </c>
      <c r="Q10" s="153">
        <v>1330</v>
      </c>
      <c r="R10" s="153">
        <v>18631</v>
      </c>
      <c r="S10" s="156">
        <f t="shared" si="6"/>
        <v>11923.84</v>
      </c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78">
        <f t="shared" si="0"/>
        <v>5171</v>
      </c>
      <c r="AP10" s="178">
        <f t="shared" si="1"/>
        <v>72427</v>
      </c>
      <c r="AQ10" s="178">
        <f t="shared" si="2"/>
        <v>46353.280000000013</v>
      </c>
      <c r="AR10" s="182">
        <f t="shared" si="3"/>
        <v>9270.6560000000027</v>
      </c>
      <c r="AS10" s="183">
        <f t="shared" si="7"/>
        <v>4.3443087518590415</v>
      </c>
    </row>
    <row r="11" spans="1:46" ht="20.100000000000001" customHeight="1">
      <c r="A11" s="173">
        <v>7</v>
      </c>
      <c r="B11" s="151" t="s">
        <v>126</v>
      </c>
      <c r="C11" s="152">
        <v>1</v>
      </c>
      <c r="D11" s="152" t="s">
        <v>15</v>
      </c>
      <c r="E11" s="153"/>
      <c r="F11" s="153"/>
      <c r="G11" s="153"/>
      <c r="H11" s="153"/>
      <c r="I11" s="153"/>
      <c r="J11" s="154">
        <f t="shared" si="8"/>
        <v>0</v>
      </c>
      <c r="K11" s="153"/>
      <c r="L11" s="154"/>
      <c r="M11" s="155">
        <f t="shared" si="4"/>
        <v>0</v>
      </c>
      <c r="N11" s="153"/>
      <c r="O11" s="153"/>
      <c r="P11" s="156">
        <f t="shared" si="5"/>
        <v>0</v>
      </c>
      <c r="Q11" s="153">
        <v>70</v>
      </c>
      <c r="R11" s="153">
        <v>840</v>
      </c>
      <c r="S11" s="156">
        <f t="shared" si="6"/>
        <v>840</v>
      </c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78">
        <f t="shared" si="0"/>
        <v>70</v>
      </c>
      <c r="AP11" s="178">
        <f t="shared" si="1"/>
        <v>840</v>
      </c>
      <c r="AQ11" s="178">
        <f t="shared" si="2"/>
        <v>840</v>
      </c>
      <c r="AR11" s="182">
        <f t="shared" si="3"/>
        <v>168</v>
      </c>
      <c r="AS11" s="183">
        <f t="shared" si="7"/>
        <v>7.8726237961188369E-2</v>
      </c>
    </row>
    <row r="12" spans="1:46" ht="20.100000000000001" customHeight="1">
      <c r="A12" s="173">
        <v>8</v>
      </c>
      <c r="B12" s="151" t="s">
        <v>27</v>
      </c>
      <c r="C12" s="152">
        <v>0.7</v>
      </c>
      <c r="D12" s="152" t="s">
        <v>15</v>
      </c>
      <c r="E12" s="153">
        <v>65</v>
      </c>
      <c r="F12" s="153">
        <v>780</v>
      </c>
      <c r="G12" s="153">
        <v>546</v>
      </c>
      <c r="H12" s="153">
        <v>30</v>
      </c>
      <c r="I12" s="153">
        <v>360</v>
      </c>
      <c r="J12" s="154">
        <v>252</v>
      </c>
      <c r="K12" s="153">
        <v>175</v>
      </c>
      <c r="L12" s="154">
        <v>2100</v>
      </c>
      <c r="M12" s="155">
        <f t="shared" si="4"/>
        <v>1470</v>
      </c>
      <c r="N12" s="153">
        <v>35</v>
      </c>
      <c r="O12" s="153">
        <v>420</v>
      </c>
      <c r="P12" s="156">
        <f t="shared" si="5"/>
        <v>294</v>
      </c>
      <c r="Q12" s="153">
        <v>65</v>
      </c>
      <c r="R12" s="153">
        <v>780</v>
      </c>
      <c r="S12" s="156">
        <f t="shared" si="6"/>
        <v>546</v>
      </c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78">
        <f t="shared" si="0"/>
        <v>370</v>
      </c>
      <c r="AP12" s="178">
        <f t="shared" si="1"/>
        <v>4440</v>
      </c>
      <c r="AQ12" s="178">
        <f t="shared" si="2"/>
        <v>3108</v>
      </c>
      <c r="AR12" s="182">
        <f t="shared" si="3"/>
        <v>621.6</v>
      </c>
      <c r="AS12" s="183">
        <f t="shared" si="7"/>
        <v>0.29128708045639701</v>
      </c>
    </row>
    <row r="13" spans="1:46" ht="20.100000000000001" customHeight="1">
      <c r="A13" s="173">
        <v>9</v>
      </c>
      <c r="B13" s="151" t="s">
        <v>28</v>
      </c>
      <c r="C13" s="152">
        <v>0.68</v>
      </c>
      <c r="D13" s="152" t="s">
        <v>15</v>
      </c>
      <c r="E13" s="153">
        <v>1</v>
      </c>
      <c r="F13" s="153">
        <v>12</v>
      </c>
      <c r="G13" s="153">
        <v>8.16</v>
      </c>
      <c r="H13" s="153"/>
      <c r="I13" s="153"/>
      <c r="J13" s="154">
        <f t="shared" si="8"/>
        <v>0</v>
      </c>
      <c r="K13" s="153"/>
      <c r="L13" s="154"/>
      <c r="M13" s="155">
        <f t="shared" si="4"/>
        <v>0</v>
      </c>
      <c r="N13" s="153"/>
      <c r="O13" s="153"/>
      <c r="P13" s="156">
        <f t="shared" si="5"/>
        <v>0</v>
      </c>
      <c r="Q13" s="153"/>
      <c r="R13" s="153"/>
      <c r="S13" s="156">
        <f t="shared" si="6"/>
        <v>0</v>
      </c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78">
        <f t="shared" si="0"/>
        <v>1</v>
      </c>
      <c r="AP13" s="178">
        <f t="shared" si="1"/>
        <v>12</v>
      </c>
      <c r="AQ13" s="178">
        <f t="shared" si="2"/>
        <v>8.16</v>
      </c>
      <c r="AR13" s="182">
        <f t="shared" si="3"/>
        <v>1.6320000000000001</v>
      </c>
      <c r="AS13" s="183">
        <f t="shared" si="7"/>
        <v>7.6476916876582997E-4</v>
      </c>
    </row>
    <row r="14" spans="1:46" ht="20.100000000000001" customHeight="1">
      <c r="A14" s="173">
        <v>10</v>
      </c>
      <c r="B14" s="151" t="s">
        <v>27</v>
      </c>
      <c r="C14" s="152">
        <v>0.64</v>
      </c>
      <c r="D14" s="152" t="s">
        <v>20</v>
      </c>
      <c r="E14" s="153">
        <v>1144</v>
      </c>
      <c r="F14" s="153">
        <v>16019</v>
      </c>
      <c r="G14" s="153">
        <v>10252.160000000002</v>
      </c>
      <c r="H14" s="153">
        <v>1088</v>
      </c>
      <c r="I14" s="153">
        <v>15232</v>
      </c>
      <c r="J14" s="154">
        <v>9748.4800000000014</v>
      </c>
      <c r="K14" s="153">
        <v>1600</v>
      </c>
      <c r="L14" s="154">
        <v>22400</v>
      </c>
      <c r="M14" s="155">
        <f t="shared" si="4"/>
        <v>14336</v>
      </c>
      <c r="N14" s="153">
        <v>962</v>
      </c>
      <c r="O14" s="153">
        <v>13479</v>
      </c>
      <c r="P14" s="156">
        <f t="shared" si="5"/>
        <v>8626.56</v>
      </c>
      <c r="Q14" s="153">
        <v>1155</v>
      </c>
      <c r="R14" s="153">
        <v>16170</v>
      </c>
      <c r="S14" s="156">
        <f t="shared" si="6"/>
        <v>10348.800000000001</v>
      </c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78">
        <f t="shared" si="0"/>
        <v>5949</v>
      </c>
      <c r="AP14" s="178">
        <f t="shared" si="1"/>
        <v>83300</v>
      </c>
      <c r="AQ14" s="178">
        <f t="shared" si="2"/>
        <v>53312</v>
      </c>
      <c r="AR14" s="182">
        <f t="shared" si="3"/>
        <v>10662.4</v>
      </c>
      <c r="AS14" s="183">
        <f t="shared" si="7"/>
        <v>4.996491902603422</v>
      </c>
    </row>
    <row r="15" spans="1:46" ht="20.100000000000001" customHeight="1">
      <c r="A15" s="173">
        <v>11</v>
      </c>
      <c r="B15" s="151" t="s">
        <v>30</v>
      </c>
      <c r="C15" s="152">
        <v>0.64</v>
      </c>
      <c r="D15" s="152" t="s">
        <v>20</v>
      </c>
      <c r="E15" s="153">
        <v>4170</v>
      </c>
      <c r="F15" s="153">
        <v>58380</v>
      </c>
      <c r="G15" s="153">
        <v>37363.200000000012</v>
      </c>
      <c r="H15" s="153">
        <v>3175</v>
      </c>
      <c r="I15" s="153">
        <v>44450</v>
      </c>
      <c r="J15" s="154">
        <v>28448.000000000011</v>
      </c>
      <c r="K15" s="153">
        <v>3527</v>
      </c>
      <c r="L15" s="154">
        <v>49381</v>
      </c>
      <c r="M15" s="155">
        <f t="shared" si="4"/>
        <v>31603.84</v>
      </c>
      <c r="N15" s="153">
        <v>3317</v>
      </c>
      <c r="O15" s="153">
        <v>46440</v>
      </c>
      <c r="P15" s="156">
        <f t="shared" si="5"/>
        <v>29721.600000000002</v>
      </c>
      <c r="Q15" s="153">
        <v>3600</v>
      </c>
      <c r="R15" s="153">
        <v>50412</v>
      </c>
      <c r="S15" s="156">
        <f t="shared" si="6"/>
        <v>32263.68</v>
      </c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78">
        <f t="shared" si="0"/>
        <v>17789</v>
      </c>
      <c r="AP15" s="178">
        <f t="shared" si="1"/>
        <v>249063</v>
      </c>
      <c r="AQ15" s="178">
        <f t="shared" si="2"/>
        <v>159400.32000000004</v>
      </c>
      <c r="AR15" s="182">
        <f t="shared" si="3"/>
        <v>31880.064000000006</v>
      </c>
      <c r="AS15" s="183">
        <f t="shared" si="7"/>
        <v>14.939270861201877</v>
      </c>
      <c r="AT15" s="147">
        <v>2</v>
      </c>
    </row>
    <row r="16" spans="1:46" ht="20.100000000000001" customHeight="1">
      <c r="A16" s="173">
        <v>12</v>
      </c>
      <c r="B16" s="151" t="s">
        <v>62</v>
      </c>
      <c r="C16" s="152">
        <v>0.64</v>
      </c>
      <c r="D16" s="152" t="s">
        <v>20</v>
      </c>
      <c r="E16" s="153">
        <v>1422</v>
      </c>
      <c r="F16" s="153">
        <v>19911</v>
      </c>
      <c r="G16" s="153">
        <v>12743.040000000008</v>
      </c>
      <c r="H16" s="153">
        <v>1060</v>
      </c>
      <c r="I16" s="153">
        <v>14840</v>
      </c>
      <c r="J16" s="154">
        <v>9497.600000000004</v>
      </c>
      <c r="K16" s="153">
        <v>1190</v>
      </c>
      <c r="L16" s="154">
        <v>16663</v>
      </c>
      <c r="M16" s="155">
        <f t="shared" si="4"/>
        <v>10664.32</v>
      </c>
      <c r="N16" s="153">
        <v>1076</v>
      </c>
      <c r="O16" s="153">
        <v>15064</v>
      </c>
      <c r="P16" s="156">
        <f t="shared" si="5"/>
        <v>9640.9600000000009</v>
      </c>
      <c r="Q16" s="153">
        <v>1121</v>
      </c>
      <c r="R16" s="153">
        <v>15694</v>
      </c>
      <c r="S16" s="156">
        <f t="shared" si="6"/>
        <v>10044.16</v>
      </c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78">
        <f t="shared" si="0"/>
        <v>5869</v>
      </c>
      <c r="AP16" s="178">
        <f t="shared" si="1"/>
        <v>82172</v>
      </c>
      <c r="AQ16" s="178">
        <f t="shared" si="2"/>
        <v>52590.080000000016</v>
      </c>
      <c r="AR16" s="182">
        <f t="shared" si="3"/>
        <v>10518.016000000003</v>
      </c>
      <c r="AS16" s="183">
        <f t="shared" si="7"/>
        <v>4.9288323243784937</v>
      </c>
    </row>
    <row r="17" spans="1:46" ht="20.100000000000001" customHeight="1">
      <c r="A17" s="173">
        <v>13</v>
      </c>
      <c r="B17" s="151" t="s">
        <v>33</v>
      </c>
      <c r="C17" s="152">
        <v>0.64</v>
      </c>
      <c r="D17" s="152" t="s">
        <v>18</v>
      </c>
      <c r="E17" s="153">
        <v>28</v>
      </c>
      <c r="F17" s="153">
        <v>672</v>
      </c>
      <c r="G17" s="153">
        <v>430.08</v>
      </c>
      <c r="H17" s="153">
        <v>35</v>
      </c>
      <c r="I17" s="153">
        <v>840</v>
      </c>
      <c r="J17" s="154">
        <v>537.6</v>
      </c>
      <c r="K17" s="153">
        <v>30</v>
      </c>
      <c r="L17" s="154">
        <v>720</v>
      </c>
      <c r="M17" s="155">
        <f t="shared" si="4"/>
        <v>460.8</v>
      </c>
      <c r="N17" s="153">
        <v>65</v>
      </c>
      <c r="O17" s="153">
        <v>1560</v>
      </c>
      <c r="P17" s="156">
        <f t="shared" si="5"/>
        <v>998.4</v>
      </c>
      <c r="Q17" s="153">
        <v>35</v>
      </c>
      <c r="R17" s="153">
        <v>840</v>
      </c>
      <c r="S17" s="156">
        <f t="shared" si="6"/>
        <v>537.6</v>
      </c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78">
        <f t="shared" ref="AO17:AO28" si="9">E17+H17+K17+N17+Q17</f>
        <v>193</v>
      </c>
      <c r="AP17" s="178">
        <f t="shared" ref="AP17:AP28" si="10">F17+I17+L17+O17+R17</f>
        <v>4632</v>
      </c>
      <c r="AQ17" s="178">
        <f t="shared" ref="AQ17:AQ28" si="11">G17+J17+M17+P17+S17</f>
        <v>2964.48</v>
      </c>
      <c r="AR17" s="182">
        <f t="shared" ref="AR17:AR28" si="12">AQ17/5</f>
        <v>592.89599999999996</v>
      </c>
      <c r="AS17" s="183">
        <f t="shared" si="7"/>
        <v>0.27783614037045679</v>
      </c>
    </row>
    <row r="18" spans="1:46" ht="20.100000000000001" customHeight="1">
      <c r="A18" s="173">
        <v>14</v>
      </c>
      <c r="B18" s="151" t="s">
        <v>34</v>
      </c>
      <c r="C18" s="152">
        <v>0.6</v>
      </c>
      <c r="D18" s="152" t="s">
        <v>18</v>
      </c>
      <c r="E18" s="153">
        <v>32</v>
      </c>
      <c r="F18" s="153">
        <v>768</v>
      </c>
      <c r="G18" s="153">
        <v>460.8</v>
      </c>
      <c r="H18" s="153">
        <v>29</v>
      </c>
      <c r="I18" s="153">
        <v>696</v>
      </c>
      <c r="J18" s="154">
        <v>417.6</v>
      </c>
      <c r="K18" s="153">
        <v>53</v>
      </c>
      <c r="L18" s="154">
        <v>1272</v>
      </c>
      <c r="M18" s="155">
        <f t="shared" ref="M18:M28" si="13">L18*$C18</f>
        <v>763.19999999999993</v>
      </c>
      <c r="N18" s="153">
        <v>25</v>
      </c>
      <c r="O18" s="153">
        <v>600</v>
      </c>
      <c r="P18" s="156">
        <f t="shared" ref="P18:P28" si="14">O18*$C18</f>
        <v>360</v>
      </c>
      <c r="Q18" s="153">
        <v>28</v>
      </c>
      <c r="R18" s="153">
        <v>672</v>
      </c>
      <c r="S18" s="156">
        <f t="shared" ref="S18:S28" si="15">R18*$C18</f>
        <v>403.2</v>
      </c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78">
        <f t="shared" si="9"/>
        <v>167</v>
      </c>
      <c r="AP18" s="178">
        <f t="shared" si="10"/>
        <v>4008</v>
      </c>
      <c r="AQ18" s="178">
        <f t="shared" si="11"/>
        <v>2404.7999999999997</v>
      </c>
      <c r="AR18" s="182">
        <f t="shared" si="12"/>
        <v>480.95999999999992</v>
      </c>
      <c r="AS18" s="183">
        <f t="shared" si="7"/>
        <v>0.22538197267745924</v>
      </c>
    </row>
    <row r="19" spans="1:46" ht="20.100000000000001" customHeight="1">
      <c r="A19" s="173">
        <v>15</v>
      </c>
      <c r="B19" s="151" t="s">
        <v>36</v>
      </c>
      <c r="C19" s="152">
        <v>1</v>
      </c>
      <c r="D19" s="152" t="s">
        <v>18</v>
      </c>
      <c r="E19" s="153"/>
      <c r="F19" s="153"/>
      <c r="G19" s="153"/>
      <c r="H19" s="153"/>
      <c r="I19" s="153"/>
      <c r="J19" s="154">
        <f t="shared" ref="J19" si="16">I19*$C19</f>
        <v>0</v>
      </c>
      <c r="K19" s="153"/>
      <c r="L19" s="154"/>
      <c r="M19" s="155">
        <f t="shared" si="13"/>
        <v>0</v>
      </c>
      <c r="N19" s="153">
        <v>2</v>
      </c>
      <c r="O19" s="153">
        <v>24</v>
      </c>
      <c r="P19" s="156">
        <f t="shared" si="14"/>
        <v>24</v>
      </c>
      <c r="Q19" s="153">
        <v>2</v>
      </c>
      <c r="R19" s="153">
        <v>24</v>
      </c>
      <c r="S19" s="156">
        <f t="shared" si="15"/>
        <v>24</v>
      </c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78">
        <f t="shared" si="9"/>
        <v>4</v>
      </c>
      <c r="AP19" s="178">
        <f t="shared" si="10"/>
        <v>48</v>
      </c>
      <c r="AQ19" s="178">
        <f t="shared" si="11"/>
        <v>48</v>
      </c>
      <c r="AR19" s="182">
        <f t="shared" si="12"/>
        <v>9.6</v>
      </c>
      <c r="AS19" s="183">
        <f t="shared" si="7"/>
        <v>4.4986421692107641E-3</v>
      </c>
    </row>
    <row r="20" spans="1:46" ht="20.100000000000001" customHeight="1">
      <c r="A20" s="173">
        <v>16</v>
      </c>
      <c r="B20" s="151" t="s">
        <v>36</v>
      </c>
      <c r="C20" s="152">
        <v>1</v>
      </c>
      <c r="D20" s="152" t="s">
        <v>15</v>
      </c>
      <c r="E20" s="153">
        <v>27</v>
      </c>
      <c r="F20" s="153">
        <v>324</v>
      </c>
      <c r="G20" s="153">
        <v>324</v>
      </c>
      <c r="H20" s="153">
        <v>2</v>
      </c>
      <c r="I20" s="153">
        <v>24</v>
      </c>
      <c r="J20" s="154">
        <v>24</v>
      </c>
      <c r="K20" s="153"/>
      <c r="L20" s="154"/>
      <c r="M20" s="155">
        <f t="shared" si="13"/>
        <v>0</v>
      </c>
      <c r="N20" s="153"/>
      <c r="O20" s="153"/>
      <c r="P20" s="156">
        <f t="shared" si="14"/>
        <v>0</v>
      </c>
      <c r="Q20" s="153"/>
      <c r="R20" s="153"/>
      <c r="S20" s="156">
        <f t="shared" si="15"/>
        <v>0</v>
      </c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78">
        <f t="shared" si="9"/>
        <v>29</v>
      </c>
      <c r="AP20" s="178">
        <f t="shared" si="10"/>
        <v>348</v>
      </c>
      <c r="AQ20" s="178">
        <f t="shared" si="11"/>
        <v>348</v>
      </c>
      <c r="AR20" s="182">
        <f t="shared" si="12"/>
        <v>69.599999999999994</v>
      </c>
      <c r="AS20" s="183">
        <f t="shared" si="7"/>
        <v>3.2615155726778033E-2</v>
      </c>
    </row>
    <row r="21" spans="1:46" ht="20.100000000000001" customHeight="1">
      <c r="A21" s="173">
        <v>17</v>
      </c>
      <c r="B21" s="151" t="s">
        <v>40</v>
      </c>
      <c r="C21" s="152">
        <v>0.64</v>
      </c>
      <c r="D21" s="152" t="s">
        <v>127</v>
      </c>
      <c r="E21" s="153">
        <v>23</v>
      </c>
      <c r="F21" s="153">
        <v>552</v>
      </c>
      <c r="G21" s="153">
        <v>353.28</v>
      </c>
      <c r="H21" s="153">
        <v>80</v>
      </c>
      <c r="I21" s="153">
        <v>1920</v>
      </c>
      <c r="J21" s="154">
        <v>1228.7999999999997</v>
      </c>
      <c r="K21" s="153">
        <v>65</v>
      </c>
      <c r="L21" s="154">
        <v>1560</v>
      </c>
      <c r="M21" s="155">
        <f t="shared" si="13"/>
        <v>998.4</v>
      </c>
      <c r="N21" s="153">
        <v>72</v>
      </c>
      <c r="O21" s="153">
        <v>1728</v>
      </c>
      <c r="P21" s="156">
        <f t="shared" si="14"/>
        <v>1105.92</v>
      </c>
      <c r="Q21" s="153">
        <v>147</v>
      </c>
      <c r="R21" s="153">
        <v>3528</v>
      </c>
      <c r="S21" s="156">
        <f t="shared" si="15"/>
        <v>2257.92</v>
      </c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78">
        <f t="shared" si="9"/>
        <v>387</v>
      </c>
      <c r="AP21" s="178">
        <f t="shared" si="10"/>
        <v>9288</v>
      </c>
      <c r="AQ21" s="178">
        <f t="shared" si="11"/>
        <v>5944.32</v>
      </c>
      <c r="AR21" s="182">
        <f t="shared" si="12"/>
        <v>1188.864</v>
      </c>
      <c r="AS21" s="183">
        <f t="shared" si="7"/>
        <v>0.55711184623506105</v>
      </c>
    </row>
    <row r="22" spans="1:46" ht="20.100000000000001" customHeight="1">
      <c r="A22" s="173">
        <v>18</v>
      </c>
      <c r="B22" s="151" t="s">
        <v>64</v>
      </c>
      <c r="C22" s="152">
        <v>0.64</v>
      </c>
      <c r="D22" s="152" t="s">
        <v>20</v>
      </c>
      <c r="E22" s="153"/>
      <c r="F22" s="153"/>
      <c r="G22" s="153"/>
      <c r="H22" s="153"/>
      <c r="I22" s="153"/>
      <c r="J22" s="154"/>
      <c r="K22" s="153"/>
      <c r="L22" s="154"/>
      <c r="M22" s="155">
        <f t="shared" si="13"/>
        <v>0</v>
      </c>
      <c r="N22" s="153">
        <v>3</v>
      </c>
      <c r="O22" s="153">
        <v>42</v>
      </c>
      <c r="P22" s="156">
        <f t="shared" si="14"/>
        <v>26.88</v>
      </c>
      <c r="Q22" s="153">
        <v>63</v>
      </c>
      <c r="R22" s="153">
        <v>882</v>
      </c>
      <c r="S22" s="156">
        <f t="shared" si="15"/>
        <v>564.48</v>
      </c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78">
        <f t="shared" si="9"/>
        <v>66</v>
      </c>
      <c r="AP22" s="178">
        <f t="shared" si="10"/>
        <v>924</v>
      </c>
      <c r="AQ22" s="178">
        <f t="shared" si="11"/>
        <v>591.36</v>
      </c>
      <c r="AR22" s="182">
        <f t="shared" si="12"/>
        <v>118.27200000000001</v>
      </c>
      <c r="AS22" s="183">
        <f t="shared" si="7"/>
        <v>5.5423271524676618E-2</v>
      </c>
    </row>
    <row r="23" spans="1:46" ht="20.100000000000001" customHeight="1">
      <c r="A23" s="173">
        <v>19</v>
      </c>
      <c r="B23" s="151" t="s">
        <v>38</v>
      </c>
      <c r="C23" s="152">
        <v>0.7</v>
      </c>
      <c r="D23" s="152" t="s">
        <v>15</v>
      </c>
      <c r="E23" s="153">
        <v>2</v>
      </c>
      <c r="F23" s="153">
        <v>25</v>
      </c>
      <c r="G23" s="153">
        <v>17.499999999999996</v>
      </c>
      <c r="H23" s="153">
        <v>5</v>
      </c>
      <c r="I23" s="153">
        <v>81</v>
      </c>
      <c r="J23" s="154">
        <v>56.699999999999996</v>
      </c>
      <c r="K23" s="153">
        <v>2</v>
      </c>
      <c r="L23" s="154">
        <v>42</v>
      </c>
      <c r="M23" s="155">
        <f t="shared" si="13"/>
        <v>29.4</v>
      </c>
      <c r="N23" s="153">
        <v>4</v>
      </c>
      <c r="O23" s="153">
        <v>48</v>
      </c>
      <c r="P23" s="156">
        <f t="shared" si="14"/>
        <v>33.599999999999994</v>
      </c>
      <c r="Q23" s="153"/>
      <c r="R23" s="153">
        <v>6</v>
      </c>
      <c r="S23" s="156">
        <f t="shared" si="15"/>
        <v>4.1999999999999993</v>
      </c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78">
        <f t="shared" si="9"/>
        <v>13</v>
      </c>
      <c r="AP23" s="178">
        <f t="shared" si="10"/>
        <v>202</v>
      </c>
      <c r="AQ23" s="178">
        <f t="shared" si="11"/>
        <v>141.39999999999998</v>
      </c>
      <c r="AR23" s="182">
        <f t="shared" si="12"/>
        <v>28.279999999999994</v>
      </c>
      <c r="AS23" s="183">
        <f t="shared" si="7"/>
        <v>1.3252250056800041E-2</v>
      </c>
    </row>
    <row r="24" spans="1:46" ht="20.100000000000001" customHeight="1">
      <c r="A24" s="173">
        <v>20</v>
      </c>
      <c r="B24" s="151" t="s">
        <v>39</v>
      </c>
      <c r="C24" s="152">
        <v>0.35</v>
      </c>
      <c r="D24" s="152" t="s">
        <v>18</v>
      </c>
      <c r="E24" s="153">
        <v>0</v>
      </c>
      <c r="F24" s="153">
        <v>2</v>
      </c>
      <c r="G24" s="153">
        <v>0.7</v>
      </c>
      <c r="H24" s="153">
        <v>2</v>
      </c>
      <c r="I24" s="153">
        <v>90</v>
      </c>
      <c r="J24" s="154">
        <v>31.499999999999993</v>
      </c>
      <c r="K24" s="153">
        <v>6</v>
      </c>
      <c r="L24" s="154">
        <v>240</v>
      </c>
      <c r="M24" s="155">
        <f t="shared" si="13"/>
        <v>84</v>
      </c>
      <c r="N24" s="153">
        <v>17</v>
      </c>
      <c r="O24" s="153">
        <v>421</v>
      </c>
      <c r="P24" s="156">
        <f t="shared" si="14"/>
        <v>147.35</v>
      </c>
      <c r="Q24" s="153">
        <v>2</v>
      </c>
      <c r="R24" s="153">
        <v>53</v>
      </c>
      <c r="S24" s="156">
        <f t="shared" si="15"/>
        <v>18.549999999999997</v>
      </c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78">
        <f t="shared" si="9"/>
        <v>27</v>
      </c>
      <c r="AP24" s="178">
        <f t="shared" si="10"/>
        <v>806</v>
      </c>
      <c r="AQ24" s="178">
        <f t="shared" si="11"/>
        <v>282.09999999999997</v>
      </c>
      <c r="AR24" s="182">
        <f t="shared" si="12"/>
        <v>56.419999999999995</v>
      </c>
      <c r="AS24" s="183">
        <f t="shared" si="7"/>
        <v>2.6438894915299091E-2</v>
      </c>
    </row>
    <row r="25" spans="1:46" ht="20.100000000000001" customHeight="1">
      <c r="A25" s="173">
        <v>21</v>
      </c>
      <c r="B25" s="151" t="s">
        <v>41</v>
      </c>
      <c r="C25" s="152">
        <v>0.64</v>
      </c>
      <c r="D25" s="152" t="s">
        <v>18</v>
      </c>
      <c r="E25" s="153">
        <v>6002</v>
      </c>
      <c r="F25" s="153">
        <v>144048</v>
      </c>
      <c r="G25" s="153">
        <v>92190.719999999987</v>
      </c>
      <c r="H25" s="153">
        <v>5035</v>
      </c>
      <c r="I25" s="153">
        <v>120840</v>
      </c>
      <c r="J25" s="154">
        <v>77337.599999999962</v>
      </c>
      <c r="K25" s="153">
        <v>6002</v>
      </c>
      <c r="L25" s="154">
        <v>144058</v>
      </c>
      <c r="M25" s="155">
        <f t="shared" si="13"/>
        <v>92197.119999999995</v>
      </c>
      <c r="N25" s="153">
        <v>4965</v>
      </c>
      <c r="O25" s="153">
        <v>119160</v>
      </c>
      <c r="P25" s="156">
        <f t="shared" si="14"/>
        <v>76262.400000000009</v>
      </c>
      <c r="Q25" s="153">
        <v>5139</v>
      </c>
      <c r="R25" s="153">
        <v>123336</v>
      </c>
      <c r="S25" s="156">
        <f t="shared" si="15"/>
        <v>78935.040000000008</v>
      </c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78">
        <f t="shared" si="9"/>
        <v>27143</v>
      </c>
      <c r="AP25" s="178">
        <f t="shared" si="10"/>
        <v>651442</v>
      </c>
      <c r="AQ25" s="178">
        <f t="shared" si="11"/>
        <v>416922.88</v>
      </c>
      <c r="AR25" s="182">
        <f t="shared" si="12"/>
        <v>83384.576000000001</v>
      </c>
      <c r="AS25" s="183">
        <f t="shared" si="7"/>
        <v>39.074726026599983</v>
      </c>
      <c r="AT25" s="147">
        <v>1</v>
      </c>
    </row>
    <row r="26" spans="1:46" ht="20.100000000000001" customHeight="1">
      <c r="A26" s="173">
        <v>22</v>
      </c>
      <c r="B26" s="151" t="s">
        <v>42</v>
      </c>
      <c r="C26" s="152">
        <v>0.64</v>
      </c>
      <c r="D26" s="152" t="s">
        <v>20</v>
      </c>
      <c r="E26" s="153">
        <v>439</v>
      </c>
      <c r="F26" s="153">
        <v>6146</v>
      </c>
      <c r="G26" s="153">
        <v>3933.4399999999996</v>
      </c>
      <c r="H26" s="153">
        <v>450</v>
      </c>
      <c r="I26" s="153">
        <v>6300</v>
      </c>
      <c r="J26" s="154">
        <v>4032</v>
      </c>
      <c r="K26" s="153">
        <v>438</v>
      </c>
      <c r="L26" s="154">
        <v>6132</v>
      </c>
      <c r="M26" s="155">
        <f t="shared" si="13"/>
        <v>3924.48</v>
      </c>
      <c r="N26" s="153">
        <v>502</v>
      </c>
      <c r="O26" s="153">
        <v>7028</v>
      </c>
      <c r="P26" s="156">
        <f t="shared" si="14"/>
        <v>4497.92</v>
      </c>
      <c r="Q26" s="153">
        <v>458</v>
      </c>
      <c r="R26" s="153">
        <v>6412</v>
      </c>
      <c r="S26" s="156">
        <f t="shared" si="15"/>
        <v>4103.68</v>
      </c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78">
        <f t="shared" si="9"/>
        <v>2287</v>
      </c>
      <c r="AP26" s="178">
        <f t="shared" si="10"/>
        <v>32018</v>
      </c>
      <c r="AQ26" s="178">
        <f t="shared" si="11"/>
        <v>20491.52</v>
      </c>
      <c r="AR26" s="182">
        <f t="shared" si="12"/>
        <v>4098.3040000000001</v>
      </c>
      <c r="AS26" s="183">
        <f t="shared" si="7"/>
        <v>1.9205003329838699</v>
      </c>
    </row>
    <row r="27" spans="1:46" ht="20.100000000000001" customHeight="1">
      <c r="A27" s="173">
        <v>23</v>
      </c>
      <c r="B27" s="151" t="s">
        <v>43</v>
      </c>
      <c r="C27" s="152">
        <v>0.64</v>
      </c>
      <c r="D27" s="152" t="s">
        <v>18</v>
      </c>
      <c r="E27" s="153">
        <v>243</v>
      </c>
      <c r="F27" s="153">
        <v>5832</v>
      </c>
      <c r="G27" s="157">
        <v>3732.48</v>
      </c>
      <c r="H27" s="153">
        <v>226</v>
      </c>
      <c r="I27" s="153">
        <v>5424</v>
      </c>
      <c r="J27" s="154">
        <v>3471.360000000001</v>
      </c>
      <c r="K27" s="153">
        <v>373</v>
      </c>
      <c r="L27" s="154">
        <v>8952</v>
      </c>
      <c r="M27" s="155">
        <f t="shared" si="13"/>
        <v>5729.28</v>
      </c>
      <c r="N27" s="153">
        <v>161</v>
      </c>
      <c r="O27" s="153">
        <v>3864</v>
      </c>
      <c r="P27" s="156">
        <f t="shared" si="14"/>
        <v>2472.96</v>
      </c>
      <c r="Q27" s="153">
        <v>293</v>
      </c>
      <c r="R27" s="153">
        <v>7032</v>
      </c>
      <c r="S27" s="156">
        <f t="shared" si="15"/>
        <v>4500.4800000000005</v>
      </c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78">
        <f t="shared" si="9"/>
        <v>1296</v>
      </c>
      <c r="AP27" s="178">
        <f t="shared" si="10"/>
        <v>31104</v>
      </c>
      <c r="AQ27" s="178">
        <f t="shared" si="11"/>
        <v>19906.560000000001</v>
      </c>
      <c r="AR27" s="182">
        <f t="shared" si="12"/>
        <v>3981.3120000000004</v>
      </c>
      <c r="AS27" s="183">
        <f t="shared" si="7"/>
        <v>1.8656768804150883</v>
      </c>
    </row>
    <row r="28" spans="1:46" ht="20.100000000000001" customHeight="1">
      <c r="A28" s="173">
        <v>24</v>
      </c>
      <c r="B28" s="151" t="s">
        <v>44</v>
      </c>
      <c r="C28" s="152">
        <v>0.64</v>
      </c>
      <c r="D28" s="152" t="s">
        <v>20</v>
      </c>
      <c r="E28" s="153">
        <v>220</v>
      </c>
      <c r="F28" s="153">
        <v>3080</v>
      </c>
      <c r="G28" s="153">
        <v>1971.1999999999998</v>
      </c>
      <c r="H28" s="153">
        <v>235</v>
      </c>
      <c r="I28" s="153">
        <v>3290</v>
      </c>
      <c r="J28" s="154">
        <v>2105.5999999999995</v>
      </c>
      <c r="K28" s="153">
        <v>160</v>
      </c>
      <c r="L28" s="154">
        <v>2240</v>
      </c>
      <c r="M28" s="155">
        <f t="shared" si="13"/>
        <v>1433.6000000000001</v>
      </c>
      <c r="N28" s="153">
        <v>195</v>
      </c>
      <c r="O28" s="153">
        <v>2730</v>
      </c>
      <c r="P28" s="156">
        <f t="shared" si="14"/>
        <v>1747.2</v>
      </c>
      <c r="Q28" s="153">
        <v>155</v>
      </c>
      <c r="R28" s="153">
        <v>2170</v>
      </c>
      <c r="S28" s="156">
        <f t="shared" si="15"/>
        <v>1388.8</v>
      </c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78">
        <f t="shared" si="9"/>
        <v>965</v>
      </c>
      <c r="AP28" s="178">
        <f t="shared" si="10"/>
        <v>13510</v>
      </c>
      <c r="AQ28" s="178">
        <f t="shared" si="11"/>
        <v>8646.4</v>
      </c>
      <c r="AR28" s="182">
        <f t="shared" si="12"/>
        <v>1729.28</v>
      </c>
      <c r="AS28" s="183">
        <f t="shared" si="7"/>
        <v>0.81035540941383233</v>
      </c>
    </row>
    <row r="29" spans="1:46" ht="20.100000000000001" customHeight="1">
      <c r="A29" s="173"/>
      <c r="B29" s="151" t="s">
        <v>128</v>
      </c>
      <c r="C29" s="152"/>
      <c r="D29" s="152"/>
      <c r="E29" s="158">
        <f t="shared" ref="E29:AN29" si="17">SUM(E5:E28)</f>
        <v>21884</v>
      </c>
      <c r="F29" s="158">
        <f t="shared" si="17"/>
        <v>367121</v>
      </c>
      <c r="G29" s="158">
        <f t="shared" si="17"/>
        <v>240101.31999999998</v>
      </c>
      <c r="H29" s="158">
        <f t="shared" si="17"/>
        <v>17361</v>
      </c>
      <c r="I29" s="158">
        <f t="shared" si="17"/>
        <v>295933</v>
      </c>
      <c r="J29" s="158">
        <f t="shared" si="17"/>
        <v>191759.08000000002</v>
      </c>
      <c r="K29" s="158">
        <f t="shared" si="17"/>
        <v>19817</v>
      </c>
      <c r="L29" s="158">
        <f t="shared" si="17"/>
        <v>340823</v>
      </c>
      <c r="M29" s="158">
        <f t="shared" si="17"/>
        <v>221689.16</v>
      </c>
      <c r="N29" s="158">
        <f t="shared" si="17"/>
        <v>17916</v>
      </c>
      <c r="O29" s="158">
        <f t="shared" si="17"/>
        <v>301632</v>
      </c>
      <c r="P29" s="158">
        <f t="shared" si="17"/>
        <v>197593.51000000007</v>
      </c>
      <c r="Q29" s="158">
        <f t="shared" si="17"/>
        <v>19646</v>
      </c>
      <c r="R29" s="158">
        <f t="shared" si="17"/>
        <v>328803</v>
      </c>
      <c r="S29" s="158">
        <f t="shared" si="17"/>
        <v>215845.55000000002</v>
      </c>
      <c r="T29" s="158">
        <f t="shared" si="17"/>
        <v>0</v>
      </c>
      <c r="U29" s="158">
        <f t="shared" si="17"/>
        <v>0</v>
      </c>
      <c r="V29" s="158">
        <f t="shared" si="17"/>
        <v>0</v>
      </c>
      <c r="W29" s="158">
        <f t="shared" si="17"/>
        <v>0</v>
      </c>
      <c r="X29" s="158">
        <f t="shared" si="17"/>
        <v>0</v>
      </c>
      <c r="Y29" s="158">
        <f t="shared" si="17"/>
        <v>0</v>
      </c>
      <c r="Z29" s="158">
        <f t="shared" si="17"/>
        <v>0</v>
      </c>
      <c r="AA29" s="158">
        <f t="shared" si="17"/>
        <v>0</v>
      </c>
      <c r="AB29" s="158">
        <f t="shared" si="17"/>
        <v>0</v>
      </c>
      <c r="AC29" s="158">
        <f t="shared" si="17"/>
        <v>0</v>
      </c>
      <c r="AD29" s="158">
        <f t="shared" si="17"/>
        <v>0</v>
      </c>
      <c r="AE29" s="158">
        <f t="shared" si="17"/>
        <v>0</v>
      </c>
      <c r="AF29" s="158">
        <f t="shared" si="17"/>
        <v>0</v>
      </c>
      <c r="AG29" s="158">
        <f t="shared" si="17"/>
        <v>0</v>
      </c>
      <c r="AH29" s="158">
        <f t="shared" si="17"/>
        <v>0</v>
      </c>
      <c r="AI29" s="158">
        <f t="shared" si="17"/>
        <v>0</v>
      </c>
      <c r="AJ29" s="158">
        <f t="shared" si="17"/>
        <v>0</v>
      </c>
      <c r="AK29" s="158">
        <f t="shared" si="17"/>
        <v>0</v>
      </c>
      <c r="AL29" s="158">
        <f t="shared" si="17"/>
        <v>0</v>
      </c>
      <c r="AM29" s="158">
        <f t="shared" si="17"/>
        <v>0</v>
      </c>
      <c r="AN29" s="158">
        <f t="shared" si="17"/>
        <v>0</v>
      </c>
      <c r="AO29" s="178">
        <f t="shared" ref="AO29" si="18">E29+H29+K29+N29+Q29</f>
        <v>96624</v>
      </c>
      <c r="AP29" s="178">
        <f t="shared" ref="AP29" si="19">F29+I29+L29+O29+R29</f>
        <v>1634312</v>
      </c>
      <c r="AQ29" s="178">
        <f t="shared" ref="AQ29" si="20">G29+J29+M29+P29+S29</f>
        <v>1066988.6200000001</v>
      </c>
      <c r="AR29" s="182">
        <f t="shared" ref="AR29" si="21">AQ29/5</f>
        <v>213397.72400000002</v>
      </c>
      <c r="AS29" s="183">
        <f t="shared" si="7"/>
        <v>100</v>
      </c>
    </row>
    <row r="30" spans="1:46">
      <c r="A30" s="184" t="s">
        <v>143</v>
      </c>
      <c r="B30" s="151"/>
      <c r="C30" s="151"/>
      <c r="D30" s="151"/>
      <c r="E30" s="151"/>
      <c r="F30" s="151"/>
      <c r="G30" s="185">
        <v>213397.72400000002</v>
      </c>
      <c r="H30" s="151"/>
      <c r="I30" s="151"/>
      <c r="J30" s="185">
        <v>213397.72400000002</v>
      </c>
      <c r="K30" s="151"/>
      <c r="L30" s="151"/>
      <c r="M30" s="185">
        <v>213397.72400000002</v>
      </c>
      <c r="N30" s="151"/>
      <c r="O30" s="151"/>
      <c r="P30" s="185">
        <v>213397.72400000002</v>
      </c>
      <c r="Q30" s="151"/>
      <c r="R30" s="151"/>
      <c r="S30" s="185">
        <v>213397.72400000002</v>
      </c>
    </row>
    <row r="31" spans="1:46">
      <c r="A31" s="184" t="s">
        <v>144</v>
      </c>
      <c r="B31" s="151"/>
      <c r="C31" s="151"/>
      <c r="D31" s="151"/>
      <c r="E31" s="151"/>
      <c r="F31" s="151"/>
      <c r="G31" s="186">
        <f>G29-G30</f>
        <v>26703.595999999961</v>
      </c>
      <c r="H31" s="151"/>
      <c r="I31" s="151"/>
      <c r="J31" s="186">
        <f>J29-J30</f>
        <v>-21638.644</v>
      </c>
      <c r="K31" s="151"/>
      <c r="L31" s="151"/>
      <c r="M31" s="186">
        <f>M29-M30</f>
        <v>8291.435999999987</v>
      </c>
      <c r="N31" s="151"/>
      <c r="O31" s="151"/>
      <c r="P31" s="186">
        <f>P29-P30</f>
        <v>-15804.213999999949</v>
      </c>
      <c r="Q31" s="151"/>
      <c r="R31" s="151"/>
      <c r="S31" s="186">
        <f>S29-S30</f>
        <v>2447.8260000000009</v>
      </c>
    </row>
  </sheetData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49E3-B524-464F-93E1-CD921DA3A037}">
  <sheetPr>
    <tabColor rgb="FFFF0000"/>
  </sheetPr>
  <dimension ref="A1:AT21"/>
  <sheetViews>
    <sheetView workbookViewId="0">
      <pane xSplit="4" ySplit="4" topLeftCell="E5" activePane="bottomRight" state="frozen"/>
      <selection activeCell="AR6" sqref="AR6"/>
      <selection pane="topRight" activeCell="AR6" sqref="AR6"/>
      <selection pane="bottomLeft" activeCell="AR6" sqref="AR6"/>
      <selection pane="bottomRight" activeCell="C11" sqref="C11"/>
    </sheetView>
  </sheetViews>
  <sheetFormatPr defaultColWidth="9.109375" defaultRowHeight="13.8"/>
  <cols>
    <col min="1" max="1" width="4.33203125" style="190" customWidth="1"/>
    <col min="2" max="2" width="28" style="162" customWidth="1"/>
    <col min="3" max="3" width="7.5546875" style="162" customWidth="1"/>
    <col min="4" max="4" width="12.44140625" style="162" customWidth="1"/>
    <col min="5" max="5" width="9.33203125" style="162" customWidth="1"/>
    <col min="6" max="6" width="10.5546875" style="162" customWidth="1"/>
    <col min="7" max="7" width="9.5546875" style="162" customWidth="1"/>
    <col min="8" max="19" width="9.3320312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6" ht="42.75" customHeight="1">
      <c r="A1" s="189"/>
      <c r="B1" s="160" t="s">
        <v>130</v>
      </c>
      <c r="C1" s="161"/>
      <c r="D1" s="159"/>
    </row>
    <row r="2" spans="1:46" ht="24" customHeight="1"/>
    <row r="3" spans="1:46" ht="42.7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58" t="s">
        <v>115</v>
      </c>
      <c r="F3" s="959"/>
      <c r="G3" s="960"/>
      <c r="H3" s="958" t="s">
        <v>116</v>
      </c>
      <c r="I3" s="959"/>
      <c r="J3" s="960"/>
      <c r="K3" s="958" t="s">
        <v>117</v>
      </c>
      <c r="L3" s="959"/>
      <c r="M3" s="960"/>
      <c r="N3" s="958" t="s">
        <v>118</v>
      </c>
      <c r="O3" s="959"/>
      <c r="P3" s="960"/>
      <c r="Q3" s="958" t="s">
        <v>119</v>
      </c>
      <c r="R3" s="959"/>
      <c r="S3" s="960"/>
      <c r="T3" s="958" t="s">
        <v>120</v>
      </c>
      <c r="U3" s="959"/>
      <c r="V3" s="960"/>
      <c r="W3" s="958" t="s">
        <v>121</v>
      </c>
      <c r="X3" s="959"/>
      <c r="Y3" s="960"/>
      <c r="Z3" s="958" t="s">
        <v>122</v>
      </c>
      <c r="AA3" s="959"/>
      <c r="AB3" s="960"/>
      <c r="AC3" s="958" t="s">
        <v>123</v>
      </c>
      <c r="AD3" s="959"/>
      <c r="AE3" s="960"/>
      <c r="AF3" s="958" t="s">
        <v>92</v>
      </c>
      <c r="AG3" s="959"/>
      <c r="AH3" s="960"/>
      <c r="AI3" s="958" t="s">
        <v>93</v>
      </c>
      <c r="AJ3" s="959"/>
      <c r="AK3" s="960"/>
      <c r="AL3" s="962" t="s">
        <v>94</v>
      </c>
      <c r="AM3" s="962"/>
      <c r="AN3" s="962"/>
      <c r="AO3" s="963" t="s">
        <v>140</v>
      </c>
      <c r="AP3" s="963"/>
      <c r="AQ3" s="963"/>
      <c r="AR3" s="180" t="s">
        <v>95</v>
      </c>
      <c r="AS3" s="181" t="s">
        <v>67</v>
      </c>
    </row>
    <row r="4" spans="1:46" ht="32.25" customHeight="1">
      <c r="A4" s="964"/>
      <c r="B4" s="964"/>
      <c r="C4" s="964"/>
      <c r="D4" s="964"/>
      <c r="E4" s="191" t="s">
        <v>124</v>
      </c>
      <c r="F4" s="191" t="s">
        <v>96</v>
      </c>
      <c r="G4" s="191" t="s">
        <v>97</v>
      </c>
      <c r="H4" s="191" t="s">
        <v>124</v>
      </c>
      <c r="I4" s="191" t="s">
        <v>96</v>
      </c>
      <c r="J4" s="191" t="s">
        <v>97</v>
      </c>
      <c r="K4" s="191" t="s">
        <v>124</v>
      </c>
      <c r="L4" s="191" t="s">
        <v>96</v>
      </c>
      <c r="M4" s="191" t="s">
        <v>97</v>
      </c>
      <c r="N4" s="191" t="s">
        <v>124</v>
      </c>
      <c r="O4" s="191" t="s">
        <v>96</v>
      </c>
      <c r="P4" s="191" t="s">
        <v>97</v>
      </c>
      <c r="Q4" s="191" t="s">
        <v>124</v>
      </c>
      <c r="R4" s="191" t="s">
        <v>96</v>
      </c>
      <c r="S4" s="191" t="s">
        <v>97</v>
      </c>
      <c r="T4" s="191" t="s">
        <v>124</v>
      </c>
      <c r="U4" s="191" t="s">
        <v>96</v>
      </c>
      <c r="V4" s="191" t="s">
        <v>97</v>
      </c>
      <c r="W4" s="191" t="s">
        <v>124</v>
      </c>
      <c r="X4" s="191" t="s">
        <v>96</v>
      </c>
      <c r="Y4" s="191" t="s">
        <v>97</v>
      </c>
      <c r="Z4" s="191" t="s">
        <v>124</v>
      </c>
      <c r="AA4" s="191" t="s">
        <v>96</v>
      </c>
      <c r="AB4" s="191" t="s">
        <v>97</v>
      </c>
      <c r="AC4" s="191" t="s">
        <v>124</v>
      </c>
      <c r="AD4" s="191" t="s">
        <v>96</v>
      </c>
      <c r="AE4" s="191" t="s">
        <v>97</v>
      </c>
      <c r="AF4" s="191" t="s">
        <v>124</v>
      </c>
      <c r="AG4" s="191" t="s">
        <v>96</v>
      </c>
      <c r="AH4" s="191" t="s">
        <v>97</v>
      </c>
      <c r="AI4" s="191" t="s">
        <v>124</v>
      </c>
      <c r="AJ4" s="191" t="s">
        <v>96</v>
      </c>
      <c r="AK4" s="191" t="s">
        <v>97</v>
      </c>
      <c r="AL4" s="191" t="s">
        <v>124</v>
      </c>
      <c r="AM4" s="191" t="s">
        <v>96</v>
      </c>
      <c r="AN4" s="191" t="s">
        <v>97</v>
      </c>
      <c r="AO4" s="176" t="s">
        <v>141</v>
      </c>
      <c r="AP4" s="176" t="s">
        <v>142</v>
      </c>
      <c r="AQ4" s="176" t="s">
        <v>97</v>
      </c>
      <c r="AR4" s="192" t="s">
        <v>97</v>
      </c>
      <c r="AS4" s="192" t="s">
        <v>97</v>
      </c>
    </row>
    <row r="5" spans="1:46" ht="20.100000000000001" customHeight="1">
      <c r="A5" s="152">
        <v>1</v>
      </c>
      <c r="B5" s="151" t="s">
        <v>125</v>
      </c>
      <c r="C5" s="152">
        <v>0.64</v>
      </c>
      <c r="D5" s="152" t="s">
        <v>20</v>
      </c>
      <c r="E5" s="153">
        <v>60</v>
      </c>
      <c r="F5" s="153">
        <v>840</v>
      </c>
      <c r="G5" s="153">
        <v>537.6</v>
      </c>
      <c r="H5" s="153">
        <v>50</v>
      </c>
      <c r="I5" s="153">
        <v>700</v>
      </c>
      <c r="J5" s="154">
        <v>448.00000000000006</v>
      </c>
      <c r="K5" s="153">
        <v>70</v>
      </c>
      <c r="L5" s="153">
        <v>980</v>
      </c>
      <c r="M5" s="156">
        <f>L5*$C5</f>
        <v>627.20000000000005</v>
      </c>
      <c r="N5" s="153">
        <v>45</v>
      </c>
      <c r="O5" s="153">
        <v>630</v>
      </c>
      <c r="P5" s="156">
        <f>O5*$C5</f>
        <v>403.2</v>
      </c>
      <c r="Q5" s="153">
        <v>53</v>
      </c>
      <c r="R5" s="153">
        <v>742</v>
      </c>
      <c r="S5" s="156">
        <f>R5*$C5</f>
        <v>474.88</v>
      </c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93">
        <f t="shared" ref="AO5:AO13" si="0">E5+H5+K5+N5+Q5</f>
        <v>278</v>
      </c>
      <c r="AP5" s="193">
        <f t="shared" ref="AP5:AP13" si="1">F5+I5+L5+O5+R5</f>
        <v>3892</v>
      </c>
      <c r="AQ5" s="193">
        <f t="shared" ref="AQ5:AQ13" si="2">G5+J5+M5+P5+S5</f>
        <v>2490.88</v>
      </c>
      <c r="AR5" s="193">
        <f t="shared" ref="AR5:AR13" si="3">AQ5/5</f>
        <v>498.17600000000004</v>
      </c>
      <c r="AS5" s="194">
        <f>AR5/$AR$21%</f>
        <v>2.8919736029387866</v>
      </c>
    </row>
    <row r="6" spans="1:46" ht="20.100000000000001" customHeight="1">
      <c r="A6" s="152">
        <v>2</v>
      </c>
      <c r="B6" s="151" t="s">
        <v>21</v>
      </c>
      <c r="C6" s="152">
        <v>1</v>
      </c>
      <c r="D6" s="152" t="s">
        <v>15</v>
      </c>
      <c r="E6" s="153">
        <v>119</v>
      </c>
      <c r="F6" s="153">
        <v>1428</v>
      </c>
      <c r="G6" s="153">
        <v>1428</v>
      </c>
      <c r="H6" s="153">
        <v>72</v>
      </c>
      <c r="I6" s="153">
        <v>864</v>
      </c>
      <c r="J6" s="154">
        <v>864</v>
      </c>
      <c r="K6" s="153">
        <v>90</v>
      </c>
      <c r="L6" s="153">
        <v>1080</v>
      </c>
      <c r="M6" s="156">
        <f t="shared" ref="M6:M13" si="4">L6*$C6</f>
        <v>1080</v>
      </c>
      <c r="N6" s="153">
        <v>72</v>
      </c>
      <c r="O6" s="153">
        <v>864</v>
      </c>
      <c r="P6" s="156">
        <f t="shared" ref="P6:P13" si="5">O6*$C6</f>
        <v>864</v>
      </c>
      <c r="Q6" s="153">
        <v>25</v>
      </c>
      <c r="R6" s="153">
        <v>300</v>
      </c>
      <c r="S6" s="156">
        <f t="shared" ref="S6:S13" si="6">R6*$C6</f>
        <v>300</v>
      </c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93">
        <f t="shared" si="0"/>
        <v>378</v>
      </c>
      <c r="AP6" s="193">
        <f t="shared" si="1"/>
        <v>4536</v>
      </c>
      <c r="AQ6" s="193">
        <f t="shared" si="2"/>
        <v>4536</v>
      </c>
      <c r="AR6" s="193">
        <f t="shared" si="3"/>
        <v>907.2</v>
      </c>
      <c r="AS6" s="194">
        <f t="shared" ref="AS6:AS21" si="7">AR6/$AR$21%</f>
        <v>5.2664087643444626</v>
      </c>
    </row>
    <row r="7" spans="1:46" ht="20.100000000000001" customHeight="1">
      <c r="A7" s="152">
        <v>3</v>
      </c>
      <c r="B7" s="151" t="s">
        <v>23</v>
      </c>
      <c r="C7" s="152">
        <v>0.64</v>
      </c>
      <c r="D7" s="152" t="s">
        <v>20</v>
      </c>
      <c r="E7" s="153">
        <v>54</v>
      </c>
      <c r="F7" s="153">
        <v>767</v>
      </c>
      <c r="G7" s="153">
        <v>490.88000000000005</v>
      </c>
      <c r="H7" s="153">
        <v>52</v>
      </c>
      <c r="I7" s="153">
        <v>728</v>
      </c>
      <c r="J7" s="154">
        <v>465.92000000000007</v>
      </c>
      <c r="K7" s="153">
        <v>64</v>
      </c>
      <c r="L7" s="153">
        <v>896</v>
      </c>
      <c r="M7" s="156">
        <f t="shared" si="4"/>
        <v>573.44000000000005</v>
      </c>
      <c r="N7" s="153">
        <v>39</v>
      </c>
      <c r="O7" s="153">
        <v>546</v>
      </c>
      <c r="P7" s="156">
        <f t="shared" si="5"/>
        <v>349.44</v>
      </c>
      <c r="Q7" s="153">
        <v>27</v>
      </c>
      <c r="R7" s="153">
        <v>378</v>
      </c>
      <c r="S7" s="156">
        <f t="shared" si="6"/>
        <v>241.92000000000002</v>
      </c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93">
        <f t="shared" si="0"/>
        <v>236</v>
      </c>
      <c r="AP7" s="193">
        <f t="shared" si="1"/>
        <v>3315</v>
      </c>
      <c r="AQ7" s="193">
        <f t="shared" si="2"/>
        <v>2121.6000000000004</v>
      </c>
      <c r="AR7" s="193">
        <f t="shared" si="3"/>
        <v>424.32000000000005</v>
      </c>
      <c r="AS7" s="194">
        <f t="shared" si="7"/>
        <v>2.4632303426880982</v>
      </c>
    </row>
    <row r="8" spans="1:46" ht="20.100000000000001" customHeight="1">
      <c r="A8" s="152">
        <v>4</v>
      </c>
      <c r="B8" s="151" t="s">
        <v>24</v>
      </c>
      <c r="C8" s="152">
        <v>1</v>
      </c>
      <c r="D8" s="152" t="s">
        <v>15</v>
      </c>
      <c r="E8" s="153"/>
      <c r="F8" s="153"/>
      <c r="G8" s="153"/>
      <c r="H8" s="153"/>
      <c r="I8" s="153"/>
      <c r="J8" s="154">
        <f t="shared" ref="J8" si="8">I8*$C8</f>
        <v>0</v>
      </c>
      <c r="K8" s="153">
        <v>8</v>
      </c>
      <c r="L8" s="153">
        <v>96</v>
      </c>
      <c r="M8" s="156">
        <f t="shared" si="4"/>
        <v>96</v>
      </c>
      <c r="N8" s="153">
        <v>12</v>
      </c>
      <c r="O8" s="153">
        <v>144</v>
      </c>
      <c r="P8" s="156">
        <f t="shared" si="5"/>
        <v>144</v>
      </c>
      <c r="Q8" s="153">
        <v>5</v>
      </c>
      <c r="R8" s="153">
        <v>60</v>
      </c>
      <c r="S8" s="156">
        <f t="shared" si="6"/>
        <v>60</v>
      </c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93">
        <f t="shared" si="0"/>
        <v>25</v>
      </c>
      <c r="AP8" s="193">
        <f t="shared" si="1"/>
        <v>300</v>
      </c>
      <c r="AQ8" s="193">
        <f t="shared" si="2"/>
        <v>300</v>
      </c>
      <c r="AR8" s="193">
        <f t="shared" si="3"/>
        <v>60</v>
      </c>
      <c r="AS8" s="194">
        <f t="shared" si="7"/>
        <v>0.34830745795928986</v>
      </c>
    </row>
    <row r="9" spans="1:46" ht="20.100000000000001" customHeight="1">
      <c r="A9" s="152">
        <v>5</v>
      </c>
      <c r="B9" s="151" t="s">
        <v>25</v>
      </c>
      <c r="C9" s="152">
        <v>0.64</v>
      </c>
      <c r="D9" s="152" t="s">
        <v>20</v>
      </c>
      <c r="E9" s="153">
        <v>106</v>
      </c>
      <c r="F9" s="153">
        <v>1484</v>
      </c>
      <c r="G9" s="153">
        <v>949.7600000000001</v>
      </c>
      <c r="H9" s="153">
        <v>69</v>
      </c>
      <c r="I9" s="153">
        <v>966</v>
      </c>
      <c r="J9" s="154">
        <v>618.24</v>
      </c>
      <c r="K9" s="153">
        <v>34</v>
      </c>
      <c r="L9" s="153">
        <v>476</v>
      </c>
      <c r="M9" s="156">
        <f t="shared" si="4"/>
        <v>304.64</v>
      </c>
      <c r="N9" s="153">
        <v>52</v>
      </c>
      <c r="O9" s="153">
        <v>728</v>
      </c>
      <c r="P9" s="156">
        <f t="shared" si="5"/>
        <v>465.92</v>
      </c>
      <c r="Q9" s="153">
        <v>82</v>
      </c>
      <c r="R9" s="153">
        <v>1148</v>
      </c>
      <c r="S9" s="156">
        <f t="shared" si="6"/>
        <v>734.72</v>
      </c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93">
        <f t="shared" si="0"/>
        <v>343</v>
      </c>
      <c r="AP9" s="193">
        <f t="shared" si="1"/>
        <v>4802</v>
      </c>
      <c r="AQ9" s="193">
        <f t="shared" si="2"/>
        <v>3073.2799999999997</v>
      </c>
      <c r="AR9" s="193">
        <f t="shared" si="3"/>
        <v>614.65599999999995</v>
      </c>
      <c r="AS9" s="194">
        <f t="shared" si="7"/>
        <v>3.568154481323754</v>
      </c>
    </row>
    <row r="10" spans="1:46" ht="20.100000000000001" customHeight="1">
      <c r="A10" s="152">
        <v>6</v>
      </c>
      <c r="B10" s="151" t="s">
        <v>27</v>
      </c>
      <c r="C10" s="152">
        <v>0.7</v>
      </c>
      <c r="D10" s="152" t="s">
        <v>15</v>
      </c>
      <c r="E10" s="153">
        <v>45</v>
      </c>
      <c r="F10" s="153">
        <v>540</v>
      </c>
      <c r="G10" s="153">
        <v>378</v>
      </c>
      <c r="H10" s="153">
        <v>25</v>
      </c>
      <c r="I10" s="153">
        <v>300</v>
      </c>
      <c r="J10" s="154">
        <v>210</v>
      </c>
      <c r="K10" s="153">
        <v>15</v>
      </c>
      <c r="L10" s="153">
        <v>180</v>
      </c>
      <c r="M10" s="156">
        <f t="shared" si="4"/>
        <v>125.99999999999999</v>
      </c>
      <c r="N10" s="153">
        <v>10</v>
      </c>
      <c r="O10" s="153">
        <v>120</v>
      </c>
      <c r="P10" s="156">
        <f t="shared" si="5"/>
        <v>84</v>
      </c>
      <c r="Q10" s="153">
        <v>5</v>
      </c>
      <c r="R10" s="153">
        <v>60</v>
      </c>
      <c r="S10" s="156">
        <f t="shared" si="6"/>
        <v>42</v>
      </c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93">
        <f t="shared" si="0"/>
        <v>100</v>
      </c>
      <c r="AP10" s="193">
        <f t="shared" si="1"/>
        <v>1200</v>
      </c>
      <c r="AQ10" s="193">
        <f t="shared" si="2"/>
        <v>840</v>
      </c>
      <c r="AR10" s="193">
        <f t="shared" si="3"/>
        <v>168</v>
      </c>
      <c r="AS10" s="194">
        <f t="shared" si="7"/>
        <v>0.9752608822860116</v>
      </c>
    </row>
    <row r="11" spans="1:46" ht="20.100000000000001" customHeight="1">
      <c r="A11" s="152">
        <v>7</v>
      </c>
      <c r="B11" s="151" t="s">
        <v>27</v>
      </c>
      <c r="C11" s="152">
        <v>0.64</v>
      </c>
      <c r="D11" s="152" t="s">
        <v>20</v>
      </c>
      <c r="E11" s="153">
        <v>319</v>
      </c>
      <c r="F11" s="153">
        <v>4466</v>
      </c>
      <c r="G11" s="153">
        <v>2858.2400000000002</v>
      </c>
      <c r="H11" s="153">
        <v>182</v>
      </c>
      <c r="I11" s="153">
        <v>2548</v>
      </c>
      <c r="J11" s="154">
        <v>1630.7200000000003</v>
      </c>
      <c r="K11" s="153">
        <v>276</v>
      </c>
      <c r="L11" s="153">
        <v>3864</v>
      </c>
      <c r="M11" s="156">
        <f t="shared" si="4"/>
        <v>2472.96</v>
      </c>
      <c r="N11" s="153">
        <v>162</v>
      </c>
      <c r="O11" s="153">
        <v>2268</v>
      </c>
      <c r="P11" s="156">
        <f t="shared" si="5"/>
        <v>1451.52</v>
      </c>
      <c r="Q11" s="153">
        <v>308</v>
      </c>
      <c r="R11" s="153">
        <v>4312</v>
      </c>
      <c r="S11" s="156">
        <f t="shared" si="6"/>
        <v>2759.68</v>
      </c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93">
        <f t="shared" si="0"/>
        <v>1247</v>
      </c>
      <c r="AP11" s="193">
        <f t="shared" si="1"/>
        <v>17458</v>
      </c>
      <c r="AQ11" s="193">
        <f t="shared" si="2"/>
        <v>11173.12</v>
      </c>
      <c r="AR11" s="193">
        <f t="shared" si="3"/>
        <v>2234.6240000000003</v>
      </c>
      <c r="AS11" s="194">
        <f t="shared" si="7"/>
        <v>12.972270082247004</v>
      </c>
      <c r="AT11" s="162">
        <v>2</v>
      </c>
    </row>
    <row r="12" spans="1:46" ht="20.100000000000001" customHeight="1">
      <c r="A12" s="152">
        <v>8</v>
      </c>
      <c r="B12" s="151" t="s">
        <v>30</v>
      </c>
      <c r="C12" s="152">
        <v>0.64</v>
      </c>
      <c r="D12" s="152" t="s">
        <v>20</v>
      </c>
      <c r="E12" s="153">
        <v>69</v>
      </c>
      <c r="F12" s="153">
        <v>966</v>
      </c>
      <c r="G12" s="153">
        <v>618.24</v>
      </c>
      <c r="H12" s="153">
        <v>21</v>
      </c>
      <c r="I12" s="153">
        <v>294</v>
      </c>
      <c r="J12" s="154">
        <v>188.16000000000003</v>
      </c>
      <c r="K12" s="153">
        <v>51</v>
      </c>
      <c r="L12" s="153">
        <v>714</v>
      </c>
      <c r="M12" s="156">
        <f t="shared" si="4"/>
        <v>456.96000000000004</v>
      </c>
      <c r="N12" s="153">
        <v>42</v>
      </c>
      <c r="O12" s="153">
        <v>588</v>
      </c>
      <c r="P12" s="156">
        <f t="shared" si="5"/>
        <v>376.32</v>
      </c>
      <c r="Q12" s="153">
        <v>57</v>
      </c>
      <c r="R12" s="153">
        <v>798</v>
      </c>
      <c r="S12" s="156">
        <f t="shared" si="6"/>
        <v>510.72</v>
      </c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93">
        <f t="shared" si="0"/>
        <v>240</v>
      </c>
      <c r="AP12" s="193">
        <f t="shared" si="1"/>
        <v>3360</v>
      </c>
      <c r="AQ12" s="193">
        <f t="shared" si="2"/>
        <v>2150.4</v>
      </c>
      <c r="AR12" s="193">
        <f t="shared" si="3"/>
        <v>430.08000000000004</v>
      </c>
      <c r="AS12" s="194">
        <f t="shared" si="7"/>
        <v>2.4966678586521898</v>
      </c>
    </row>
    <row r="13" spans="1:46" ht="20.100000000000001" customHeight="1">
      <c r="A13" s="152">
        <v>9</v>
      </c>
      <c r="B13" s="151" t="s">
        <v>62</v>
      </c>
      <c r="C13" s="152">
        <v>0.64</v>
      </c>
      <c r="D13" s="152" t="s">
        <v>20</v>
      </c>
      <c r="E13" s="153">
        <v>73</v>
      </c>
      <c r="F13" s="153">
        <v>1022</v>
      </c>
      <c r="G13" s="153">
        <v>654.08000000000004</v>
      </c>
      <c r="H13" s="153">
        <v>55</v>
      </c>
      <c r="I13" s="153">
        <v>770</v>
      </c>
      <c r="J13" s="154">
        <v>492.80000000000007</v>
      </c>
      <c r="K13" s="153">
        <v>33</v>
      </c>
      <c r="L13" s="153">
        <v>462</v>
      </c>
      <c r="M13" s="156">
        <f t="shared" si="4"/>
        <v>295.68</v>
      </c>
      <c r="N13" s="153">
        <v>50</v>
      </c>
      <c r="O13" s="153">
        <v>700</v>
      </c>
      <c r="P13" s="156">
        <f t="shared" si="5"/>
        <v>448</v>
      </c>
      <c r="Q13" s="153">
        <v>62</v>
      </c>
      <c r="R13" s="153">
        <v>868</v>
      </c>
      <c r="S13" s="156">
        <f t="shared" si="6"/>
        <v>555.52</v>
      </c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93">
        <f t="shared" si="0"/>
        <v>273</v>
      </c>
      <c r="AP13" s="193">
        <f t="shared" si="1"/>
        <v>3822</v>
      </c>
      <c r="AQ13" s="193">
        <f t="shared" si="2"/>
        <v>2446.08</v>
      </c>
      <c r="AR13" s="193">
        <f t="shared" si="3"/>
        <v>489.21600000000001</v>
      </c>
      <c r="AS13" s="194">
        <f t="shared" si="7"/>
        <v>2.8399596892168657</v>
      </c>
    </row>
    <row r="14" spans="1:46" ht="20.100000000000001" customHeight="1">
      <c r="A14" s="152">
        <v>10</v>
      </c>
      <c r="B14" s="151" t="s">
        <v>34</v>
      </c>
      <c r="C14" s="152">
        <v>0.6</v>
      </c>
      <c r="D14" s="152" t="s">
        <v>18</v>
      </c>
      <c r="E14" s="153">
        <v>15</v>
      </c>
      <c r="F14" s="153">
        <v>360</v>
      </c>
      <c r="G14" s="153">
        <v>216</v>
      </c>
      <c r="H14" s="153">
        <v>16</v>
      </c>
      <c r="I14" s="153">
        <v>384</v>
      </c>
      <c r="J14" s="154">
        <v>230.4</v>
      </c>
      <c r="K14" s="153">
        <v>18</v>
      </c>
      <c r="L14" s="153">
        <v>432</v>
      </c>
      <c r="M14" s="156">
        <f t="shared" ref="M14:M20" si="9">L14*$C14</f>
        <v>259.2</v>
      </c>
      <c r="N14" s="153">
        <v>10</v>
      </c>
      <c r="O14" s="153">
        <v>240</v>
      </c>
      <c r="P14" s="156">
        <f t="shared" ref="P14:P20" si="10">O14*$C14</f>
        <v>144</v>
      </c>
      <c r="Q14" s="153">
        <v>15</v>
      </c>
      <c r="R14" s="153">
        <v>360</v>
      </c>
      <c r="S14" s="156">
        <f t="shared" ref="S14:S20" si="11">R14*$C14</f>
        <v>216</v>
      </c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93">
        <f t="shared" ref="AO14:AO20" si="12">E14+H14+K14+N14+Q14</f>
        <v>74</v>
      </c>
      <c r="AP14" s="193">
        <f t="shared" ref="AP14:AP20" si="13">F14+I14+L14+O14+R14</f>
        <v>1776</v>
      </c>
      <c r="AQ14" s="193">
        <f t="shared" ref="AQ14:AQ20" si="14">G14+J14+M14+P14+S14</f>
        <v>1065.5999999999999</v>
      </c>
      <c r="AR14" s="193">
        <f t="shared" ref="AR14:AR20" si="15">AQ14/5</f>
        <v>213.11999999999998</v>
      </c>
      <c r="AS14" s="194">
        <f t="shared" si="7"/>
        <v>1.2371880906713975</v>
      </c>
    </row>
    <row r="15" spans="1:46" ht="20.100000000000001" customHeight="1">
      <c r="A15" s="152">
        <v>11</v>
      </c>
      <c r="B15" s="151" t="s">
        <v>36</v>
      </c>
      <c r="C15" s="152">
        <v>1</v>
      </c>
      <c r="D15" s="152" t="s">
        <v>15</v>
      </c>
      <c r="E15" s="153">
        <v>61</v>
      </c>
      <c r="F15" s="153">
        <v>740</v>
      </c>
      <c r="G15" s="153">
        <v>740</v>
      </c>
      <c r="H15" s="153">
        <v>39</v>
      </c>
      <c r="I15" s="153">
        <v>474</v>
      </c>
      <c r="J15" s="154">
        <v>474</v>
      </c>
      <c r="K15" s="153">
        <v>55</v>
      </c>
      <c r="L15" s="153">
        <v>660</v>
      </c>
      <c r="M15" s="156">
        <f t="shared" si="9"/>
        <v>660</v>
      </c>
      <c r="N15" s="153">
        <v>42</v>
      </c>
      <c r="O15" s="153">
        <v>504</v>
      </c>
      <c r="P15" s="156">
        <f t="shared" si="10"/>
        <v>504</v>
      </c>
      <c r="Q15" s="153">
        <v>60</v>
      </c>
      <c r="R15" s="153">
        <v>720</v>
      </c>
      <c r="S15" s="156">
        <f t="shared" si="11"/>
        <v>720</v>
      </c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93">
        <f t="shared" si="12"/>
        <v>257</v>
      </c>
      <c r="AP15" s="193">
        <f t="shared" si="13"/>
        <v>3098</v>
      </c>
      <c r="AQ15" s="193">
        <f t="shared" si="14"/>
        <v>3098</v>
      </c>
      <c r="AR15" s="193">
        <f t="shared" si="15"/>
        <v>619.6</v>
      </c>
      <c r="AS15" s="194">
        <f t="shared" si="7"/>
        <v>3.5968550158596</v>
      </c>
    </row>
    <row r="16" spans="1:46" ht="20.100000000000001" customHeight="1">
      <c r="A16" s="152">
        <v>12</v>
      </c>
      <c r="B16" s="151" t="s">
        <v>37</v>
      </c>
      <c r="C16" s="152">
        <v>0.6</v>
      </c>
      <c r="D16" s="152" t="s">
        <v>18</v>
      </c>
      <c r="E16" s="153">
        <v>4</v>
      </c>
      <c r="F16" s="153">
        <v>96</v>
      </c>
      <c r="G16" s="153">
        <v>57.599999999999994</v>
      </c>
      <c r="H16" s="153"/>
      <c r="I16" s="153"/>
      <c r="J16" s="154">
        <f t="shared" ref="J16" si="16">I16*$C16</f>
        <v>0</v>
      </c>
      <c r="K16" s="153"/>
      <c r="L16" s="153"/>
      <c r="M16" s="156">
        <f t="shared" si="9"/>
        <v>0</v>
      </c>
      <c r="N16" s="153"/>
      <c r="O16" s="153"/>
      <c r="P16" s="156">
        <f t="shared" si="10"/>
        <v>0</v>
      </c>
      <c r="Q16" s="153"/>
      <c r="R16" s="153"/>
      <c r="S16" s="156">
        <f t="shared" si="11"/>
        <v>0</v>
      </c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93">
        <f t="shared" si="12"/>
        <v>4</v>
      </c>
      <c r="AP16" s="193">
        <f t="shared" si="13"/>
        <v>96</v>
      </c>
      <c r="AQ16" s="193">
        <f t="shared" si="14"/>
        <v>57.599999999999994</v>
      </c>
      <c r="AR16" s="193">
        <f t="shared" si="15"/>
        <v>11.52</v>
      </c>
      <c r="AS16" s="194">
        <f t="shared" si="7"/>
        <v>6.6875031928183643E-2</v>
      </c>
    </row>
    <row r="17" spans="1:46" ht="20.100000000000001" customHeight="1">
      <c r="A17" s="152">
        <v>13</v>
      </c>
      <c r="B17" s="151" t="s">
        <v>40</v>
      </c>
      <c r="C17" s="152">
        <v>0.64</v>
      </c>
      <c r="D17" s="152" t="s">
        <v>18</v>
      </c>
      <c r="E17" s="153">
        <v>287</v>
      </c>
      <c r="F17" s="153">
        <v>6888</v>
      </c>
      <c r="G17" s="153">
        <v>4408.32</v>
      </c>
      <c r="H17" s="153">
        <v>276</v>
      </c>
      <c r="I17" s="153">
        <v>6624</v>
      </c>
      <c r="J17" s="154">
        <v>4239.3600000000006</v>
      </c>
      <c r="K17" s="153">
        <v>365</v>
      </c>
      <c r="L17" s="153">
        <v>8760</v>
      </c>
      <c r="M17" s="156">
        <f t="shared" si="9"/>
        <v>5606.4000000000005</v>
      </c>
      <c r="N17" s="153">
        <v>411</v>
      </c>
      <c r="O17" s="153">
        <v>9864</v>
      </c>
      <c r="P17" s="156">
        <f t="shared" si="10"/>
        <v>6312.96</v>
      </c>
      <c r="Q17" s="153">
        <v>471</v>
      </c>
      <c r="R17" s="153">
        <v>11304</v>
      </c>
      <c r="S17" s="156">
        <f t="shared" si="11"/>
        <v>7234.56</v>
      </c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93">
        <f t="shared" si="12"/>
        <v>1810</v>
      </c>
      <c r="AP17" s="193">
        <f t="shared" si="13"/>
        <v>43440</v>
      </c>
      <c r="AQ17" s="193">
        <f t="shared" si="14"/>
        <v>27801.600000000002</v>
      </c>
      <c r="AR17" s="193">
        <f t="shared" si="15"/>
        <v>5560.3200000000006</v>
      </c>
      <c r="AS17" s="194">
        <f t="shared" si="7"/>
        <v>32.27834874400331</v>
      </c>
      <c r="AT17" s="162">
        <v>1</v>
      </c>
    </row>
    <row r="18" spans="1:46" ht="20.100000000000001" customHeight="1">
      <c r="A18" s="152">
        <v>14</v>
      </c>
      <c r="B18" s="151" t="s">
        <v>64</v>
      </c>
      <c r="C18" s="152">
        <v>0.64</v>
      </c>
      <c r="D18" s="152"/>
      <c r="E18" s="153"/>
      <c r="F18" s="153"/>
      <c r="G18" s="153"/>
      <c r="H18" s="153"/>
      <c r="I18" s="153"/>
      <c r="J18" s="154"/>
      <c r="K18" s="153"/>
      <c r="L18" s="153"/>
      <c r="M18" s="156"/>
      <c r="N18" s="153">
        <v>213</v>
      </c>
      <c r="O18" s="153">
        <v>2982</v>
      </c>
      <c r="P18" s="156">
        <f t="shared" si="10"/>
        <v>1908.48</v>
      </c>
      <c r="Q18" s="153">
        <v>429</v>
      </c>
      <c r="R18" s="153">
        <v>6006</v>
      </c>
      <c r="S18" s="156">
        <f t="shared" si="11"/>
        <v>3843.84</v>
      </c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93">
        <f t="shared" si="12"/>
        <v>642</v>
      </c>
      <c r="AP18" s="193">
        <f t="shared" si="13"/>
        <v>8988</v>
      </c>
      <c r="AQ18" s="193">
        <f t="shared" si="14"/>
        <v>5752.32</v>
      </c>
      <c r="AR18" s="193">
        <f t="shared" si="15"/>
        <v>1150.4639999999999</v>
      </c>
      <c r="AS18" s="194">
        <f t="shared" si="7"/>
        <v>6.6785865218946068</v>
      </c>
      <c r="AT18" s="162">
        <v>5</v>
      </c>
    </row>
    <row r="19" spans="1:46" ht="20.100000000000001" customHeight="1">
      <c r="A19" s="152">
        <v>15</v>
      </c>
      <c r="B19" s="151" t="s">
        <v>41</v>
      </c>
      <c r="C19" s="152">
        <v>0.64</v>
      </c>
      <c r="D19" s="152" t="s">
        <v>18</v>
      </c>
      <c r="E19" s="153">
        <v>178</v>
      </c>
      <c r="F19" s="153">
        <v>4272</v>
      </c>
      <c r="G19" s="153">
        <v>2734.0800000000008</v>
      </c>
      <c r="H19" s="153">
        <v>134</v>
      </c>
      <c r="I19" s="153">
        <v>3236</v>
      </c>
      <c r="J19" s="154">
        <v>2071.0399999999995</v>
      </c>
      <c r="K19" s="153">
        <v>124</v>
      </c>
      <c r="L19" s="153">
        <v>2976</v>
      </c>
      <c r="M19" s="156">
        <f t="shared" si="9"/>
        <v>1904.64</v>
      </c>
      <c r="N19" s="153">
        <v>116</v>
      </c>
      <c r="O19" s="153">
        <v>2784</v>
      </c>
      <c r="P19" s="156">
        <f t="shared" si="10"/>
        <v>1781.76</v>
      </c>
      <c r="Q19" s="153">
        <v>116</v>
      </c>
      <c r="R19" s="153">
        <v>2784</v>
      </c>
      <c r="S19" s="156">
        <f t="shared" si="11"/>
        <v>1781.76</v>
      </c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93">
        <f t="shared" si="12"/>
        <v>668</v>
      </c>
      <c r="AP19" s="193">
        <f t="shared" si="13"/>
        <v>16052</v>
      </c>
      <c r="AQ19" s="193">
        <f t="shared" si="14"/>
        <v>10273.280000000001</v>
      </c>
      <c r="AR19" s="193">
        <f t="shared" si="15"/>
        <v>2054.6559999999999</v>
      </c>
      <c r="AS19" s="194">
        <f t="shared" si="7"/>
        <v>11.92753347234671</v>
      </c>
      <c r="AT19" s="162">
        <v>3</v>
      </c>
    </row>
    <row r="20" spans="1:46" ht="20.100000000000001" customHeight="1">
      <c r="A20" s="152">
        <v>16</v>
      </c>
      <c r="B20" s="151" t="s">
        <v>42</v>
      </c>
      <c r="C20" s="152">
        <v>0.64</v>
      </c>
      <c r="D20" s="152" t="s">
        <v>20</v>
      </c>
      <c r="E20" s="153">
        <v>215</v>
      </c>
      <c r="F20" s="153">
        <v>3010</v>
      </c>
      <c r="G20" s="153">
        <v>1926.4</v>
      </c>
      <c r="H20" s="153">
        <v>200</v>
      </c>
      <c r="I20" s="153">
        <v>2800</v>
      </c>
      <c r="J20" s="154">
        <v>1792</v>
      </c>
      <c r="K20" s="153">
        <v>245</v>
      </c>
      <c r="L20" s="153">
        <v>3430</v>
      </c>
      <c r="M20" s="156">
        <f t="shared" si="9"/>
        <v>2195.2000000000003</v>
      </c>
      <c r="N20" s="153">
        <v>214</v>
      </c>
      <c r="O20" s="153">
        <v>2996</v>
      </c>
      <c r="P20" s="156">
        <f t="shared" si="10"/>
        <v>1917.44</v>
      </c>
      <c r="Q20" s="153">
        <v>125</v>
      </c>
      <c r="R20" s="153">
        <v>1750</v>
      </c>
      <c r="S20" s="156">
        <f t="shared" si="11"/>
        <v>1120</v>
      </c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93">
        <f t="shared" si="12"/>
        <v>999</v>
      </c>
      <c r="AP20" s="193">
        <f t="shared" si="13"/>
        <v>13986</v>
      </c>
      <c r="AQ20" s="193">
        <f t="shared" si="14"/>
        <v>8951.0400000000009</v>
      </c>
      <c r="AR20" s="193">
        <f t="shared" si="15"/>
        <v>1790.2080000000001</v>
      </c>
      <c r="AS20" s="194">
        <f t="shared" si="7"/>
        <v>10.39237996163974</v>
      </c>
      <c r="AT20" s="162">
        <v>4</v>
      </c>
    </row>
    <row r="21" spans="1:46" ht="20.100000000000001" customHeight="1">
      <c r="A21" s="152"/>
      <c r="B21" s="151" t="s">
        <v>128</v>
      </c>
      <c r="C21" s="152"/>
      <c r="D21" s="152"/>
      <c r="E21" s="158">
        <f t="shared" ref="E21:AN21" si="17">SUM(E5:E20)</f>
        <v>1605</v>
      </c>
      <c r="F21" s="158">
        <f t="shared" si="17"/>
        <v>26879</v>
      </c>
      <c r="G21" s="158">
        <f t="shared" si="17"/>
        <v>17997.2</v>
      </c>
      <c r="H21" s="158">
        <f t="shared" si="17"/>
        <v>1191</v>
      </c>
      <c r="I21" s="158">
        <f t="shared" si="17"/>
        <v>20688</v>
      </c>
      <c r="J21" s="158">
        <f t="shared" si="17"/>
        <v>13724.64</v>
      </c>
      <c r="K21" s="158">
        <f t="shared" si="17"/>
        <v>1448</v>
      </c>
      <c r="L21" s="158">
        <f t="shared" si="17"/>
        <v>25006</v>
      </c>
      <c r="M21" s="158">
        <f t="shared" si="17"/>
        <v>16658.32</v>
      </c>
      <c r="N21" s="158">
        <f t="shared" si="17"/>
        <v>1490</v>
      </c>
      <c r="O21" s="158">
        <f t="shared" si="17"/>
        <v>25958</v>
      </c>
      <c r="P21" s="158">
        <f t="shared" si="17"/>
        <v>17155.04</v>
      </c>
      <c r="Q21" s="158">
        <f t="shared" si="17"/>
        <v>1840</v>
      </c>
      <c r="R21" s="158">
        <f t="shared" si="17"/>
        <v>31590</v>
      </c>
      <c r="S21" s="158">
        <f t="shared" si="17"/>
        <v>20595.599999999999</v>
      </c>
      <c r="T21" s="158">
        <f t="shared" si="17"/>
        <v>0</v>
      </c>
      <c r="U21" s="158">
        <f t="shared" si="17"/>
        <v>0</v>
      </c>
      <c r="V21" s="158">
        <f t="shared" si="17"/>
        <v>0</v>
      </c>
      <c r="W21" s="158">
        <f t="shared" si="17"/>
        <v>0</v>
      </c>
      <c r="X21" s="158">
        <f t="shared" si="17"/>
        <v>0</v>
      </c>
      <c r="Y21" s="158">
        <f t="shared" si="17"/>
        <v>0</v>
      </c>
      <c r="Z21" s="158">
        <f t="shared" si="17"/>
        <v>0</v>
      </c>
      <c r="AA21" s="158">
        <f t="shared" si="17"/>
        <v>0</v>
      </c>
      <c r="AB21" s="158">
        <f t="shared" si="17"/>
        <v>0</v>
      </c>
      <c r="AC21" s="158">
        <f t="shared" si="17"/>
        <v>0</v>
      </c>
      <c r="AD21" s="158">
        <f t="shared" si="17"/>
        <v>0</v>
      </c>
      <c r="AE21" s="158">
        <f t="shared" si="17"/>
        <v>0</v>
      </c>
      <c r="AF21" s="158">
        <f t="shared" si="17"/>
        <v>0</v>
      </c>
      <c r="AG21" s="158">
        <f t="shared" si="17"/>
        <v>0</v>
      </c>
      <c r="AH21" s="158">
        <f t="shared" si="17"/>
        <v>0</v>
      </c>
      <c r="AI21" s="158">
        <f t="shared" si="17"/>
        <v>0</v>
      </c>
      <c r="AJ21" s="158">
        <f t="shared" si="17"/>
        <v>0</v>
      </c>
      <c r="AK21" s="158">
        <f t="shared" si="17"/>
        <v>0</v>
      </c>
      <c r="AL21" s="158">
        <f t="shared" si="17"/>
        <v>0</v>
      </c>
      <c r="AM21" s="158">
        <f t="shared" si="17"/>
        <v>0</v>
      </c>
      <c r="AN21" s="158">
        <f t="shared" si="17"/>
        <v>0</v>
      </c>
      <c r="AO21" s="193">
        <f t="shared" ref="AO21" si="18">E21+H21+K21+N21+Q21</f>
        <v>7574</v>
      </c>
      <c r="AP21" s="193">
        <f t="shared" ref="AP21" si="19">F21+I21+L21+O21+R21</f>
        <v>130121</v>
      </c>
      <c r="AQ21" s="193">
        <f t="shared" ref="AQ21" si="20">G21+J21+M21+P21+S21</f>
        <v>86130.8</v>
      </c>
      <c r="AR21" s="193">
        <f t="shared" ref="AR21" si="21">AQ21/5</f>
        <v>17226.16</v>
      </c>
      <c r="AS21" s="194">
        <f t="shared" si="7"/>
        <v>100</v>
      </c>
    </row>
  </sheetData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306-F875-4862-89B2-6173D061991B}">
  <sheetPr>
    <tabColor rgb="FFFF0000"/>
  </sheetPr>
  <dimension ref="A1:AT23"/>
  <sheetViews>
    <sheetView workbookViewId="0">
      <pane xSplit="4" ySplit="4" topLeftCell="P9" activePane="bottomRight" state="frozen"/>
      <selection activeCell="AU7" sqref="AU7"/>
      <selection pane="topRight" activeCell="AU7" sqref="AU7"/>
      <selection pane="bottomLeft" activeCell="AU7" sqref="AU7"/>
      <selection pane="bottomRight" activeCell="AR19" sqref="AR19"/>
    </sheetView>
  </sheetViews>
  <sheetFormatPr defaultColWidth="9.109375" defaultRowHeight="13.8"/>
  <cols>
    <col min="1" max="1" width="4.6640625" style="190" customWidth="1"/>
    <col min="2" max="2" width="29.109375" style="162" customWidth="1"/>
    <col min="3" max="3" width="9.109375" style="162"/>
    <col min="4" max="4" width="13.6640625" style="162" customWidth="1"/>
    <col min="5" max="5" width="9.5546875" style="162" customWidth="1"/>
    <col min="6" max="6" width="11.5546875" style="162" customWidth="1"/>
    <col min="7" max="7" width="10.5546875" style="162" customWidth="1"/>
    <col min="8" max="19" width="9.3320312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6" ht="30" customHeight="1">
      <c r="A1" s="189"/>
      <c r="B1" s="160" t="s">
        <v>131</v>
      </c>
      <c r="C1" s="161"/>
      <c r="D1" s="159"/>
    </row>
    <row r="3" spans="1:46" ht="42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62" t="s">
        <v>115</v>
      </c>
      <c r="F3" s="962"/>
      <c r="G3" s="962"/>
      <c r="H3" s="962" t="s">
        <v>116</v>
      </c>
      <c r="I3" s="962"/>
      <c r="J3" s="962"/>
      <c r="K3" s="962" t="s">
        <v>117</v>
      </c>
      <c r="L3" s="962"/>
      <c r="M3" s="962"/>
      <c r="N3" s="962" t="s">
        <v>118</v>
      </c>
      <c r="O3" s="962"/>
      <c r="P3" s="962"/>
      <c r="Q3" s="958" t="s">
        <v>119</v>
      </c>
      <c r="R3" s="959"/>
      <c r="S3" s="960"/>
      <c r="T3" s="962" t="s">
        <v>120</v>
      </c>
      <c r="U3" s="962"/>
      <c r="V3" s="962"/>
      <c r="W3" s="962" t="s">
        <v>121</v>
      </c>
      <c r="X3" s="962"/>
      <c r="Y3" s="962"/>
      <c r="Z3" s="962" t="s">
        <v>122</v>
      </c>
      <c r="AA3" s="962"/>
      <c r="AB3" s="962"/>
      <c r="AC3" s="962" t="s">
        <v>123</v>
      </c>
      <c r="AD3" s="962"/>
      <c r="AE3" s="962"/>
      <c r="AF3" s="962" t="s">
        <v>92</v>
      </c>
      <c r="AG3" s="962"/>
      <c r="AH3" s="962"/>
      <c r="AI3" s="962" t="s">
        <v>93</v>
      </c>
      <c r="AJ3" s="962"/>
      <c r="AK3" s="962"/>
      <c r="AL3" s="962" t="s">
        <v>94</v>
      </c>
      <c r="AM3" s="962"/>
      <c r="AN3" s="962"/>
      <c r="AO3" s="963" t="s">
        <v>140</v>
      </c>
      <c r="AP3" s="963"/>
      <c r="AQ3" s="963"/>
      <c r="AR3" s="175" t="s">
        <v>95</v>
      </c>
      <c r="AS3" s="181" t="s">
        <v>67</v>
      </c>
    </row>
    <row r="4" spans="1:46" ht="30.75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5" t="s">
        <v>141</v>
      </c>
      <c r="AP4" s="175" t="s">
        <v>142</v>
      </c>
      <c r="AQ4" s="175" t="s">
        <v>97</v>
      </c>
      <c r="AR4" s="175" t="s">
        <v>97</v>
      </c>
      <c r="AS4" s="175" t="s">
        <v>97</v>
      </c>
    </row>
    <row r="5" spans="1:46" ht="20.100000000000001" customHeight="1">
      <c r="A5" s="152">
        <v>1</v>
      </c>
      <c r="B5" s="151" t="s">
        <v>13</v>
      </c>
      <c r="C5" s="152">
        <v>0.7</v>
      </c>
      <c r="D5" s="152" t="s">
        <v>15</v>
      </c>
      <c r="E5" s="153"/>
      <c r="F5" s="153"/>
      <c r="G5" s="153"/>
      <c r="H5" s="153"/>
      <c r="I5" s="153"/>
      <c r="J5" s="154">
        <f>I5*$C5</f>
        <v>0</v>
      </c>
      <c r="K5" s="153"/>
      <c r="L5" s="153"/>
      <c r="M5" s="153"/>
      <c r="N5" s="153"/>
      <c r="O5" s="153"/>
      <c r="P5" s="153"/>
      <c r="Q5" s="153">
        <v>5</v>
      </c>
      <c r="R5" s="153">
        <v>60</v>
      </c>
      <c r="S5" s="156">
        <f>R5*$C5</f>
        <v>42</v>
      </c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93">
        <f>E5+H5+K5+N5+Q5</f>
        <v>5</v>
      </c>
      <c r="AP5" s="193">
        <f t="shared" ref="AP5:AQ5" si="0">F5+I5+L5+O5+R5</f>
        <v>60</v>
      </c>
      <c r="AQ5" s="193">
        <f t="shared" si="0"/>
        <v>42</v>
      </c>
      <c r="AR5" s="193">
        <f>AQ5/5</f>
        <v>8.4</v>
      </c>
      <c r="AS5" s="194">
        <f>AR5/$AR$23%</f>
        <v>1.0629395887901785E-2</v>
      </c>
    </row>
    <row r="6" spans="1:46" ht="20.100000000000001" customHeight="1">
      <c r="A6" s="152">
        <v>2</v>
      </c>
      <c r="B6" s="151" t="s">
        <v>125</v>
      </c>
      <c r="C6" s="152">
        <v>0.64</v>
      </c>
      <c r="D6" s="152" t="s">
        <v>20</v>
      </c>
      <c r="E6" s="153"/>
      <c r="F6" s="153"/>
      <c r="G6" s="153"/>
      <c r="H6" s="153">
        <v>1</v>
      </c>
      <c r="I6" s="153">
        <v>14</v>
      </c>
      <c r="J6" s="154">
        <v>8.9600000000000009</v>
      </c>
      <c r="K6" s="153"/>
      <c r="L6" s="153"/>
      <c r="M6" s="153"/>
      <c r="N6" s="153">
        <v>10</v>
      </c>
      <c r="O6" s="153">
        <v>140</v>
      </c>
      <c r="P6" s="156">
        <f>O6*$C6</f>
        <v>89.600000000000009</v>
      </c>
      <c r="Q6" s="153"/>
      <c r="R6" s="153"/>
      <c r="S6" s="156">
        <f t="shared" ref="S6:S15" si="1">R6*$C6</f>
        <v>0</v>
      </c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93">
        <f t="shared" ref="AO6:AO15" si="2">E6+H6+K6+N6+Q6</f>
        <v>11</v>
      </c>
      <c r="AP6" s="193">
        <f t="shared" ref="AP6:AP15" si="3">F6+I6+L6+O6+R6</f>
        <v>154</v>
      </c>
      <c r="AQ6" s="193">
        <f t="shared" ref="AQ6:AQ15" si="4">G6+J6+M6+P6+S6</f>
        <v>98.56</v>
      </c>
      <c r="AR6" s="193">
        <f t="shared" ref="AR6:AR15" si="5">AQ6/5</f>
        <v>19.712</v>
      </c>
      <c r="AS6" s="194">
        <f t="shared" ref="AS6:AS23" si="6">AR6/$AR$23%</f>
        <v>2.4943649016942855E-2</v>
      </c>
    </row>
    <row r="7" spans="1:46" ht="20.100000000000001" customHeight="1">
      <c r="A7" s="152">
        <v>3</v>
      </c>
      <c r="B7" s="151" t="s">
        <v>21</v>
      </c>
      <c r="C7" s="152">
        <v>1</v>
      </c>
      <c r="D7" s="152" t="s">
        <v>15</v>
      </c>
      <c r="E7" s="153">
        <v>95</v>
      </c>
      <c r="F7" s="153">
        <v>1140</v>
      </c>
      <c r="G7" s="153">
        <v>1140</v>
      </c>
      <c r="H7" s="153">
        <v>120</v>
      </c>
      <c r="I7" s="153">
        <v>1440</v>
      </c>
      <c r="J7" s="154">
        <v>1440</v>
      </c>
      <c r="K7" s="153">
        <v>274</v>
      </c>
      <c r="L7" s="153">
        <v>3288</v>
      </c>
      <c r="M7" s="156">
        <f>L7*$C7</f>
        <v>3288</v>
      </c>
      <c r="N7" s="153">
        <v>80</v>
      </c>
      <c r="O7" s="153">
        <v>960</v>
      </c>
      <c r="P7" s="156">
        <f t="shared" ref="P7:P15" si="7">O7*$C7</f>
        <v>960</v>
      </c>
      <c r="Q7" s="153">
        <v>250</v>
      </c>
      <c r="R7" s="153">
        <v>3000</v>
      </c>
      <c r="S7" s="156">
        <f t="shared" si="1"/>
        <v>3000</v>
      </c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93">
        <f t="shared" si="2"/>
        <v>819</v>
      </c>
      <c r="AP7" s="193">
        <f t="shared" si="3"/>
        <v>9828</v>
      </c>
      <c r="AQ7" s="193">
        <f t="shared" si="4"/>
        <v>9828</v>
      </c>
      <c r="AR7" s="193">
        <f t="shared" si="5"/>
        <v>1965.6</v>
      </c>
      <c r="AS7" s="194">
        <f t="shared" si="6"/>
        <v>2.4872786377690175</v>
      </c>
    </row>
    <row r="8" spans="1:46" ht="20.100000000000001" customHeight="1">
      <c r="A8" s="152">
        <v>4</v>
      </c>
      <c r="B8" s="151" t="s">
        <v>23</v>
      </c>
      <c r="C8" s="152">
        <v>0.64</v>
      </c>
      <c r="D8" s="152" t="s">
        <v>20</v>
      </c>
      <c r="E8" s="153">
        <v>50</v>
      </c>
      <c r="F8" s="153">
        <v>700</v>
      </c>
      <c r="G8" s="153">
        <v>448</v>
      </c>
      <c r="H8" s="153">
        <v>165</v>
      </c>
      <c r="I8" s="153">
        <v>2310</v>
      </c>
      <c r="J8" s="154">
        <v>1478.4</v>
      </c>
      <c r="K8" s="153"/>
      <c r="L8" s="153"/>
      <c r="M8" s="156">
        <f t="shared" ref="M8:M15" si="8">L8*$C8</f>
        <v>0</v>
      </c>
      <c r="N8" s="153">
        <v>130</v>
      </c>
      <c r="O8" s="153">
        <v>1820</v>
      </c>
      <c r="P8" s="156">
        <f t="shared" si="7"/>
        <v>1164.8</v>
      </c>
      <c r="Q8" s="153">
        <v>110</v>
      </c>
      <c r="R8" s="153">
        <v>1540</v>
      </c>
      <c r="S8" s="156">
        <f t="shared" si="1"/>
        <v>985.6</v>
      </c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93">
        <f t="shared" si="2"/>
        <v>455</v>
      </c>
      <c r="AP8" s="193">
        <f t="shared" si="3"/>
        <v>6370</v>
      </c>
      <c r="AQ8" s="193">
        <f t="shared" si="4"/>
        <v>4076.7999999999997</v>
      </c>
      <c r="AR8" s="193">
        <f t="shared" si="5"/>
        <v>815.3599999999999</v>
      </c>
      <c r="AS8" s="194">
        <f t="shared" si="6"/>
        <v>1.0317600275189998</v>
      </c>
    </row>
    <row r="9" spans="1:46" ht="20.100000000000001" customHeight="1">
      <c r="A9" s="152">
        <v>5</v>
      </c>
      <c r="B9" s="151" t="s">
        <v>24</v>
      </c>
      <c r="C9" s="152">
        <v>1</v>
      </c>
      <c r="D9" s="152" t="s">
        <v>15</v>
      </c>
      <c r="E9" s="153"/>
      <c r="F9" s="153"/>
      <c r="G9" s="153"/>
      <c r="H9" s="153"/>
      <c r="I9" s="153"/>
      <c r="J9" s="154">
        <f t="shared" ref="J9:J15" si="9">I9*$C9</f>
        <v>0</v>
      </c>
      <c r="K9" s="153">
        <v>323</v>
      </c>
      <c r="L9" s="153">
        <v>7752</v>
      </c>
      <c r="M9" s="156">
        <f t="shared" si="8"/>
        <v>7752</v>
      </c>
      <c r="N9" s="153">
        <v>193</v>
      </c>
      <c r="O9" s="153">
        <v>3444</v>
      </c>
      <c r="P9" s="156">
        <f t="shared" si="7"/>
        <v>3444</v>
      </c>
      <c r="Q9" s="153"/>
      <c r="R9" s="153"/>
      <c r="S9" s="156">
        <f t="shared" si="1"/>
        <v>0</v>
      </c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93">
        <f t="shared" si="2"/>
        <v>516</v>
      </c>
      <c r="AP9" s="193">
        <f t="shared" si="3"/>
        <v>11196</v>
      </c>
      <c r="AQ9" s="193">
        <f t="shared" si="4"/>
        <v>11196</v>
      </c>
      <c r="AR9" s="193">
        <f t="shared" si="5"/>
        <v>2239.1999999999998</v>
      </c>
      <c r="AS9" s="194">
        <f t="shared" si="6"/>
        <v>2.8334932466892471</v>
      </c>
    </row>
    <row r="10" spans="1:46" ht="20.100000000000001" customHeight="1">
      <c r="A10" s="152">
        <v>6</v>
      </c>
      <c r="B10" s="151" t="s">
        <v>25</v>
      </c>
      <c r="C10" s="152">
        <v>0.64</v>
      </c>
      <c r="D10" s="152" t="s">
        <v>20</v>
      </c>
      <c r="E10" s="153">
        <v>37</v>
      </c>
      <c r="F10" s="153">
        <v>518</v>
      </c>
      <c r="G10" s="153">
        <v>331.52</v>
      </c>
      <c r="H10" s="153">
        <v>1193</v>
      </c>
      <c r="I10" s="153">
        <v>16702</v>
      </c>
      <c r="J10" s="154">
        <v>10689.279999999995</v>
      </c>
      <c r="K10" s="153">
        <v>577</v>
      </c>
      <c r="L10" s="153">
        <v>8078</v>
      </c>
      <c r="M10" s="156">
        <f t="shared" si="8"/>
        <v>5169.92</v>
      </c>
      <c r="N10" s="153">
        <v>780</v>
      </c>
      <c r="O10" s="153">
        <v>10920</v>
      </c>
      <c r="P10" s="156">
        <f t="shared" si="7"/>
        <v>6988.8</v>
      </c>
      <c r="Q10" s="153">
        <v>1275</v>
      </c>
      <c r="R10" s="153">
        <v>17850</v>
      </c>
      <c r="S10" s="156">
        <f t="shared" si="1"/>
        <v>11424</v>
      </c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93">
        <f t="shared" si="2"/>
        <v>3862</v>
      </c>
      <c r="AP10" s="193">
        <f t="shared" si="3"/>
        <v>54068</v>
      </c>
      <c r="AQ10" s="193">
        <f t="shared" si="4"/>
        <v>34603.519999999997</v>
      </c>
      <c r="AR10" s="193">
        <f t="shared" si="5"/>
        <v>6920.7039999999997</v>
      </c>
      <c r="AS10" s="194">
        <f t="shared" si="6"/>
        <v>8.7574884094030274</v>
      </c>
      <c r="AT10" s="162">
        <v>4</v>
      </c>
    </row>
    <row r="11" spans="1:46" ht="20.100000000000001" customHeight="1">
      <c r="A11" s="152">
        <v>7</v>
      </c>
      <c r="B11" s="151" t="s">
        <v>27</v>
      </c>
      <c r="C11" s="152">
        <v>0.7</v>
      </c>
      <c r="D11" s="152" t="s">
        <v>15</v>
      </c>
      <c r="E11" s="153">
        <v>210</v>
      </c>
      <c r="F11" s="153">
        <v>2520</v>
      </c>
      <c r="G11" s="153">
        <v>1764</v>
      </c>
      <c r="H11" s="153">
        <v>270</v>
      </c>
      <c r="I11" s="153">
        <v>3240</v>
      </c>
      <c r="J11" s="154">
        <v>2268</v>
      </c>
      <c r="K11" s="153">
        <v>250</v>
      </c>
      <c r="L11" s="153">
        <v>3000</v>
      </c>
      <c r="M11" s="156">
        <f t="shared" si="8"/>
        <v>2100</v>
      </c>
      <c r="N11" s="153">
        <v>70</v>
      </c>
      <c r="O11" s="153">
        <v>840</v>
      </c>
      <c r="P11" s="156">
        <f t="shared" si="7"/>
        <v>588</v>
      </c>
      <c r="Q11" s="153">
        <v>100</v>
      </c>
      <c r="R11" s="153">
        <v>1200</v>
      </c>
      <c r="S11" s="156">
        <f t="shared" si="1"/>
        <v>840</v>
      </c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93">
        <f t="shared" si="2"/>
        <v>900</v>
      </c>
      <c r="AP11" s="193">
        <f t="shared" si="3"/>
        <v>10800</v>
      </c>
      <c r="AQ11" s="193">
        <f t="shared" si="4"/>
        <v>7560</v>
      </c>
      <c r="AR11" s="193">
        <f t="shared" si="5"/>
        <v>1512</v>
      </c>
      <c r="AS11" s="194">
        <f t="shared" si="6"/>
        <v>1.9132912598223213</v>
      </c>
    </row>
    <row r="12" spans="1:46" ht="20.100000000000001" customHeight="1">
      <c r="A12" s="152">
        <v>8</v>
      </c>
      <c r="B12" s="151" t="s">
        <v>27</v>
      </c>
      <c r="C12" s="152">
        <v>0.64</v>
      </c>
      <c r="D12" s="152" t="s">
        <v>20</v>
      </c>
      <c r="E12" s="153">
        <v>1370</v>
      </c>
      <c r="F12" s="153">
        <v>19180</v>
      </c>
      <c r="G12" s="153">
        <v>12275.2</v>
      </c>
      <c r="H12" s="153">
        <v>1007</v>
      </c>
      <c r="I12" s="153">
        <v>14098</v>
      </c>
      <c r="J12" s="154">
        <v>9022.7200000000012</v>
      </c>
      <c r="K12" s="153">
        <v>1415</v>
      </c>
      <c r="L12" s="153">
        <v>19810</v>
      </c>
      <c r="M12" s="156">
        <f t="shared" si="8"/>
        <v>12678.4</v>
      </c>
      <c r="N12" s="153">
        <v>1360</v>
      </c>
      <c r="O12" s="153">
        <v>19040</v>
      </c>
      <c r="P12" s="156">
        <f t="shared" si="7"/>
        <v>12185.6</v>
      </c>
      <c r="Q12" s="153">
        <v>1240</v>
      </c>
      <c r="R12" s="153">
        <v>17360</v>
      </c>
      <c r="S12" s="156">
        <f t="shared" si="1"/>
        <v>11110.4</v>
      </c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93">
        <f t="shared" si="2"/>
        <v>6392</v>
      </c>
      <c r="AP12" s="193">
        <f t="shared" si="3"/>
        <v>89488</v>
      </c>
      <c r="AQ12" s="193">
        <f t="shared" si="4"/>
        <v>57272.32</v>
      </c>
      <c r="AR12" s="193">
        <f t="shared" si="5"/>
        <v>11454.464</v>
      </c>
      <c r="AS12" s="194">
        <f t="shared" si="6"/>
        <v>14.494527683299884</v>
      </c>
      <c r="AT12" s="162">
        <v>3</v>
      </c>
    </row>
    <row r="13" spans="1:46" ht="20.100000000000001" customHeight="1">
      <c r="A13" s="152">
        <v>9</v>
      </c>
      <c r="B13" s="151" t="s">
        <v>30</v>
      </c>
      <c r="C13" s="152">
        <v>0.64</v>
      </c>
      <c r="D13" s="152" t="s">
        <v>20</v>
      </c>
      <c r="E13" s="153">
        <v>4716</v>
      </c>
      <c r="F13" s="153">
        <v>66024</v>
      </c>
      <c r="G13" s="153">
        <v>42255.359999999993</v>
      </c>
      <c r="H13" s="153">
        <v>3746</v>
      </c>
      <c r="I13" s="153">
        <v>52444</v>
      </c>
      <c r="J13" s="154">
        <v>33564.159999999996</v>
      </c>
      <c r="K13" s="153">
        <v>4343</v>
      </c>
      <c r="L13" s="153">
        <v>60802</v>
      </c>
      <c r="M13" s="156">
        <f t="shared" si="8"/>
        <v>38913.279999999999</v>
      </c>
      <c r="N13" s="153">
        <v>2875</v>
      </c>
      <c r="O13" s="153">
        <v>40250</v>
      </c>
      <c r="P13" s="156">
        <f t="shared" si="7"/>
        <v>25760</v>
      </c>
      <c r="Q13" s="153">
        <v>3658</v>
      </c>
      <c r="R13" s="153">
        <v>51219</v>
      </c>
      <c r="S13" s="156">
        <f t="shared" si="1"/>
        <v>32780.160000000003</v>
      </c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93">
        <f t="shared" si="2"/>
        <v>19338</v>
      </c>
      <c r="AP13" s="193">
        <f t="shared" si="3"/>
        <v>270739</v>
      </c>
      <c r="AQ13" s="193">
        <f t="shared" si="4"/>
        <v>173272.95999999999</v>
      </c>
      <c r="AR13" s="193">
        <f t="shared" si="5"/>
        <v>34654.591999999997</v>
      </c>
      <c r="AS13" s="194">
        <f t="shared" si="6"/>
        <v>43.852068774013574</v>
      </c>
      <c r="AT13" s="162">
        <v>1</v>
      </c>
    </row>
    <row r="14" spans="1:46" ht="20.100000000000001" customHeight="1">
      <c r="A14" s="152">
        <v>10</v>
      </c>
      <c r="B14" s="151" t="s">
        <v>62</v>
      </c>
      <c r="C14" s="152">
        <v>0.64</v>
      </c>
      <c r="D14" s="152" t="s">
        <v>20</v>
      </c>
      <c r="E14" s="153">
        <v>630</v>
      </c>
      <c r="F14" s="153">
        <v>8820</v>
      </c>
      <c r="G14" s="153">
        <v>5644.8</v>
      </c>
      <c r="H14" s="153">
        <v>300</v>
      </c>
      <c r="I14" s="153">
        <v>4200</v>
      </c>
      <c r="J14" s="154">
        <v>2688</v>
      </c>
      <c r="K14" s="153">
        <v>630</v>
      </c>
      <c r="L14" s="153">
        <v>8820</v>
      </c>
      <c r="M14" s="156">
        <f t="shared" si="8"/>
        <v>5644.8</v>
      </c>
      <c r="N14" s="153">
        <v>300</v>
      </c>
      <c r="O14" s="153">
        <v>4200</v>
      </c>
      <c r="P14" s="156">
        <f t="shared" si="7"/>
        <v>2688</v>
      </c>
      <c r="Q14" s="153">
        <v>600</v>
      </c>
      <c r="R14" s="153">
        <v>8400</v>
      </c>
      <c r="S14" s="156">
        <f t="shared" si="1"/>
        <v>5376</v>
      </c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93">
        <f t="shared" si="2"/>
        <v>2460</v>
      </c>
      <c r="AP14" s="193">
        <f t="shared" si="3"/>
        <v>34440</v>
      </c>
      <c r="AQ14" s="193">
        <f t="shared" si="4"/>
        <v>22041.599999999999</v>
      </c>
      <c r="AR14" s="193">
        <f t="shared" si="5"/>
        <v>4408.32</v>
      </c>
      <c r="AS14" s="194">
        <f t="shared" si="6"/>
        <v>5.5783069619708563</v>
      </c>
      <c r="AT14" s="162">
        <v>5</v>
      </c>
    </row>
    <row r="15" spans="1:46" ht="20.100000000000001" customHeight="1">
      <c r="A15" s="152">
        <v>11</v>
      </c>
      <c r="B15" s="151" t="s">
        <v>32</v>
      </c>
      <c r="C15" s="152">
        <v>0.64</v>
      </c>
      <c r="D15" s="152" t="s">
        <v>20</v>
      </c>
      <c r="E15" s="153">
        <v>2</v>
      </c>
      <c r="F15" s="153">
        <v>28</v>
      </c>
      <c r="G15" s="153">
        <v>17.920000000000002</v>
      </c>
      <c r="H15" s="153"/>
      <c r="I15" s="153"/>
      <c r="J15" s="154">
        <f t="shared" si="9"/>
        <v>0</v>
      </c>
      <c r="K15" s="153">
        <v>20</v>
      </c>
      <c r="L15" s="153">
        <v>280</v>
      </c>
      <c r="M15" s="156">
        <f t="shared" si="8"/>
        <v>179.20000000000002</v>
      </c>
      <c r="N15" s="153"/>
      <c r="O15" s="153"/>
      <c r="P15" s="156">
        <f t="shared" si="7"/>
        <v>0</v>
      </c>
      <c r="Q15" s="153"/>
      <c r="R15" s="153"/>
      <c r="S15" s="156">
        <f t="shared" si="1"/>
        <v>0</v>
      </c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93">
        <f t="shared" si="2"/>
        <v>22</v>
      </c>
      <c r="AP15" s="193">
        <f t="shared" si="3"/>
        <v>308</v>
      </c>
      <c r="AQ15" s="193">
        <f t="shared" si="4"/>
        <v>197.12</v>
      </c>
      <c r="AR15" s="193">
        <f t="shared" si="5"/>
        <v>39.423999999999999</v>
      </c>
      <c r="AS15" s="194">
        <f t="shared" si="6"/>
        <v>4.988729803388571E-2</v>
      </c>
    </row>
    <row r="16" spans="1:46" ht="20.100000000000001" customHeight="1">
      <c r="A16" s="152">
        <v>12</v>
      </c>
      <c r="B16" s="151" t="s">
        <v>34</v>
      </c>
      <c r="C16" s="152">
        <v>0.6</v>
      </c>
      <c r="D16" s="152" t="s">
        <v>18</v>
      </c>
      <c r="E16" s="153">
        <v>135</v>
      </c>
      <c r="F16" s="163">
        <v>3270</v>
      </c>
      <c r="G16" s="153">
        <v>1962</v>
      </c>
      <c r="H16" s="153">
        <v>109</v>
      </c>
      <c r="I16" s="153">
        <v>2616</v>
      </c>
      <c r="J16" s="154">
        <v>1569.6000000000001</v>
      </c>
      <c r="K16" s="153">
        <v>157</v>
      </c>
      <c r="L16" s="153">
        <v>3768</v>
      </c>
      <c r="M16" s="156">
        <f t="shared" ref="M16:M22" si="10">L16*$C16</f>
        <v>2260.7999999999997</v>
      </c>
      <c r="N16" s="153">
        <v>10</v>
      </c>
      <c r="O16" s="153">
        <v>240</v>
      </c>
      <c r="P16" s="156">
        <f t="shared" ref="P16:P22" si="11">O16*$C16</f>
        <v>144</v>
      </c>
      <c r="Q16" s="153">
        <v>107</v>
      </c>
      <c r="R16" s="153">
        <v>2568</v>
      </c>
      <c r="S16" s="156">
        <f t="shared" ref="S16:S22" si="12">R16*$C16</f>
        <v>1540.8</v>
      </c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93">
        <f t="shared" ref="AO16:AO22" si="13">E16+H16+K16+N16+Q16</f>
        <v>518</v>
      </c>
      <c r="AP16" s="193">
        <f t="shared" ref="AP16:AP22" si="14">F16+I16+L16+O16+R16</f>
        <v>12462</v>
      </c>
      <c r="AQ16" s="193">
        <f t="shared" ref="AQ16:AQ22" si="15">G16+J16+M16+P16+S16</f>
        <v>7477.2</v>
      </c>
      <c r="AR16" s="193">
        <f t="shared" ref="AR16:AR22" si="16">AQ16/5</f>
        <v>1495.44</v>
      </c>
      <c r="AS16" s="194">
        <f t="shared" si="6"/>
        <v>1.8923361650718864</v>
      </c>
    </row>
    <row r="17" spans="1:46" ht="20.100000000000001" customHeight="1">
      <c r="A17" s="152">
        <v>13</v>
      </c>
      <c r="B17" s="151" t="s">
        <v>35</v>
      </c>
      <c r="C17" s="152">
        <v>0.64</v>
      </c>
      <c r="D17" s="152" t="s">
        <v>20</v>
      </c>
      <c r="E17" s="153">
        <v>2</v>
      </c>
      <c r="F17" s="153">
        <v>28</v>
      </c>
      <c r="G17" s="153">
        <v>17.920000000000002</v>
      </c>
      <c r="H17" s="153"/>
      <c r="I17" s="153"/>
      <c r="J17" s="154">
        <f t="shared" ref="J17" si="17">I17*$C17</f>
        <v>0</v>
      </c>
      <c r="K17" s="153"/>
      <c r="L17" s="153"/>
      <c r="M17" s="156">
        <f t="shared" si="10"/>
        <v>0</v>
      </c>
      <c r="N17" s="153"/>
      <c r="O17" s="153"/>
      <c r="P17" s="156">
        <f t="shared" si="11"/>
        <v>0</v>
      </c>
      <c r="Q17" s="153"/>
      <c r="R17" s="153"/>
      <c r="S17" s="156">
        <f t="shared" si="12"/>
        <v>0</v>
      </c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93">
        <f t="shared" si="13"/>
        <v>2</v>
      </c>
      <c r="AP17" s="193">
        <f t="shared" si="14"/>
        <v>28</v>
      </c>
      <c r="AQ17" s="193">
        <f t="shared" si="15"/>
        <v>17.920000000000002</v>
      </c>
      <c r="AR17" s="193">
        <f t="shared" si="16"/>
        <v>3.5840000000000005</v>
      </c>
      <c r="AS17" s="194">
        <f t="shared" si="6"/>
        <v>4.5352089121714284E-3</v>
      </c>
    </row>
    <row r="18" spans="1:46" ht="20.100000000000001" customHeight="1">
      <c r="A18" s="152">
        <v>14</v>
      </c>
      <c r="B18" s="151" t="s">
        <v>36</v>
      </c>
      <c r="C18" s="152">
        <v>1</v>
      </c>
      <c r="D18" s="152" t="s">
        <v>15</v>
      </c>
      <c r="E18" s="153">
        <v>113</v>
      </c>
      <c r="F18" s="153">
        <v>1366</v>
      </c>
      <c r="G18" s="153">
        <v>1366</v>
      </c>
      <c r="H18" s="153">
        <v>77</v>
      </c>
      <c r="I18" s="153">
        <v>924</v>
      </c>
      <c r="J18" s="154">
        <v>924</v>
      </c>
      <c r="K18" s="153">
        <v>43</v>
      </c>
      <c r="L18" s="153">
        <v>516</v>
      </c>
      <c r="M18" s="156">
        <f t="shared" si="10"/>
        <v>516</v>
      </c>
      <c r="N18" s="153">
        <v>49</v>
      </c>
      <c r="O18" s="153">
        <v>588</v>
      </c>
      <c r="P18" s="156">
        <f t="shared" si="11"/>
        <v>588</v>
      </c>
      <c r="Q18" s="153">
        <v>81</v>
      </c>
      <c r="R18" s="153">
        <v>972</v>
      </c>
      <c r="S18" s="156">
        <f t="shared" si="12"/>
        <v>972</v>
      </c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93">
        <f t="shared" si="13"/>
        <v>363</v>
      </c>
      <c r="AP18" s="193">
        <f t="shared" si="14"/>
        <v>4366</v>
      </c>
      <c r="AQ18" s="193">
        <f t="shared" si="15"/>
        <v>4366</v>
      </c>
      <c r="AR18" s="193">
        <f t="shared" si="16"/>
        <v>873.2</v>
      </c>
      <c r="AS18" s="194">
        <f t="shared" si="6"/>
        <v>1.104951010632838</v>
      </c>
    </row>
    <row r="19" spans="1:46" ht="20.100000000000001" customHeight="1">
      <c r="A19" s="152">
        <v>15</v>
      </c>
      <c r="B19" s="151" t="s">
        <v>37</v>
      </c>
      <c r="C19" s="152">
        <v>0.6</v>
      </c>
      <c r="D19" s="152" t="s">
        <v>18</v>
      </c>
      <c r="E19" s="153">
        <v>11</v>
      </c>
      <c r="F19" s="153">
        <v>264</v>
      </c>
      <c r="G19" s="153">
        <v>158.39999999999998</v>
      </c>
      <c r="H19" s="153">
        <v>27</v>
      </c>
      <c r="I19" s="153">
        <v>648</v>
      </c>
      <c r="J19" s="154">
        <v>388.79999999999995</v>
      </c>
      <c r="K19" s="153">
        <v>31</v>
      </c>
      <c r="L19" s="153">
        <v>744</v>
      </c>
      <c r="M19" s="156">
        <f t="shared" si="10"/>
        <v>446.4</v>
      </c>
      <c r="N19" s="153"/>
      <c r="O19" s="153"/>
      <c r="P19" s="156">
        <f t="shared" si="11"/>
        <v>0</v>
      </c>
      <c r="Q19" s="153">
        <v>6</v>
      </c>
      <c r="R19" s="153">
        <v>144</v>
      </c>
      <c r="S19" s="156">
        <f t="shared" si="12"/>
        <v>86.399999999999991</v>
      </c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93">
        <f t="shared" si="13"/>
        <v>75</v>
      </c>
      <c r="AP19" s="193">
        <f t="shared" si="14"/>
        <v>1800</v>
      </c>
      <c r="AQ19" s="193">
        <f t="shared" si="15"/>
        <v>1080</v>
      </c>
      <c r="AR19" s="193">
        <f t="shared" si="16"/>
        <v>216</v>
      </c>
      <c r="AS19" s="194">
        <f t="shared" si="6"/>
        <v>0.27332732283176014</v>
      </c>
    </row>
    <row r="20" spans="1:46" ht="20.100000000000001" customHeight="1">
      <c r="A20" s="152">
        <v>16</v>
      </c>
      <c r="B20" s="151" t="s">
        <v>40</v>
      </c>
      <c r="C20" s="152">
        <v>0.64</v>
      </c>
      <c r="D20" s="152" t="s">
        <v>18</v>
      </c>
      <c r="E20" s="153"/>
      <c r="F20" s="153"/>
      <c r="G20" s="153"/>
      <c r="H20" s="153">
        <v>5</v>
      </c>
      <c r="I20" s="153">
        <v>120</v>
      </c>
      <c r="J20" s="154">
        <v>76.8</v>
      </c>
      <c r="K20" s="153">
        <v>14</v>
      </c>
      <c r="L20" s="153">
        <v>336</v>
      </c>
      <c r="M20" s="156">
        <f t="shared" si="10"/>
        <v>215.04</v>
      </c>
      <c r="N20" s="153">
        <v>50</v>
      </c>
      <c r="O20" s="153">
        <v>1200</v>
      </c>
      <c r="P20" s="156">
        <f t="shared" si="11"/>
        <v>768</v>
      </c>
      <c r="Q20" s="153">
        <v>135</v>
      </c>
      <c r="R20" s="153">
        <v>3250</v>
      </c>
      <c r="S20" s="156">
        <f t="shared" si="12"/>
        <v>2080</v>
      </c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93">
        <f t="shared" si="13"/>
        <v>204</v>
      </c>
      <c r="AP20" s="193">
        <f t="shared" si="14"/>
        <v>4906</v>
      </c>
      <c r="AQ20" s="193">
        <f t="shared" si="15"/>
        <v>3139.84</v>
      </c>
      <c r="AR20" s="193">
        <f t="shared" si="16"/>
        <v>627.96800000000007</v>
      </c>
      <c r="AS20" s="194">
        <f t="shared" si="6"/>
        <v>0.79463339011117962</v>
      </c>
    </row>
    <row r="21" spans="1:46" ht="20.100000000000001" customHeight="1">
      <c r="A21" s="152">
        <v>17</v>
      </c>
      <c r="B21" s="151" t="s">
        <v>64</v>
      </c>
      <c r="C21" s="152">
        <v>0.64</v>
      </c>
      <c r="D21" s="152"/>
      <c r="E21" s="153"/>
      <c r="F21" s="153"/>
      <c r="G21" s="153"/>
      <c r="H21" s="153"/>
      <c r="I21" s="153"/>
      <c r="J21" s="154"/>
      <c r="K21" s="153"/>
      <c r="L21" s="153"/>
      <c r="M21" s="156"/>
      <c r="N21" s="153">
        <v>12</v>
      </c>
      <c r="O21" s="153">
        <v>168</v>
      </c>
      <c r="P21" s="156">
        <f t="shared" si="11"/>
        <v>107.52</v>
      </c>
      <c r="Q21" s="153">
        <v>163</v>
      </c>
      <c r="R21" s="153">
        <v>2282</v>
      </c>
      <c r="S21" s="156">
        <f t="shared" si="12"/>
        <v>1460.48</v>
      </c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93">
        <f t="shared" si="13"/>
        <v>175</v>
      </c>
      <c r="AP21" s="193">
        <f t="shared" si="14"/>
        <v>2450</v>
      </c>
      <c r="AQ21" s="193">
        <f t="shared" si="15"/>
        <v>1568</v>
      </c>
      <c r="AR21" s="193">
        <f t="shared" si="16"/>
        <v>313.60000000000002</v>
      </c>
      <c r="AS21" s="194">
        <f t="shared" si="6"/>
        <v>0.39683077981499998</v>
      </c>
    </row>
    <row r="22" spans="1:46" ht="20.100000000000001" customHeight="1">
      <c r="A22" s="152">
        <v>18</v>
      </c>
      <c r="B22" s="151" t="s">
        <v>41</v>
      </c>
      <c r="C22" s="152">
        <v>0.64</v>
      </c>
      <c r="D22" s="152" t="s">
        <v>18</v>
      </c>
      <c r="E22" s="153">
        <v>873</v>
      </c>
      <c r="F22" s="153">
        <v>20952</v>
      </c>
      <c r="G22" s="153">
        <v>13409.28</v>
      </c>
      <c r="H22" s="153">
        <v>575</v>
      </c>
      <c r="I22" s="153">
        <v>13800</v>
      </c>
      <c r="J22" s="154">
        <v>8832.0000000000018</v>
      </c>
      <c r="K22" s="153">
        <v>970</v>
      </c>
      <c r="L22" s="153">
        <v>23280</v>
      </c>
      <c r="M22" s="156">
        <f t="shared" si="10"/>
        <v>14899.2</v>
      </c>
      <c r="N22" s="153">
        <v>660</v>
      </c>
      <c r="O22" s="153">
        <v>15840</v>
      </c>
      <c r="P22" s="156">
        <f t="shared" si="11"/>
        <v>10137.6</v>
      </c>
      <c r="Q22" s="153">
        <v>652</v>
      </c>
      <c r="R22" s="153">
        <v>15648</v>
      </c>
      <c r="S22" s="156">
        <f t="shared" si="12"/>
        <v>10014.719999999999</v>
      </c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93">
        <f t="shared" si="13"/>
        <v>3730</v>
      </c>
      <c r="AP22" s="193">
        <f t="shared" si="14"/>
        <v>89520</v>
      </c>
      <c r="AQ22" s="193">
        <f t="shared" si="15"/>
        <v>57292.800000000003</v>
      </c>
      <c r="AR22" s="193">
        <f t="shared" si="16"/>
        <v>11458.560000000001</v>
      </c>
      <c r="AS22" s="194">
        <f t="shared" si="6"/>
        <v>14.499710779199511</v>
      </c>
      <c r="AT22" s="162">
        <v>2</v>
      </c>
    </row>
    <row r="23" spans="1:46" ht="20.100000000000001" customHeight="1">
      <c r="A23" s="152"/>
      <c r="B23" s="151" t="s">
        <v>128</v>
      </c>
      <c r="C23" s="152"/>
      <c r="D23" s="152"/>
      <c r="E23" s="158">
        <f t="shared" ref="E23:AN23" si="18">SUM(E5:E22)</f>
        <v>8244</v>
      </c>
      <c r="F23" s="158">
        <f t="shared" si="18"/>
        <v>124810</v>
      </c>
      <c r="G23" s="158">
        <f t="shared" si="18"/>
        <v>80790.39999999998</v>
      </c>
      <c r="H23" s="158">
        <f t="shared" si="18"/>
        <v>7595</v>
      </c>
      <c r="I23" s="158">
        <f t="shared" si="18"/>
        <v>112556</v>
      </c>
      <c r="J23" s="158">
        <f t="shared" si="18"/>
        <v>72950.720000000001</v>
      </c>
      <c r="K23" s="158">
        <f t="shared" si="18"/>
        <v>9047</v>
      </c>
      <c r="L23" s="158">
        <f t="shared" si="18"/>
        <v>140474</v>
      </c>
      <c r="M23" s="158">
        <f t="shared" si="18"/>
        <v>94063.039999999994</v>
      </c>
      <c r="N23" s="158">
        <f t="shared" si="18"/>
        <v>6579</v>
      </c>
      <c r="O23" s="158">
        <f t="shared" si="18"/>
        <v>99650</v>
      </c>
      <c r="P23" s="158">
        <f t="shared" si="18"/>
        <v>65613.919999999998</v>
      </c>
      <c r="Q23" s="158">
        <f t="shared" si="18"/>
        <v>8382</v>
      </c>
      <c r="R23" s="158">
        <f t="shared" si="18"/>
        <v>125493</v>
      </c>
      <c r="S23" s="158">
        <f t="shared" si="18"/>
        <v>81712.56</v>
      </c>
      <c r="T23" s="158">
        <f t="shared" si="18"/>
        <v>0</v>
      </c>
      <c r="U23" s="158">
        <f t="shared" si="18"/>
        <v>0</v>
      </c>
      <c r="V23" s="158">
        <f t="shared" si="18"/>
        <v>0</v>
      </c>
      <c r="W23" s="158">
        <f t="shared" si="18"/>
        <v>0</v>
      </c>
      <c r="X23" s="158">
        <f t="shared" si="18"/>
        <v>0</v>
      </c>
      <c r="Y23" s="158">
        <f t="shared" si="18"/>
        <v>0</v>
      </c>
      <c r="Z23" s="158">
        <f t="shared" si="18"/>
        <v>0</v>
      </c>
      <c r="AA23" s="158">
        <f t="shared" si="18"/>
        <v>0</v>
      </c>
      <c r="AB23" s="158">
        <f t="shared" si="18"/>
        <v>0</v>
      </c>
      <c r="AC23" s="158">
        <f t="shared" si="18"/>
        <v>0</v>
      </c>
      <c r="AD23" s="158">
        <f t="shared" si="18"/>
        <v>0</v>
      </c>
      <c r="AE23" s="158">
        <f t="shared" si="18"/>
        <v>0</v>
      </c>
      <c r="AF23" s="158">
        <f t="shared" si="18"/>
        <v>0</v>
      </c>
      <c r="AG23" s="158">
        <f t="shared" si="18"/>
        <v>0</v>
      </c>
      <c r="AH23" s="158">
        <f t="shared" si="18"/>
        <v>0</v>
      </c>
      <c r="AI23" s="158">
        <f t="shared" si="18"/>
        <v>0</v>
      </c>
      <c r="AJ23" s="158">
        <f t="shared" si="18"/>
        <v>0</v>
      </c>
      <c r="AK23" s="158">
        <f t="shared" si="18"/>
        <v>0</v>
      </c>
      <c r="AL23" s="158">
        <f t="shared" si="18"/>
        <v>0</v>
      </c>
      <c r="AM23" s="158">
        <f t="shared" si="18"/>
        <v>0</v>
      </c>
      <c r="AN23" s="158">
        <f t="shared" si="18"/>
        <v>0</v>
      </c>
      <c r="AO23" s="193">
        <f t="shared" ref="AO23" si="19">E23+H23+K23+N23+Q23</f>
        <v>39847</v>
      </c>
      <c r="AP23" s="193">
        <f t="shared" ref="AP23" si="20">F23+I23+L23+O23+R23</f>
        <v>602983</v>
      </c>
      <c r="AQ23" s="193">
        <f t="shared" ref="AQ23" si="21">G23+J23+M23+P23+S23</f>
        <v>395130.63999999996</v>
      </c>
      <c r="AR23" s="193">
        <f t="shared" ref="AR23" si="22">AQ23/5</f>
        <v>79026.127999999997</v>
      </c>
      <c r="AS23" s="194">
        <f t="shared" si="6"/>
        <v>100</v>
      </c>
    </row>
  </sheetData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38EA-64F8-417D-A8F0-B25B37954E2F}">
  <sheetPr>
    <tabColor rgb="FFFF0000"/>
  </sheetPr>
  <dimension ref="A1:AT30"/>
  <sheetViews>
    <sheetView workbookViewId="0">
      <pane xSplit="4" ySplit="4" topLeftCell="E14" activePane="bottomRight" state="frozen"/>
      <selection activeCell="AP10" sqref="AP10"/>
      <selection pane="topRight" activeCell="AP10" sqref="AP10"/>
      <selection pane="bottomLeft" activeCell="AP10" sqref="AP10"/>
      <selection pane="bottomRight" activeCell="C17" sqref="C17:D17"/>
    </sheetView>
  </sheetViews>
  <sheetFormatPr defaultColWidth="9.109375" defaultRowHeight="13.8"/>
  <cols>
    <col min="1" max="1" width="4.109375" style="190" customWidth="1"/>
    <col min="2" max="2" width="27.109375" style="162" customWidth="1"/>
    <col min="3" max="3" width="8.88671875" style="162" customWidth="1"/>
    <col min="4" max="4" width="10.88671875" style="162" customWidth="1"/>
    <col min="5" max="5" width="9.5546875" style="162" customWidth="1"/>
    <col min="6" max="6" width="11.5546875" style="162" customWidth="1"/>
    <col min="7" max="7" width="10.5546875" style="162" customWidth="1"/>
    <col min="8" max="12" width="9.33203125" style="162" bestFit="1" customWidth="1"/>
    <col min="13" max="13" width="10.5546875" style="162" bestFit="1" customWidth="1"/>
    <col min="14" max="15" width="9.33203125" style="162" bestFit="1" customWidth="1"/>
    <col min="16" max="16" width="10.5546875" style="162" bestFit="1" customWidth="1"/>
    <col min="17" max="18" width="9.33203125" style="162" bestFit="1" customWidth="1"/>
    <col min="19" max="19" width="10.554687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6" ht="45" customHeight="1">
      <c r="A1" s="189"/>
      <c r="B1" s="160" t="s">
        <v>132</v>
      </c>
      <c r="C1" s="161"/>
      <c r="D1" s="159"/>
    </row>
    <row r="2" spans="1:46" ht="13.5" customHeight="1"/>
    <row r="3" spans="1:46" ht="40.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58" t="s">
        <v>115</v>
      </c>
      <c r="F3" s="959"/>
      <c r="G3" s="960"/>
      <c r="H3" s="958" t="s">
        <v>116</v>
      </c>
      <c r="I3" s="959"/>
      <c r="J3" s="960"/>
      <c r="K3" s="958" t="s">
        <v>117</v>
      </c>
      <c r="L3" s="959"/>
      <c r="M3" s="960"/>
      <c r="N3" s="958" t="s">
        <v>118</v>
      </c>
      <c r="O3" s="959"/>
      <c r="P3" s="960"/>
      <c r="Q3" s="958" t="s">
        <v>119</v>
      </c>
      <c r="R3" s="959"/>
      <c r="S3" s="960"/>
      <c r="T3" s="958" t="s">
        <v>120</v>
      </c>
      <c r="U3" s="959"/>
      <c r="V3" s="960"/>
      <c r="W3" s="958" t="s">
        <v>121</v>
      </c>
      <c r="X3" s="959"/>
      <c r="Y3" s="960"/>
      <c r="Z3" s="958" t="s">
        <v>122</v>
      </c>
      <c r="AA3" s="959"/>
      <c r="AB3" s="960"/>
      <c r="AC3" s="958" t="s">
        <v>123</v>
      </c>
      <c r="AD3" s="959"/>
      <c r="AE3" s="960"/>
      <c r="AF3" s="958" t="s">
        <v>92</v>
      </c>
      <c r="AG3" s="959"/>
      <c r="AH3" s="960"/>
      <c r="AI3" s="958" t="s">
        <v>93</v>
      </c>
      <c r="AJ3" s="959"/>
      <c r="AK3" s="960"/>
      <c r="AL3" s="962" t="s">
        <v>94</v>
      </c>
      <c r="AM3" s="962"/>
      <c r="AN3" s="962"/>
      <c r="AO3" s="963" t="s">
        <v>140</v>
      </c>
      <c r="AP3" s="963"/>
      <c r="AQ3" s="963"/>
      <c r="AR3" s="180" t="s">
        <v>95</v>
      </c>
      <c r="AS3" s="181" t="s">
        <v>67</v>
      </c>
    </row>
    <row r="4" spans="1:46" ht="21.75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69</v>
      </c>
      <c r="K4" s="150" t="s">
        <v>124</v>
      </c>
      <c r="L4" s="150" t="s">
        <v>96</v>
      </c>
      <c r="M4" s="150" t="s">
        <v>69</v>
      </c>
      <c r="N4" s="150" t="s">
        <v>124</v>
      </c>
      <c r="O4" s="150" t="s">
        <v>96</v>
      </c>
      <c r="P4" s="150" t="s">
        <v>69</v>
      </c>
      <c r="Q4" s="150" t="s">
        <v>124</v>
      </c>
      <c r="R4" s="150" t="s">
        <v>96</v>
      </c>
      <c r="S4" s="150" t="s">
        <v>69</v>
      </c>
      <c r="T4" s="150" t="s">
        <v>124</v>
      </c>
      <c r="U4" s="150" t="s">
        <v>96</v>
      </c>
      <c r="V4" s="150" t="s">
        <v>69</v>
      </c>
      <c r="W4" s="150" t="s">
        <v>124</v>
      </c>
      <c r="X4" s="150" t="s">
        <v>96</v>
      </c>
      <c r="Y4" s="150" t="s">
        <v>69</v>
      </c>
      <c r="Z4" s="150" t="s">
        <v>124</v>
      </c>
      <c r="AA4" s="150" t="s">
        <v>96</v>
      </c>
      <c r="AB4" s="150" t="s">
        <v>69</v>
      </c>
      <c r="AC4" s="150" t="s">
        <v>124</v>
      </c>
      <c r="AD4" s="150" t="s">
        <v>96</v>
      </c>
      <c r="AE4" s="150" t="s">
        <v>69</v>
      </c>
      <c r="AF4" s="150" t="s">
        <v>124</v>
      </c>
      <c r="AG4" s="150" t="s">
        <v>96</v>
      </c>
      <c r="AH4" s="150" t="s">
        <v>69</v>
      </c>
      <c r="AI4" s="150" t="s">
        <v>124</v>
      </c>
      <c r="AJ4" s="150" t="s">
        <v>96</v>
      </c>
      <c r="AK4" s="150" t="s">
        <v>69</v>
      </c>
      <c r="AL4" s="150" t="s">
        <v>124</v>
      </c>
      <c r="AM4" s="150" t="s">
        <v>96</v>
      </c>
      <c r="AN4" s="150" t="s">
        <v>69</v>
      </c>
      <c r="AO4" s="176" t="s">
        <v>141</v>
      </c>
      <c r="AP4" s="176" t="s">
        <v>142</v>
      </c>
      <c r="AQ4" s="176" t="s">
        <v>97</v>
      </c>
      <c r="AR4" s="192" t="s">
        <v>97</v>
      </c>
      <c r="AS4" s="192" t="s">
        <v>97</v>
      </c>
    </row>
    <row r="5" spans="1:46" ht="20.100000000000001" customHeight="1">
      <c r="A5" s="152">
        <v>1</v>
      </c>
      <c r="B5" s="151" t="s">
        <v>13</v>
      </c>
      <c r="C5" s="152">
        <v>0.7</v>
      </c>
      <c r="D5" s="152" t="s">
        <v>15</v>
      </c>
      <c r="E5" s="164">
        <v>5</v>
      </c>
      <c r="F5" s="164">
        <v>60</v>
      </c>
      <c r="G5" s="164">
        <v>42</v>
      </c>
      <c r="H5" s="164">
        <v>5</v>
      </c>
      <c r="I5" s="164">
        <v>60</v>
      </c>
      <c r="J5" s="165">
        <f>I5*$C5</f>
        <v>42</v>
      </c>
      <c r="K5" s="164">
        <v>3</v>
      </c>
      <c r="L5" s="164">
        <v>36</v>
      </c>
      <c r="M5" s="166">
        <f>L5*$C5</f>
        <v>25.2</v>
      </c>
      <c r="N5" s="164">
        <v>5</v>
      </c>
      <c r="O5" s="164">
        <v>60</v>
      </c>
      <c r="P5" s="166">
        <f>O5*$C5</f>
        <v>42</v>
      </c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87">
        <f>E5+H5+K5+N5+Q5</f>
        <v>18</v>
      </c>
      <c r="AP5" s="187">
        <f t="shared" ref="AP5:AQ5" si="0">F5+I5+L5+O5+R5</f>
        <v>216</v>
      </c>
      <c r="AQ5" s="187">
        <f t="shared" si="0"/>
        <v>151.19999999999999</v>
      </c>
      <c r="AR5" s="187">
        <f>AQ5/5</f>
        <v>30.24</v>
      </c>
      <c r="AS5" s="188">
        <f>AR5/$AR$30%</f>
        <v>3.8318277696816054E-2</v>
      </c>
    </row>
    <row r="6" spans="1:46" ht="20.100000000000001" customHeight="1">
      <c r="A6" s="152">
        <v>2</v>
      </c>
      <c r="B6" s="151" t="s">
        <v>125</v>
      </c>
      <c r="C6" s="152">
        <v>0.64</v>
      </c>
      <c r="D6" s="152" t="s">
        <v>20</v>
      </c>
      <c r="E6" s="164">
        <v>636</v>
      </c>
      <c r="F6" s="164">
        <v>8904</v>
      </c>
      <c r="G6" s="164">
        <v>5699</v>
      </c>
      <c r="H6" s="164">
        <v>473</v>
      </c>
      <c r="I6" s="164">
        <v>6622</v>
      </c>
      <c r="J6" s="165">
        <f t="shared" ref="J6:J15" si="1">I6*$C6</f>
        <v>4238.08</v>
      </c>
      <c r="K6" s="164">
        <v>1557</v>
      </c>
      <c r="L6" s="164">
        <v>21807</v>
      </c>
      <c r="M6" s="166">
        <f t="shared" ref="M6:M18" si="2">L6*$C6</f>
        <v>13956.48</v>
      </c>
      <c r="N6" s="164">
        <v>449</v>
      </c>
      <c r="O6" s="164">
        <v>6286</v>
      </c>
      <c r="P6" s="166">
        <f t="shared" ref="P6:P18" si="3">O6*$C6</f>
        <v>4023.04</v>
      </c>
      <c r="Q6" s="164">
        <v>814</v>
      </c>
      <c r="R6" s="164">
        <v>11396</v>
      </c>
      <c r="S6" s="166">
        <f>R6*$C6</f>
        <v>7293.4400000000005</v>
      </c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87">
        <f t="shared" ref="AO6:AO18" si="4">E6+H6+K6+N6+Q6</f>
        <v>3929</v>
      </c>
      <c r="AP6" s="187">
        <f t="shared" ref="AP6:AP18" si="5">F6+I6+L6+O6+R6</f>
        <v>55015</v>
      </c>
      <c r="AQ6" s="187">
        <f t="shared" ref="AQ6:AQ18" si="6">G6+J6+M6+P6+S6</f>
        <v>35210.04</v>
      </c>
      <c r="AR6" s="187">
        <f t="shared" ref="AR6:AR18" si="7">AQ6/5</f>
        <v>7042.0079999999998</v>
      </c>
      <c r="AS6" s="188">
        <f t="shared" ref="AS6:AS30" si="8">AR6/$AR$30%</f>
        <v>8.9232016563227585</v>
      </c>
      <c r="AT6" s="162">
        <v>5</v>
      </c>
    </row>
    <row r="7" spans="1:46" ht="20.100000000000001" customHeight="1">
      <c r="A7" s="152">
        <v>3</v>
      </c>
      <c r="B7" s="151" t="s">
        <v>21</v>
      </c>
      <c r="C7" s="152">
        <v>1</v>
      </c>
      <c r="D7" s="152" t="s">
        <v>15</v>
      </c>
      <c r="E7" s="164">
        <v>345</v>
      </c>
      <c r="F7" s="164">
        <v>4140</v>
      </c>
      <c r="G7" s="164">
        <v>4140</v>
      </c>
      <c r="H7" s="164">
        <v>310</v>
      </c>
      <c r="I7" s="164">
        <v>3720</v>
      </c>
      <c r="J7" s="165">
        <v>3720</v>
      </c>
      <c r="K7" s="164">
        <v>359</v>
      </c>
      <c r="L7" s="164">
        <v>4308</v>
      </c>
      <c r="M7" s="166">
        <f t="shared" si="2"/>
        <v>4308</v>
      </c>
      <c r="N7" s="164">
        <v>275</v>
      </c>
      <c r="O7" s="164">
        <v>3300</v>
      </c>
      <c r="P7" s="166">
        <f t="shared" si="3"/>
        <v>3300</v>
      </c>
      <c r="Q7" s="164">
        <v>253</v>
      </c>
      <c r="R7" s="164">
        <v>3036</v>
      </c>
      <c r="S7" s="166">
        <f t="shared" ref="S7:S19" si="9">R7*$C7</f>
        <v>3036</v>
      </c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87">
        <f t="shared" si="4"/>
        <v>1542</v>
      </c>
      <c r="AP7" s="187">
        <f t="shared" si="5"/>
        <v>18504</v>
      </c>
      <c r="AQ7" s="187">
        <f t="shared" si="6"/>
        <v>18504</v>
      </c>
      <c r="AR7" s="187">
        <f t="shared" si="7"/>
        <v>3700.8</v>
      </c>
      <c r="AS7" s="188">
        <f t="shared" si="8"/>
        <v>4.6894273181341557</v>
      </c>
    </row>
    <row r="8" spans="1:46" ht="20.100000000000001" customHeight="1">
      <c r="A8" s="152">
        <v>4</v>
      </c>
      <c r="B8" s="151" t="s">
        <v>22</v>
      </c>
      <c r="C8" s="152">
        <v>0.6</v>
      </c>
      <c r="D8" s="152" t="s">
        <v>15</v>
      </c>
      <c r="E8" s="164">
        <v>35</v>
      </c>
      <c r="F8" s="164">
        <v>420</v>
      </c>
      <c r="G8" s="164">
        <v>252</v>
      </c>
      <c r="H8" s="164">
        <v>28</v>
      </c>
      <c r="I8" s="164">
        <v>336</v>
      </c>
      <c r="J8" s="165">
        <v>201.6</v>
      </c>
      <c r="K8" s="164">
        <v>25</v>
      </c>
      <c r="L8" s="164">
        <v>300</v>
      </c>
      <c r="M8" s="166">
        <f t="shared" si="2"/>
        <v>180</v>
      </c>
      <c r="N8" s="164">
        <v>48</v>
      </c>
      <c r="O8" s="164">
        <v>576</v>
      </c>
      <c r="P8" s="166">
        <f t="shared" si="3"/>
        <v>345.59999999999997</v>
      </c>
      <c r="Q8" s="164">
        <v>20</v>
      </c>
      <c r="R8" s="164">
        <v>240</v>
      </c>
      <c r="S8" s="166">
        <f t="shared" si="9"/>
        <v>144</v>
      </c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87">
        <f t="shared" si="4"/>
        <v>156</v>
      </c>
      <c r="AP8" s="187">
        <f t="shared" si="5"/>
        <v>1872</v>
      </c>
      <c r="AQ8" s="187">
        <f t="shared" si="6"/>
        <v>1123.2</v>
      </c>
      <c r="AR8" s="187">
        <f t="shared" si="7"/>
        <v>224.64000000000001</v>
      </c>
      <c r="AS8" s="188">
        <f t="shared" si="8"/>
        <v>0.28465006289063355</v>
      </c>
    </row>
    <row r="9" spans="1:46" ht="20.100000000000001" customHeight="1">
      <c r="A9" s="152">
        <v>5</v>
      </c>
      <c r="B9" s="151" t="s">
        <v>23</v>
      </c>
      <c r="C9" s="152">
        <v>0.64</v>
      </c>
      <c r="D9" s="152" t="s">
        <v>20</v>
      </c>
      <c r="E9" s="164">
        <v>1227</v>
      </c>
      <c r="F9" s="164">
        <v>17178</v>
      </c>
      <c r="G9" s="164">
        <v>10994</v>
      </c>
      <c r="H9" s="164">
        <v>1135</v>
      </c>
      <c r="I9" s="164">
        <v>15890</v>
      </c>
      <c r="J9" s="165">
        <v>10169.600000000002</v>
      </c>
      <c r="K9" s="164">
        <v>1240</v>
      </c>
      <c r="L9" s="164">
        <v>17360</v>
      </c>
      <c r="M9" s="166">
        <f t="shared" si="2"/>
        <v>11110.4</v>
      </c>
      <c r="N9" s="164">
        <v>669</v>
      </c>
      <c r="O9" s="164">
        <v>9366</v>
      </c>
      <c r="P9" s="166">
        <f t="shared" si="3"/>
        <v>5994.24</v>
      </c>
      <c r="Q9" s="164">
        <v>944</v>
      </c>
      <c r="R9" s="164">
        <v>13216</v>
      </c>
      <c r="S9" s="166">
        <f t="shared" si="9"/>
        <v>8458.24</v>
      </c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87">
        <f t="shared" si="4"/>
        <v>5215</v>
      </c>
      <c r="AP9" s="187">
        <f t="shared" si="5"/>
        <v>73010</v>
      </c>
      <c r="AQ9" s="187">
        <f t="shared" si="6"/>
        <v>46726.479999999996</v>
      </c>
      <c r="AR9" s="187">
        <f t="shared" si="7"/>
        <v>9345.2959999999985</v>
      </c>
      <c r="AS9" s="188">
        <f t="shared" si="8"/>
        <v>11.841787278007414</v>
      </c>
      <c r="AT9" s="162">
        <v>3</v>
      </c>
    </row>
    <row r="10" spans="1:46" ht="20.100000000000001" customHeight="1">
      <c r="A10" s="152">
        <v>6</v>
      </c>
      <c r="B10" s="151" t="s">
        <v>24</v>
      </c>
      <c r="C10" s="152">
        <v>1</v>
      </c>
      <c r="D10" s="152" t="s">
        <v>15</v>
      </c>
      <c r="E10" s="164"/>
      <c r="F10" s="164"/>
      <c r="G10" s="164"/>
      <c r="H10" s="164"/>
      <c r="I10" s="164"/>
      <c r="J10" s="165">
        <f t="shared" si="1"/>
        <v>0</v>
      </c>
      <c r="K10" s="164">
        <v>1</v>
      </c>
      <c r="L10" s="164">
        <v>24</v>
      </c>
      <c r="M10" s="166">
        <f t="shared" si="2"/>
        <v>24</v>
      </c>
      <c r="N10" s="164">
        <v>4</v>
      </c>
      <c r="O10" s="164">
        <v>48</v>
      </c>
      <c r="P10" s="166">
        <f t="shared" si="3"/>
        <v>48</v>
      </c>
      <c r="Q10" s="164">
        <v>5</v>
      </c>
      <c r="R10" s="164">
        <v>60</v>
      </c>
      <c r="S10" s="166">
        <f t="shared" si="9"/>
        <v>60</v>
      </c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87">
        <f t="shared" si="4"/>
        <v>10</v>
      </c>
      <c r="AP10" s="187">
        <f t="shared" si="5"/>
        <v>132</v>
      </c>
      <c r="AQ10" s="187">
        <f t="shared" si="6"/>
        <v>132</v>
      </c>
      <c r="AR10" s="187">
        <f t="shared" si="7"/>
        <v>26.4</v>
      </c>
      <c r="AS10" s="188">
        <f t="shared" si="8"/>
        <v>3.3452464655950524E-2</v>
      </c>
    </row>
    <row r="11" spans="1:46" ht="20.100000000000001" customHeight="1">
      <c r="A11" s="152">
        <v>7</v>
      </c>
      <c r="B11" s="151" t="s">
        <v>25</v>
      </c>
      <c r="C11" s="152">
        <v>0.64</v>
      </c>
      <c r="D11" s="152" t="s">
        <v>20</v>
      </c>
      <c r="E11" s="164">
        <v>29</v>
      </c>
      <c r="F11" s="164">
        <v>406</v>
      </c>
      <c r="G11" s="164">
        <v>260</v>
      </c>
      <c r="H11" s="164">
        <v>31</v>
      </c>
      <c r="I11" s="164">
        <v>434</v>
      </c>
      <c r="J11" s="165">
        <v>277.76000000000005</v>
      </c>
      <c r="K11" s="164">
        <v>35</v>
      </c>
      <c r="L11" s="164">
        <v>490</v>
      </c>
      <c r="M11" s="166">
        <f t="shared" si="2"/>
        <v>313.60000000000002</v>
      </c>
      <c r="N11" s="164">
        <v>18</v>
      </c>
      <c r="O11" s="164">
        <v>252</v>
      </c>
      <c r="P11" s="166">
        <f t="shared" si="3"/>
        <v>161.28</v>
      </c>
      <c r="Q11" s="164">
        <v>38</v>
      </c>
      <c r="R11" s="164">
        <v>532</v>
      </c>
      <c r="S11" s="166">
        <f t="shared" si="9"/>
        <v>340.48</v>
      </c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87">
        <f t="shared" si="4"/>
        <v>151</v>
      </c>
      <c r="AP11" s="187">
        <f t="shared" si="5"/>
        <v>2114</v>
      </c>
      <c r="AQ11" s="187">
        <f t="shared" si="6"/>
        <v>1353.12</v>
      </c>
      <c r="AR11" s="187">
        <f t="shared" si="7"/>
        <v>270.62399999999997</v>
      </c>
      <c r="AS11" s="188">
        <f t="shared" si="8"/>
        <v>0.34291817405499825</v>
      </c>
    </row>
    <row r="12" spans="1:46" ht="20.100000000000001" customHeight="1">
      <c r="A12" s="152">
        <v>8</v>
      </c>
      <c r="B12" s="151" t="s">
        <v>28</v>
      </c>
      <c r="C12" s="152">
        <v>0.68</v>
      </c>
      <c r="D12" s="152" t="s">
        <v>15</v>
      </c>
      <c r="E12" s="164"/>
      <c r="F12" s="164"/>
      <c r="G12" s="164"/>
      <c r="H12" s="164"/>
      <c r="I12" s="164"/>
      <c r="J12" s="165">
        <f t="shared" si="1"/>
        <v>0</v>
      </c>
      <c r="K12" s="164"/>
      <c r="L12" s="164"/>
      <c r="M12" s="166">
        <f t="shared" si="2"/>
        <v>0</v>
      </c>
      <c r="N12" s="164">
        <v>75</v>
      </c>
      <c r="O12" s="164">
        <v>900</v>
      </c>
      <c r="P12" s="166">
        <f t="shared" si="3"/>
        <v>612</v>
      </c>
      <c r="Q12" s="164">
        <v>20</v>
      </c>
      <c r="R12" s="164">
        <v>240</v>
      </c>
      <c r="S12" s="166">
        <f t="shared" si="9"/>
        <v>163.20000000000002</v>
      </c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87">
        <f>E12+H12+K12+N12+Q12</f>
        <v>95</v>
      </c>
      <c r="AP12" s="187">
        <f>F12+I12+L12+O12+R12</f>
        <v>1140</v>
      </c>
      <c r="AQ12" s="187">
        <f>G12+J12+M12+P12+S12</f>
        <v>775.2</v>
      </c>
      <c r="AR12" s="187">
        <f t="shared" si="7"/>
        <v>155.04000000000002</v>
      </c>
      <c r="AS12" s="188">
        <f t="shared" si="8"/>
        <v>0.19645720152494583</v>
      </c>
    </row>
    <row r="13" spans="1:46" ht="20.100000000000001" customHeight="1">
      <c r="A13" s="152">
        <v>9</v>
      </c>
      <c r="B13" s="151" t="s">
        <v>27</v>
      </c>
      <c r="C13" s="152">
        <v>0.64</v>
      </c>
      <c r="D13" s="152" t="s">
        <v>20</v>
      </c>
      <c r="E13" s="164"/>
      <c r="F13" s="164"/>
      <c r="G13" s="164"/>
      <c r="H13" s="164"/>
      <c r="I13" s="164"/>
      <c r="J13" s="165">
        <f t="shared" si="1"/>
        <v>0</v>
      </c>
      <c r="K13" s="164">
        <v>50</v>
      </c>
      <c r="L13" s="164">
        <v>700</v>
      </c>
      <c r="M13" s="166">
        <f t="shared" si="2"/>
        <v>448</v>
      </c>
      <c r="N13" s="164"/>
      <c r="O13" s="164"/>
      <c r="P13" s="166">
        <f t="shared" si="3"/>
        <v>0</v>
      </c>
      <c r="Q13" s="164"/>
      <c r="R13" s="164"/>
      <c r="S13" s="166">
        <f t="shared" si="9"/>
        <v>0</v>
      </c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87">
        <f t="shared" si="4"/>
        <v>50</v>
      </c>
      <c r="AP13" s="187">
        <f t="shared" si="5"/>
        <v>700</v>
      </c>
      <c r="AQ13" s="187">
        <f t="shared" si="6"/>
        <v>448</v>
      </c>
      <c r="AR13" s="187">
        <f t="shared" si="7"/>
        <v>89.6</v>
      </c>
      <c r="AS13" s="188">
        <f t="shared" si="8"/>
        <v>0.11353563762019571</v>
      </c>
    </row>
    <row r="14" spans="1:46" ht="20.100000000000001" customHeight="1">
      <c r="A14" s="152">
        <v>10</v>
      </c>
      <c r="B14" s="151" t="s">
        <v>29</v>
      </c>
      <c r="C14" s="152">
        <v>0.64</v>
      </c>
      <c r="D14" s="152" t="s">
        <v>20</v>
      </c>
      <c r="E14" s="164">
        <v>60</v>
      </c>
      <c r="F14" s="164">
        <v>840</v>
      </c>
      <c r="G14" s="164">
        <v>538</v>
      </c>
      <c r="H14" s="164">
        <v>75</v>
      </c>
      <c r="I14" s="164">
        <v>1050</v>
      </c>
      <c r="J14" s="165">
        <f t="shared" si="1"/>
        <v>672</v>
      </c>
      <c r="K14" s="164">
        <v>105</v>
      </c>
      <c r="L14" s="164">
        <v>1470</v>
      </c>
      <c r="M14" s="166">
        <f t="shared" si="2"/>
        <v>940.80000000000007</v>
      </c>
      <c r="N14" s="164">
        <v>36</v>
      </c>
      <c r="O14" s="164">
        <v>504</v>
      </c>
      <c r="P14" s="166">
        <f t="shared" si="3"/>
        <v>322.56</v>
      </c>
      <c r="Q14" s="164">
        <v>100</v>
      </c>
      <c r="R14" s="164">
        <v>1400</v>
      </c>
      <c r="S14" s="166">
        <f t="shared" si="9"/>
        <v>896</v>
      </c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87">
        <f t="shared" si="4"/>
        <v>376</v>
      </c>
      <c r="AP14" s="187">
        <f t="shared" si="5"/>
        <v>5264</v>
      </c>
      <c r="AQ14" s="187">
        <f t="shared" si="6"/>
        <v>3369.36</v>
      </c>
      <c r="AR14" s="187">
        <f t="shared" si="7"/>
        <v>673.87200000000007</v>
      </c>
      <c r="AS14" s="188">
        <f t="shared" si="8"/>
        <v>0.85388936600888987</v>
      </c>
    </row>
    <row r="15" spans="1:46" ht="20.100000000000001" customHeight="1">
      <c r="A15" s="152">
        <v>11</v>
      </c>
      <c r="B15" s="151" t="s">
        <v>30</v>
      </c>
      <c r="C15" s="152">
        <v>0.64</v>
      </c>
      <c r="D15" s="152" t="s">
        <v>20</v>
      </c>
      <c r="E15" s="164">
        <v>1796</v>
      </c>
      <c r="F15" s="164">
        <v>25144</v>
      </c>
      <c r="G15" s="164">
        <v>16092</v>
      </c>
      <c r="H15" s="164">
        <v>1845</v>
      </c>
      <c r="I15" s="164">
        <v>25830</v>
      </c>
      <c r="J15" s="165">
        <f t="shared" si="1"/>
        <v>16531.2</v>
      </c>
      <c r="K15" s="164">
        <v>3601</v>
      </c>
      <c r="L15" s="164">
        <v>50414</v>
      </c>
      <c r="M15" s="166">
        <f t="shared" si="2"/>
        <v>32264.959999999999</v>
      </c>
      <c r="N15" s="164">
        <v>1532</v>
      </c>
      <c r="O15" s="164">
        <v>21448</v>
      </c>
      <c r="P15" s="166">
        <f t="shared" si="3"/>
        <v>13726.720000000001</v>
      </c>
      <c r="Q15" s="164">
        <v>1492</v>
      </c>
      <c r="R15" s="164">
        <v>20888</v>
      </c>
      <c r="S15" s="166">
        <f t="shared" si="9"/>
        <v>13368.32</v>
      </c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87">
        <f t="shared" si="4"/>
        <v>10266</v>
      </c>
      <c r="AP15" s="187">
        <f t="shared" si="5"/>
        <v>143724</v>
      </c>
      <c r="AQ15" s="187">
        <f t="shared" si="6"/>
        <v>91983.200000000012</v>
      </c>
      <c r="AR15" s="187">
        <f t="shared" si="7"/>
        <v>18396.640000000003</v>
      </c>
      <c r="AS15" s="188">
        <f t="shared" si="8"/>
        <v>23.31109656773658</v>
      </c>
      <c r="AT15" s="162">
        <v>1</v>
      </c>
    </row>
    <row r="16" spans="1:46" ht="20.100000000000001" customHeight="1">
      <c r="A16" s="152">
        <v>12</v>
      </c>
      <c r="B16" s="151" t="s">
        <v>62</v>
      </c>
      <c r="C16" s="152">
        <v>0.64</v>
      </c>
      <c r="D16" s="152" t="s">
        <v>20</v>
      </c>
      <c r="E16" s="164">
        <v>1298</v>
      </c>
      <c r="F16" s="164">
        <v>18172</v>
      </c>
      <c r="G16" s="164">
        <v>11630</v>
      </c>
      <c r="H16" s="164">
        <v>1116</v>
      </c>
      <c r="I16" s="164">
        <v>15624</v>
      </c>
      <c r="J16" s="165">
        <v>9999.3599999999988</v>
      </c>
      <c r="K16" s="164">
        <v>1614</v>
      </c>
      <c r="L16" s="164">
        <v>22605</v>
      </c>
      <c r="M16" s="166">
        <f t="shared" si="2"/>
        <v>14467.2</v>
      </c>
      <c r="N16" s="164">
        <v>780</v>
      </c>
      <c r="O16" s="164">
        <v>10920</v>
      </c>
      <c r="P16" s="166">
        <f t="shared" si="3"/>
        <v>6988.8</v>
      </c>
      <c r="Q16" s="164">
        <v>1124</v>
      </c>
      <c r="R16" s="164">
        <v>15747</v>
      </c>
      <c r="S16" s="166">
        <f t="shared" si="9"/>
        <v>10078.08</v>
      </c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87">
        <f t="shared" si="4"/>
        <v>5932</v>
      </c>
      <c r="AP16" s="187">
        <f t="shared" si="5"/>
        <v>83068</v>
      </c>
      <c r="AQ16" s="187">
        <f t="shared" si="6"/>
        <v>53163.44</v>
      </c>
      <c r="AR16" s="187">
        <f t="shared" si="7"/>
        <v>10632.688</v>
      </c>
      <c r="AS16" s="188">
        <f t="shared" si="8"/>
        <v>13.473091648399594</v>
      </c>
      <c r="AT16" s="162">
        <v>2</v>
      </c>
    </row>
    <row r="17" spans="1:46" ht="20.100000000000001" customHeight="1">
      <c r="A17" s="152">
        <v>13</v>
      </c>
      <c r="B17" s="151" t="s">
        <v>31</v>
      </c>
      <c r="C17" s="152">
        <v>0.64</v>
      </c>
      <c r="D17" s="152" t="s">
        <v>20</v>
      </c>
      <c r="E17" s="164">
        <v>180</v>
      </c>
      <c r="F17" s="164">
        <v>2520</v>
      </c>
      <c r="G17" s="164">
        <v>1613</v>
      </c>
      <c r="H17" s="164">
        <v>170</v>
      </c>
      <c r="I17" s="164">
        <v>2380</v>
      </c>
      <c r="J17" s="165">
        <v>1523.2</v>
      </c>
      <c r="K17" s="164">
        <v>278</v>
      </c>
      <c r="L17" s="164">
        <v>3892</v>
      </c>
      <c r="M17" s="166">
        <f t="shared" si="2"/>
        <v>2490.88</v>
      </c>
      <c r="N17" s="164">
        <v>151</v>
      </c>
      <c r="O17" s="164">
        <v>2114</v>
      </c>
      <c r="P17" s="166">
        <f t="shared" si="3"/>
        <v>1352.96</v>
      </c>
      <c r="Q17" s="164">
        <v>235</v>
      </c>
      <c r="R17" s="164">
        <v>3290</v>
      </c>
      <c r="S17" s="166">
        <f t="shared" si="9"/>
        <v>2105.6</v>
      </c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87">
        <f t="shared" si="4"/>
        <v>1014</v>
      </c>
      <c r="AP17" s="187">
        <f t="shared" si="5"/>
        <v>14196</v>
      </c>
      <c r="AQ17" s="187">
        <f t="shared" si="6"/>
        <v>9085.64</v>
      </c>
      <c r="AR17" s="187">
        <f t="shared" si="7"/>
        <v>1817.1279999999999</v>
      </c>
      <c r="AS17" s="188">
        <f t="shared" si="8"/>
        <v>2.3025534164900781</v>
      </c>
    </row>
    <row r="18" spans="1:46" ht="20.100000000000001" customHeight="1">
      <c r="A18" s="152">
        <v>14</v>
      </c>
      <c r="B18" s="151" t="s">
        <v>32</v>
      </c>
      <c r="C18" s="152">
        <v>0.64</v>
      </c>
      <c r="D18" s="152" t="s">
        <v>20</v>
      </c>
      <c r="E18" s="164">
        <v>7</v>
      </c>
      <c r="F18" s="164">
        <v>98</v>
      </c>
      <c r="G18" s="164">
        <v>63</v>
      </c>
      <c r="H18" s="164">
        <v>12</v>
      </c>
      <c r="I18" s="164">
        <v>168</v>
      </c>
      <c r="J18" s="165">
        <v>107.52</v>
      </c>
      <c r="K18" s="164">
        <v>9</v>
      </c>
      <c r="L18" s="164">
        <v>126</v>
      </c>
      <c r="M18" s="166">
        <f t="shared" si="2"/>
        <v>80.64</v>
      </c>
      <c r="N18" s="164">
        <v>8</v>
      </c>
      <c r="O18" s="164">
        <v>112</v>
      </c>
      <c r="P18" s="166">
        <f t="shared" si="3"/>
        <v>71.680000000000007</v>
      </c>
      <c r="Q18" s="164">
        <v>21</v>
      </c>
      <c r="R18" s="164">
        <v>294</v>
      </c>
      <c r="S18" s="166">
        <f t="shared" si="9"/>
        <v>188.16</v>
      </c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87">
        <f t="shared" si="4"/>
        <v>57</v>
      </c>
      <c r="AP18" s="187">
        <f t="shared" si="5"/>
        <v>798</v>
      </c>
      <c r="AQ18" s="187">
        <f t="shared" si="6"/>
        <v>511</v>
      </c>
      <c r="AR18" s="187">
        <f t="shared" si="7"/>
        <v>102.2</v>
      </c>
      <c r="AS18" s="188">
        <f t="shared" si="8"/>
        <v>0.12950158666053574</v>
      </c>
    </row>
    <row r="19" spans="1:46" ht="20.100000000000001" customHeight="1">
      <c r="A19" s="152">
        <v>15</v>
      </c>
      <c r="B19" s="151" t="s">
        <v>33</v>
      </c>
      <c r="C19" s="152">
        <v>0.64</v>
      </c>
      <c r="D19" s="152" t="s">
        <v>18</v>
      </c>
      <c r="E19" s="164">
        <v>319</v>
      </c>
      <c r="F19" s="164">
        <v>7656</v>
      </c>
      <c r="G19" s="164">
        <v>4900</v>
      </c>
      <c r="H19" s="164">
        <v>295</v>
      </c>
      <c r="I19" s="164">
        <v>7080</v>
      </c>
      <c r="J19" s="165">
        <v>4531.2000000000007</v>
      </c>
      <c r="K19" s="164">
        <v>332</v>
      </c>
      <c r="L19" s="164">
        <v>7968</v>
      </c>
      <c r="M19" s="166">
        <f t="shared" ref="M19:M22" si="10">L19*$C19</f>
        <v>5099.5200000000004</v>
      </c>
      <c r="N19" s="164">
        <v>292</v>
      </c>
      <c r="O19" s="164">
        <v>7008</v>
      </c>
      <c r="P19" s="166">
        <f t="shared" ref="P19:P29" si="11">O19*$C19</f>
        <v>4485.12</v>
      </c>
      <c r="Q19" s="164">
        <v>268</v>
      </c>
      <c r="R19" s="164">
        <v>6432</v>
      </c>
      <c r="S19" s="166">
        <f t="shared" si="9"/>
        <v>4116.4800000000005</v>
      </c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87">
        <f t="shared" ref="AO19:AO29" si="12">E19+H19+K19+N19+Q19</f>
        <v>1506</v>
      </c>
      <c r="AP19" s="187">
        <f t="shared" ref="AP19:AP29" si="13">F19+I19+L19+O19+R19</f>
        <v>36144</v>
      </c>
      <c r="AQ19" s="187">
        <f t="shared" ref="AQ19:AQ29" si="14">G19+J19+M19+P19+S19</f>
        <v>23132.32</v>
      </c>
      <c r="AR19" s="187">
        <f t="shared" ref="AR19:AR29" si="15">AQ19/5</f>
        <v>4626.4639999999999</v>
      </c>
      <c r="AS19" s="188">
        <f t="shared" si="8"/>
        <v>5.8623721000767981</v>
      </c>
    </row>
    <row r="20" spans="1:46" ht="20.100000000000001" customHeight="1">
      <c r="A20" s="152">
        <v>16</v>
      </c>
      <c r="B20" s="151" t="s">
        <v>34</v>
      </c>
      <c r="C20" s="152">
        <v>0.6</v>
      </c>
      <c r="D20" s="152" t="s">
        <v>18</v>
      </c>
      <c r="E20" s="164">
        <v>579</v>
      </c>
      <c r="F20" s="164">
        <v>13896</v>
      </c>
      <c r="G20" s="164">
        <v>8338</v>
      </c>
      <c r="H20" s="164">
        <v>252</v>
      </c>
      <c r="I20" s="164">
        <v>6048</v>
      </c>
      <c r="J20" s="165">
        <v>3628.8000000000006</v>
      </c>
      <c r="K20" s="164">
        <v>493</v>
      </c>
      <c r="L20" s="164">
        <v>11832</v>
      </c>
      <c r="M20" s="166">
        <f t="shared" si="10"/>
        <v>7099.2</v>
      </c>
      <c r="N20" s="164">
        <v>428</v>
      </c>
      <c r="O20" s="164">
        <v>10272</v>
      </c>
      <c r="P20" s="166">
        <f t="shared" si="11"/>
        <v>6163.2</v>
      </c>
      <c r="Q20" s="164">
        <v>481</v>
      </c>
      <c r="R20" s="164">
        <v>11544</v>
      </c>
      <c r="S20" s="166">
        <f t="shared" ref="S20:S29" si="16">R20*$C20</f>
        <v>6926.4</v>
      </c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87">
        <f t="shared" si="12"/>
        <v>2233</v>
      </c>
      <c r="AP20" s="187">
        <f t="shared" si="13"/>
        <v>53592</v>
      </c>
      <c r="AQ20" s="187">
        <f t="shared" si="14"/>
        <v>32155.599999999999</v>
      </c>
      <c r="AR20" s="187">
        <f t="shared" si="15"/>
        <v>6431.12</v>
      </c>
      <c r="AS20" s="188">
        <f t="shared" si="8"/>
        <v>8.1491217612945661</v>
      </c>
    </row>
    <row r="21" spans="1:46" ht="20.100000000000001" customHeight="1">
      <c r="A21" s="152">
        <v>17</v>
      </c>
      <c r="B21" s="151" t="s">
        <v>36</v>
      </c>
      <c r="C21" s="152">
        <v>1</v>
      </c>
      <c r="D21" s="152" t="s">
        <v>15</v>
      </c>
      <c r="E21" s="164">
        <v>205</v>
      </c>
      <c r="F21" s="164">
        <v>2457</v>
      </c>
      <c r="G21" s="164">
        <v>2457</v>
      </c>
      <c r="H21" s="164">
        <v>148</v>
      </c>
      <c r="I21" s="164">
        <v>1782</v>
      </c>
      <c r="J21" s="165">
        <v>1782</v>
      </c>
      <c r="K21" s="164">
        <v>115</v>
      </c>
      <c r="L21" s="164">
        <v>1389</v>
      </c>
      <c r="M21" s="166">
        <f t="shared" si="10"/>
        <v>1389</v>
      </c>
      <c r="N21" s="164">
        <v>176</v>
      </c>
      <c r="O21" s="164">
        <v>2112</v>
      </c>
      <c r="P21" s="166">
        <f t="shared" si="11"/>
        <v>2112</v>
      </c>
      <c r="Q21" s="164">
        <v>160</v>
      </c>
      <c r="R21" s="164">
        <v>1931</v>
      </c>
      <c r="S21" s="166">
        <f t="shared" si="16"/>
        <v>1931</v>
      </c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87">
        <f t="shared" si="12"/>
        <v>804</v>
      </c>
      <c r="AP21" s="187">
        <f t="shared" si="13"/>
        <v>9671</v>
      </c>
      <c r="AQ21" s="187">
        <f t="shared" si="14"/>
        <v>9671</v>
      </c>
      <c r="AR21" s="187">
        <f t="shared" si="15"/>
        <v>1934.2</v>
      </c>
      <c r="AS21" s="188">
        <f t="shared" si="8"/>
        <v>2.4508998915734659</v>
      </c>
    </row>
    <row r="22" spans="1:46" ht="20.100000000000001" customHeight="1">
      <c r="A22" s="152">
        <v>18</v>
      </c>
      <c r="B22" s="151" t="s">
        <v>37</v>
      </c>
      <c r="C22" s="152">
        <v>0.6</v>
      </c>
      <c r="D22" s="152" t="s">
        <v>18</v>
      </c>
      <c r="E22" s="164">
        <v>30</v>
      </c>
      <c r="F22" s="164">
        <v>720</v>
      </c>
      <c r="G22" s="164">
        <v>432</v>
      </c>
      <c r="H22" s="164">
        <v>3</v>
      </c>
      <c r="I22" s="164">
        <v>72</v>
      </c>
      <c r="J22" s="165">
        <v>43.199999999999996</v>
      </c>
      <c r="K22" s="164">
        <v>30</v>
      </c>
      <c r="L22" s="164">
        <v>720</v>
      </c>
      <c r="M22" s="166">
        <f t="shared" si="10"/>
        <v>432</v>
      </c>
      <c r="N22" s="164">
        <v>23</v>
      </c>
      <c r="O22" s="164">
        <v>552</v>
      </c>
      <c r="P22" s="166">
        <f t="shared" si="11"/>
        <v>331.2</v>
      </c>
      <c r="Q22" s="164"/>
      <c r="R22" s="164"/>
      <c r="S22" s="166">
        <f t="shared" si="16"/>
        <v>0</v>
      </c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87">
        <f t="shared" si="12"/>
        <v>86</v>
      </c>
      <c r="AP22" s="187">
        <f t="shared" si="13"/>
        <v>2064</v>
      </c>
      <c r="AQ22" s="187">
        <f t="shared" si="14"/>
        <v>1238.4000000000001</v>
      </c>
      <c r="AR22" s="187">
        <f t="shared" si="15"/>
        <v>247.68</v>
      </c>
      <c r="AS22" s="188">
        <f t="shared" si="8"/>
        <v>0.31384494113582673</v>
      </c>
    </row>
    <row r="23" spans="1:46" ht="20.100000000000001" customHeight="1">
      <c r="A23" s="152">
        <v>19</v>
      </c>
      <c r="B23" s="151" t="s">
        <v>40</v>
      </c>
      <c r="C23" s="152">
        <v>0.64</v>
      </c>
      <c r="D23" s="152" t="s">
        <v>127</v>
      </c>
      <c r="E23" s="164">
        <v>42</v>
      </c>
      <c r="F23" s="164">
        <v>1008</v>
      </c>
      <c r="G23" s="164">
        <v>645</v>
      </c>
      <c r="H23" s="164">
        <v>22</v>
      </c>
      <c r="I23" s="164">
        <v>528</v>
      </c>
      <c r="J23" s="165">
        <v>337.91999999999996</v>
      </c>
      <c r="K23" s="164">
        <v>42</v>
      </c>
      <c r="L23" s="164">
        <v>1008</v>
      </c>
      <c r="M23" s="166">
        <f t="shared" ref="M23:M29" si="17">L23*$C23</f>
        <v>645.12</v>
      </c>
      <c r="N23" s="164">
        <v>60</v>
      </c>
      <c r="O23" s="164">
        <v>1440</v>
      </c>
      <c r="P23" s="166">
        <f t="shared" si="11"/>
        <v>921.6</v>
      </c>
      <c r="Q23" s="164">
        <v>66</v>
      </c>
      <c r="R23" s="164">
        <v>1584</v>
      </c>
      <c r="S23" s="166">
        <f t="shared" si="16"/>
        <v>1013.76</v>
      </c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87">
        <f t="shared" si="12"/>
        <v>232</v>
      </c>
      <c r="AP23" s="187">
        <f t="shared" si="13"/>
        <v>5568</v>
      </c>
      <c r="AQ23" s="187">
        <f t="shared" si="14"/>
        <v>3563.3999999999996</v>
      </c>
      <c r="AR23" s="187">
        <f t="shared" si="15"/>
        <v>712.68</v>
      </c>
      <c r="AS23" s="188">
        <f t="shared" si="8"/>
        <v>0.90306448905313697</v>
      </c>
    </row>
    <row r="24" spans="1:46" ht="20.100000000000001" customHeight="1">
      <c r="A24" s="152">
        <v>20</v>
      </c>
      <c r="B24" s="151" t="s">
        <v>64</v>
      </c>
      <c r="C24" s="152">
        <v>0.64</v>
      </c>
      <c r="D24" s="152"/>
      <c r="E24" s="164"/>
      <c r="F24" s="164"/>
      <c r="G24" s="164"/>
      <c r="H24" s="164"/>
      <c r="I24" s="164"/>
      <c r="J24" s="165"/>
      <c r="K24" s="164"/>
      <c r="L24" s="164"/>
      <c r="M24" s="166"/>
      <c r="N24" s="164">
        <v>24</v>
      </c>
      <c r="O24" s="164">
        <v>336</v>
      </c>
      <c r="P24" s="166">
        <f t="shared" si="11"/>
        <v>215.04</v>
      </c>
      <c r="Q24" s="164">
        <v>60</v>
      </c>
      <c r="R24" s="164">
        <v>852</v>
      </c>
      <c r="S24" s="166">
        <f t="shared" si="16"/>
        <v>545.28</v>
      </c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87">
        <f t="shared" si="12"/>
        <v>84</v>
      </c>
      <c r="AP24" s="187">
        <f t="shared" si="13"/>
        <v>1188</v>
      </c>
      <c r="AQ24" s="187">
        <f t="shared" si="14"/>
        <v>760.31999999999994</v>
      </c>
      <c r="AR24" s="187">
        <f t="shared" si="15"/>
        <v>152.06399999999999</v>
      </c>
      <c r="AS24" s="188">
        <f t="shared" si="8"/>
        <v>0.192686196418275</v>
      </c>
    </row>
    <row r="25" spans="1:46" ht="20.100000000000001" customHeight="1">
      <c r="A25" s="152">
        <v>21</v>
      </c>
      <c r="B25" s="151" t="s">
        <v>38</v>
      </c>
      <c r="C25" s="152">
        <v>0.7</v>
      </c>
      <c r="D25" s="152" t="s">
        <v>15</v>
      </c>
      <c r="E25" s="164">
        <v>1</v>
      </c>
      <c r="F25" s="164">
        <v>12</v>
      </c>
      <c r="G25" s="164">
        <v>8</v>
      </c>
      <c r="H25" s="164"/>
      <c r="I25" s="164"/>
      <c r="J25" s="165">
        <f t="shared" ref="J25:J27" si="18">I25*$C25</f>
        <v>0</v>
      </c>
      <c r="K25" s="164">
        <v>1</v>
      </c>
      <c r="L25" s="164">
        <v>12</v>
      </c>
      <c r="M25" s="166">
        <f t="shared" si="17"/>
        <v>8.3999999999999986</v>
      </c>
      <c r="N25" s="164"/>
      <c r="O25" s="164">
        <v>3</v>
      </c>
      <c r="P25" s="166">
        <f t="shared" si="11"/>
        <v>2.0999999999999996</v>
      </c>
      <c r="Q25" s="164"/>
      <c r="R25" s="164"/>
      <c r="S25" s="166">
        <f t="shared" si="16"/>
        <v>0</v>
      </c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87">
        <f t="shared" si="12"/>
        <v>2</v>
      </c>
      <c r="AP25" s="187">
        <f t="shared" si="13"/>
        <v>27</v>
      </c>
      <c r="AQ25" s="187">
        <f t="shared" si="14"/>
        <v>18.5</v>
      </c>
      <c r="AR25" s="187">
        <f t="shared" si="15"/>
        <v>3.7</v>
      </c>
      <c r="AS25" s="188">
        <f t="shared" si="8"/>
        <v>4.6884136070839749E-3</v>
      </c>
    </row>
    <row r="26" spans="1:46" ht="20.100000000000001" customHeight="1">
      <c r="A26" s="152">
        <v>22</v>
      </c>
      <c r="B26" s="151" t="s">
        <v>39</v>
      </c>
      <c r="C26" s="152">
        <v>0.35</v>
      </c>
      <c r="D26" s="152" t="s">
        <v>18</v>
      </c>
      <c r="E26" s="164">
        <v>1</v>
      </c>
      <c r="F26" s="164">
        <v>24</v>
      </c>
      <c r="G26" s="164">
        <v>8</v>
      </c>
      <c r="H26" s="164"/>
      <c r="I26" s="164"/>
      <c r="J26" s="165">
        <f t="shared" si="18"/>
        <v>0</v>
      </c>
      <c r="K26" s="164">
        <v>1</v>
      </c>
      <c r="L26" s="164">
        <v>24</v>
      </c>
      <c r="M26" s="166">
        <f t="shared" si="17"/>
        <v>8.3999999999999986</v>
      </c>
      <c r="N26" s="164">
        <v>2</v>
      </c>
      <c r="O26" s="164">
        <v>60</v>
      </c>
      <c r="P26" s="166">
        <f t="shared" si="11"/>
        <v>21</v>
      </c>
      <c r="Q26" s="164"/>
      <c r="R26" s="164">
        <v>6</v>
      </c>
      <c r="S26" s="166">
        <f t="shared" si="16"/>
        <v>2.0999999999999996</v>
      </c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87">
        <f t="shared" si="12"/>
        <v>4</v>
      </c>
      <c r="AP26" s="187">
        <f t="shared" si="13"/>
        <v>114</v>
      </c>
      <c r="AQ26" s="187">
        <f t="shared" si="14"/>
        <v>39.5</v>
      </c>
      <c r="AR26" s="187">
        <f t="shared" si="15"/>
        <v>7.9</v>
      </c>
      <c r="AS26" s="188">
        <f t="shared" si="8"/>
        <v>1.0010396620530649E-2</v>
      </c>
    </row>
    <row r="27" spans="1:46" ht="20.100000000000001" customHeight="1">
      <c r="A27" s="152">
        <v>23</v>
      </c>
      <c r="B27" s="151" t="s">
        <v>41</v>
      </c>
      <c r="C27" s="152">
        <v>0.64</v>
      </c>
      <c r="D27" s="152" t="s">
        <v>18</v>
      </c>
      <c r="E27" s="164">
        <v>552</v>
      </c>
      <c r="F27" s="164">
        <v>13248</v>
      </c>
      <c r="G27" s="164">
        <v>8479</v>
      </c>
      <c r="H27" s="164">
        <v>495</v>
      </c>
      <c r="I27" s="164">
        <v>11880</v>
      </c>
      <c r="J27" s="165">
        <f t="shared" si="18"/>
        <v>7603.2</v>
      </c>
      <c r="K27" s="164">
        <v>837</v>
      </c>
      <c r="L27" s="164">
        <v>20088</v>
      </c>
      <c r="M27" s="166">
        <f t="shared" si="17"/>
        <v>12856.32</v>
      </c>
      <c r="N27" s="164">
        <v>475</v>
      </c>
      <c r="O27" s="164">
        <v>11400</v>
      </c>
      <c r="P27" s="166">
        <f t="shared" si="11"/>
        <v>7296</v>
      </c>
      <c r="Q27" s="164">
        <v>510</v>
      </c>
      <c r="R27" s="164">
        <v>12240</v>
      </c>
      <c r="S27" s="166">
        <f t="shared" si="16"/>
        <v>7833.6</v>
      </c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87">
        <f t="shared" si="12"/>
        <v>2869</v>
      </c>
      <c r="AP27" s="187">
        <f t="shared" si="13"/>
        <v>68856</v>
      </c>
      <c r="AQ27" s="187">
        <f t="shared" si="14"/>
        <v>44068.12</v>
      </c>
      <c r="AR27" s="187">
        <f t="shared" si="15"/>
        <v>8813.6239999999998</v>
      </c>
      <c r="AS27" s="188">
        <f t="shared" si="8"/>
        <v>11.168085051168079</v>
      </c>
      <c r="AT27" s="162">
        <v>4</v>
      </c>
    </row>
    <row r="28" spans="1:46" ht="20.100000000000001" customHeight="1">
      <c r="A28" s="152">
        <v>24</v>
      </c>
      <c r="B28" s="151" t="s">
        <v>42</v>
      </c>
      <c r="C28" s="152">
        <v>0.64</v>
      </c>
      <c r="D28" s="152" t="s">
        <v>20</v>
      </c>
      <c r="E28" s="164">
        <v>296</v>
      </c>
      <c r="F28" s="164">
        <v>4144</v>
      </c>
      <c r="G28" s="164">
        <v>2652</v>
      </c>
      <c r="H28" s="164">
        <v>205</v>
      </c>
      <c r="I28" s="164">
        <v>2870</v>
      </c>
      <c r="J28" s="165">
        <v>1836.8</v>
      </c>
      <c r="K28" s="164">
        <v>405</v>
      </c>
      <c r="L28" s="164">
        <v>5670</v>
      </c>
      <c r="M28" s="166">
        <f t="shared" si="17"/>
        <v>3628.8</v>
      </c>
      <c r="N28" s="164">
        <v>605</v>
      </c>
      <c r="O28" s="164">
        <v>8470</v>
      </c>
      <c r="P28" s="166">
        <f t="shared" si="11"/>
        <v>5420.8</v>
      </c>
      <c r="Q28" s="164">
        <v>245</v>
      </c>
      <c r="R28" s="164">
        <v>3430</v>
      </c>
      <c r="S28" s="166">
        <f t="shared" si="16"/>
        <v>2195.2000000000003</v>
      </c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87">
        <f t="shared" si="12"/>
        <v>1756</v>
      </c>
      <c r="AP28" s="187">
        <f t="shared" si="13"/>
        <v>24584</v>
      </c>
      <c r="AQ28" s="187">
        <f t="shared" si="14"/>
        <v>15733.600000000002</v>
      </c>
      <c r="AR28" s="187">
        <f t="shared" si="15"/>
        <v>3146.7200000000003</v>
      </c>
      <c r="AS28" s="188">
        <f t="shared" si="8"/>
        <v>3.9873310447792667</v>
      </c>
    </row>
    <row r="29" spans="1:46" ht="20.100000000000001" customHeight="1">
      <c r="A29" s="152">
        <v>25</v>
      </c>
      <c r="B29" s="151" t="s">
        <v>44</v>
      </c>
      <c r="C29" s="152">
        <v>0.64</v>
      </c>
      <c r="D29" s="152" t="s">
        <v>20</v>
      </c>
      <c r="E29" s="164">
        <v>15</v>
      </c>
      <c r="F29" s="164">
        <v>210</v>
      </c>
      <c r="G29" s="164">
        <v>132</v>
      </c>
      <c r="H29" s="164">
        <v>43</v>
      </c>
      <c r="I29" s="164">
        <v>602</v>
      </c>
      <c r="J29" s="165">
        <v>385.28000000000003</v>
      </c>
      <c r="K29" s="164">
        <v>33</v>
      </c>
      <c r="L29" s="164">
        <v>462</v>
      </c>
      <c r="M29" s="166">
        <f t="shared" si="17"/>
        <v>295.68</v>
      </c>
      <c r="N29" s="164">
        <v>45</v>
      </c>
      <c r="O29" s="164">
        <v>630</v>
      </c>
      <c r="P29" s="166">
        <f t="shared" si="11"/>
        <v>403.2</v>
      </c>
      <c r="Q29" s="164">
        <v>51</v>
      </c>
      <c r="R29" s="164">
        <v>714</v>
      </c>
      <c r="S29" s="166">
        <f t="shared" si="16"/>
        <v>456.96000000000004</v>
      </c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87">
        <f t="shared" si="12"/>
        <v>187</v>
      </c>
      <c r="AP29" s="187">
        <f t="shared" si="13"/>
        <v>2618</v>
      </c>
      <c r="AQ29" s="187">
        <f t="shared" si="14"/>
        <v>1673.1200000000001</v>
      </c>
      <c r="AR29" s="187">
        <f t="shared" si="15"/>
        <v>334.62400000000002</v>
      </c>
      <c r="AS29" s="188">
        <f t="shared" si="8"/>
        <v>0.4240150580694238</v>
      </c>
    </row>
    <row r="30" spans="1:46" ht="20.100000000000001" customHeight="1">
      <c r="A30" s="152"/>
      <c r="B30" s="151" t="s">
        <v>128</v>
      </c>
      <c r="C30" s="152"/>
      <c r="D30" s="152"/>
      <c r="E30" s="167">
        <f t="shared" ref="E30:AN30" si="19">SUM(E5:E29)</f>
        <v>7658</v>
      </c>
      <c r="F30" s="167">
        <f t="shared" si="19"/>
        <v>121257</v>
      </c>
      <c r="G30" s="167">
        <f t="shared" si="19"/>
        <v>79374</v>
      </c>
      <c r="H30" s="167">
        <f t="shared" si="19"/>
        <v>6663</v>
      </c>
      <c r="I30" s="167">
        <f t="shared" si="19"/>
        <v>102976</v>
      </c>
      <c r="J30" s="167">
        <f t="shared" si="19"/>
        <v>67630.720000000001</v>
      </c>
      <c r="K30" s="167">
        <f t="shared" si="19"/>
        <v>11166</v>
      </c>
      <c r="L30" s="167">
        <f t="shared" si="19"/>
        <v>172705</v>
      </c>
      <c r="M30" s="167">
        <f t="shared" si="19"/>
        <v>112072.59999999999</v>
      </c>
      <c r="N30" s="167">
        <f t="shared" si="19"/>
        <v>6180</v>
      </c>
      <c r="O30" s="167">
        <f t="shared" si="19"/>
        <v>98169</v>
      </c>
      <c r="P30" s="167">
        <f t="shared" si="19"/>
        <v>64360.14</v>
      </c>
      <c r="Q30" s="167">
        <f t="shared" si="19"/>
        <v>6907</v>
      </c>
      <c r="R30" s="167">
        <f t="shared" si="19"/>
        <v>109072</v>
      </c>
      <c r="S30" s="167">
        <f t="shared" si="19"/>
        <v>71152.300000000017</v>
      </c>
      <c r="T30" s="167">
        <f t="shared" si="19"/>
        <v>0</v>
      </c>
      <c r="U30" s="167">
        <f t="shared" si="19"/>
        <v>0</v>
      </c>
      <c r="V30" s="167">
        <f t="shared" si="19"/>
        <v>0</v>
      </c>
      <c r="W30" s="167">
        <f t="shared" si="19"/>
        <v>0</v>
      </c>
      <c r="X30" s="167">
        <f t="shared" si="19"/>
        <v>0</v>
      </c>
      <c r="Y30" s="167">
        <f t="shared" si="19"/>
        <v>0</v>
      </c>
      <c r="Z30" s="167">
        <f t="shared" si="19"/>
        <v>0</v>
      </c>
      <c r="AA30" s="167">
        <f t="shared" si="19"/>
        <v>0</v>
      </c>
      <c r="AB30" s="167">
        <f t="shared" si="19"/>
        <v>0</v>
      </c>
      <c r="AC30" s="167">
        <f t="shared" si="19"/>
        <v>0</v>
      </c>
      <c r="AD30" s="167">
        <f t="shared" si="19"/>
        <v>0</v>
      </c>
      <c r="AE30" s="167">
        <f t="shared" si="19"/>
        <v>0</v>
      </c>
      <c r="AF30" s="167">
        <f t="shared" si="19"/>
        <v>0</v>
      </c>
      <c r="AG30" s="167">
        <f t="shared" si="19"/>
        <v>0</v>
      </c>
      <c r="AH30" s="167">
        <f t="shared" si="19"/>
        <v>0</v>
      </c>
      <c r="AI30" s="167">
        <f t="shared" si="19"/>
        <v>0</v>
      </c>
      <c r="AJ30" s="167">
        <f t="shared" si="19"/>
        <v>0</v>
      </c>
      <c r="AK30" s="167">
        <f t="shared" si="19"/>
        <v>0</v>
      </c>
      <c r="AL30" s="167">
        <f t="shared" si="19"/>
        <v>0</v>
      </c>
      <c r="AM30" s="167">
        <f t="shared" si="19"/>
        <v>0</v>
      </c>
      <c r="AN30" s="167">
        <f t="shared" si="19"/>
        <v>0</v>
      </c>
      <c r="AO30" s="187">
        <f t="shared" ref="AO30" si="20">E30+H30+K30+N30+Q30</f>
        <v>38574</v>
      </c>
      <c r="AP30" s="187">
        <f t="shared" ref="AP30" si="21">F30+I30+L30+O30+R30</f>
        <v>604179</v>
      </c>
      <c r="AQ30" s="187">
        <f t="shared" ref="AQ30" si="22">G30+J30+M30+P30+S30</f>
        <v>394589.76</v>
      </c>
      <c r="AR30" s="187">
        <f t="shared" ref="AR30" si="23">AQ30/5</f>
        <v>78917.952000000005</v>
      </c>
      <c r="AS30" s="188">
        <f t="shared" si="8"/>
        <v>100</v>
      </c>
    </row>
  </sheetData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914A-92DB-4231-A537-05EE983615A4}">
  <sheetPr>
    <tabColor rgb="FFFF0000"/>
  </sheetPr>
  <dimension ref="A1:AT21"/>
  <sheetViews>
    <sheetView workbookViewId="0">
      <pane xSplit="4" ySplit="4" topLeftCell="K18" activePane="bottomRight" state="frozen"/>
      <selection activeCell="AU7" sqref="AU7"/>
      <selection pane="topRight" activeCell="AU7" sqref="AU7"/>
      <selection pane="bottomLeft" activeCell="AU7" sqref="AU7"/>
      <selection pane="bottomRight" activeCell="AR5" sqref="AR5:AR21"/>
    </sheetView>
  </sheetViews>
  <sheetFormatPr defaultColWidth="9.109375" defaultRowHeight="13.8"/>
  <cols>
    <col min="1" max="1" width="5.109375" style="162" customWidth="1"/>
    <col min="2" max="2" width="26.44140625" style="162" customWidth="1"/>
    <col min="3" max="4" width="9.109375" style="162"/>
    <col min="5" max="5" width="9.5546875" style="162" bestFit="1" customWidth="1"/>
    <col min="6" max="7" width="10.5546875" style="162" bestFit="1" customWidth="1"/>
    <col min="8" max="12" width="9.33203125" style="162" bestFit="1" customWidth="1"/>
    <col min="13" max="13" width="10.5546875" style="162" bestFit="1" customWidth="1"/>
    <col min="14" max="15" width="9.33203125" style="162" bestFit="1" customWidth="1"/>
    <col min="16" max="16" width="10.5546875" style="162" bestFit="1" customWidth="1"/>
    <col min="17" max="18" width="9.33203125" style="162" bestFit="1" customWidth="1"/>
    <col min="19" max="19" width="10.554687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6" ht="24.6">
      <c r="A1" s="159"/>
      <c r="B1" s="160" t="s">
        <v>133</v>
      </c>
      <c r="C1" s="161"/>
      <c r="D1" s="161"/>
    </row>
    <row r="3" spans="1:46" ht="41.2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62" t="s">
        <v>115</v>
      </c>
      <c r="F3" s="962"/>
      <c r="G3" s="962"/>
      <c r="H3" s="962" t="s">
        <v>116</v>
      </c>
      <c r="I3" s="962"/>
      <c r="J3" s="962"/>
      <c r="K3" s="962" t="s">
        <v>117</v>
      </c>
      <c r="L3" s="962"/>
      <c r="M3" s="962"/>
      <c r="N3" s="962" t="s">
        <v>118</v>
      </c>
      <c r="O3" s="962"/>
      <c r="P3" s="962"/>
      <c r="Q3" s="962" t="s">
        <v>119</v>
      </c>
      <c r="R3" s="962"/>
      <c r="S3" s="962"/>
      <c r="T3" s="962" t="s">
        <v>120</v>
      </c>
      <c r="U3" s="962"/>
      <c r="V3" s="962"/>
      <c r="W3" s="962" t="s">
        <v>121</v>
      </c>
      <c r="X3" s="962"/>
      <c r="Y3" s="962"/>
      <c r="Z3" s="962" t="s">
        <v>122</v>
      </c>
      <c r="AA3" s="962"/>
      <c r="AB3" s="962"/>
      <c r="AC3" s="962" t="s">
        <v>123</v>
      </c>
      <c r="AD3" s="962"/>
      <c r="AE3" s="962"/>
      <c r="AF3" s="962" t="s">
        <v>92</v>
      </c>
      <c r="AG3" s="962"/>
      <c r="AH3" s="962"/>
      <c r="AI3" s="962" t="s">
        <v>93</v>
      </c>
      <c r="AJ3" s="962"/>
      <c r="AK3" s="962"/>
      <c r="AL3" s="962" t="s">
        <v>94</v>
      </c>
      <c r="AM3" s="962"/>
      <c r="AN3" s="962"/>
      <c r="AO3" s="963" t="s">
        <v>140</v>
      </c>
      <c r="AP3" s="963"/>
      <c r="AQ3" s="963"/>
      <c r="AR3" s="175" t="s">
        <v>95</v>
      </c>
      <c r="AS3" s="181" t="s">
        <v>67</v>
      </c>
      <c r="AT3" s="196"/>
    </row>
    <row r="4" spans="1:46" ht="54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5" t="s">
        <v>141</v>
      </c>
      <c r="AP4" s="175" t="s">
        <v>142</v>
      </c>
      <c r="AQ4" s="175" t="s">
        <v>97</v>
      </c>
      <c r="AR4" s="175" t="s">
        <v>97</v>
      </c>
      <c r="AS4" s="175" t="s">
        <v>97</v>
      </c>
      <c r="AT4" s="196"/>
    </row>
    <row r="5" spans="1:46" ht="20.100000000000001" customHeight="1">
      <c r="A5" s="151">
        <v>1</v>
      </c>
      <c r="B5" s="151" t="s">
        <v>13</v>
      </c>
      <c r="C5" s="152">
        <v>0.7</v>
      </c>
      <c r="D5" s="152" t="s">
        <v>15</v>
      </c>
      <c r="E5" s="164">
        <v>54</v>
      </c>
      <c r="F5" s="164">
        <v>648</v>
      </c>
      <c r="G5" s="166">
        <f>F5*$C5</f>
        <v>453.59999999999997</v>
      </c>
      <c r="H5" s="164"/>
      <c r="I5" s="164"/>
      <c r="J5" s="165">
        <f>I5*$C5</f>
        <v>0</v>
      </c>
      <c r="K5" s="164">
        <v>37</v>
      </c>
      <c r="L5" s="164">
        <v>444</v>
      </c>
      <c r="M5" s="166">
        <f>L5*$C5</f>
        <v>310.79999999999995</v>
      </c>
      <c r="N5" s="164">
        <v>24</v>
      </c>
      <c r="O5" s="164">
        <v>298</v>
      </c>
      <c r="P5" s="166">
        <f>O5*$C5</f>
        <v>208.6</v>
      </c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93">
        <f>E5+H5+K5+N5+Q5</f>
        <v>115</v>
      </c>
      <c r="AP5" s="193">
        <f>F5+I5+L5+O5+R5</f>
        <v>1390</v>
      </c>
      <c r="AQ5" s="193">
        <f>G5+J5+M5+P5+S5</f>
        <v>972.99999999999989</v>
      </c>
      <c r="AR5" s="193">
        <f>AQ5/5</f>
        <v>194.59999999999997</v>
      </c>
      <c r="AS5" s="194">
        <f>AR5/$AR$21%</f>
        <v>0.41204126002471386</v>
      </c>
      <c r="AT5" s="196"/>
    </row>
    <row r="6" spans="1:46" ht="20.100000000000001" customHeight="1">
      <c r="A6" s="151">
        <v>2</v>
      </c>
      <c r="B6" s="151" t="s">
        <v>125</v>
      </c>
      <c r="C6" s="152">
        <v>0.64</v>
      </c>
      <c r="D6" s="152" t="s">
        <v>20</v>
      </c>
      <c r="E6" s="164">
        <v>995</v>
      </c>
      <c r="F6" s="164">
        <v>13930</v>
      </c>
      <c r="G6" s="166">
        <f t="shared" ref="G6:G13" si="0">F6*$C6</f>
        <v>8915.2000000000007</v>
      </c>
      <c r="H6" s="164">
        <v>1030</v>
      </c>
      <c r="I6" s="164">
        <v>14420</v>
      </c>
      <c r="J6" s="165">
        <f t="shared" ref="J6:J13" si="1">I6*$C6</f>
        <v>9228.8000000000011</v>
      </c>
      <c r="K6" s="164">
        <v>1525</v>
      </c>
      <c r="L6" s="164">
        <v>21350</v>
      </c>
      <c r="M6" s="166">
        <f t="shared" ref="M6:M13" si="2">L6*$C6</f>
        <v>13664</v>
      </c>
      <c r="N6" s="164">
        <v>1245</v>
      </c>
      <c r="O6" s="164">
        <v>17430</v>
      </c>
      <c r="P6" s="166">
        <f t="shared" ref="P6:P13" si="3">O6*$C6</f>
        <v>11155.2</v>
      </c>
      <c r="Q6" s="164">
        <v>1050</v>
      </c>
      <c r="R6" s="164">
        <v>14700</v>
      </c>
      <c r="S6" s="166">
        <f>R6*$C6</f>
        <v>9408</v>
      </c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93">
        <f t="shared" ref="AO6:AO13" si="4">E6+H6+K6+N6+Q6</f>
        <v>5845</v>
      </c>
      <c r="AP6" s="193">
        <f t="shared" ref="AP6:AP13" si="5">F6+I6+L6+O6+R6</f>
        <v>81830</v>
      </c>
      <c r="AQ6" s="193">
        <f t="shared" ref="AQ6:AQ13" si="6">G6+J6+M6+P6+S6</f>
        <v>52371.199999999997</v>
      </c>
      <c r="AR6" s="193">
        <f t="shared" ref="AR6:AR13" si="7">AQ6/5</f>
        <v>10474.24</v>
      </c>
      <c r="AS6" s="194">
        <f t="shared" ref="AS6:AS21" si="8">AR6/$AR$21%</f>
        <v>22.177898496409352</v>
      </c>
      <c r="AT6" s="196">
        <v>2</v>
      </c>
    </row>
    <row r="7" spans="1:46" ht="20.100000000000001" customHeight="1">
      <c r="A7" s="151">
        <v>3</v>
      </c>
      <c r="B7" s="151" t="s">
        <v>21</v>
      </c>
      <c r="C7" s="152">
        <v>1</v>
      </c>
      <c r="D7" s="152" t="s">
        <v>15</v>
      </c>
      <c r="E7" s="164">
        <v>180</v>
      </c>
      <c r="F7" s="164">
        <v>2160</v>
      </c>
      <c r="G7" s="166">
        <f t="shared" si="0"/>
        <v>2160</v>
      </c>
      <c r="H7" s="164">
        <v>195</v>
      </c>
      <c r="I7" s="164">
        <v>2340</v>
      </c>
      <c r="J7" s="165">
        <f t="shared" si="1"/>
        <v>2340</v>
      </c>
      <c r="K7" s="164">
        <v>495</v>
      </c>
      <c r="L7" s="164">
        <v>5940</v>
      </c>
      <c r="M7" s="166">
        <f t="shared" si="2"/>
        <v>5940</v>
      </c>
      <c r="N7" s="164">
        <v>40</v>
      </c>
      <c r="O7" s="164">
        <v>480</v>
      </c>
      <c r="P7" s="166">
        <f t="shared" si="3"/>
        <v>480</v>
      </c>
      <c r="Q7" s="164">
        <v>65</v>
      </c>
      <c r="R7" s="164">
        <v>780</v>
      </c>
      <c r="S7" s="166">
        <f t="shared" ref="S7:S13" si="9">R7*$C7</f>
        <v>780</v>
      </c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93">
        <f t="shared" si="4"/>
        <v>975</v>
      </c>
      <c r="AP7" s="193">
        <f t="shared" si="5"/>
        <v>11700</v>
      </c>
      <c r="AQ7" s="193">
        <f t="shared" si="6"/>
        <v>11700</v>
      </c>
      <c r="AR7" s="193">
        <f t="shared" si="7"/>
        <v>2340</v>
      </c>
      <c r="AS7" s="194">
        <f t="shared" si="8"/>
        <v>4.9546585223937853</v>
      </c>
      <c r="AT7" s="196"/>
    </row>
    <row r="8" spans="1:46" ht="20.100000000000001" customHeight="1">
      <c r="A8" s="151">
        <v>4</v>
      </c>
      <c r="B8" s="151" t="s">
        <v>23</v>
      </c>
      <c r="C8" s="152">
        <v>0.64</v>
      </c>
      <c r="D8" s="152" t="s">
        <v>20</v>
      </c>
      <c r="E8" s="164">
        <v>335</v>
      </c>
      <c r="F8" s="164">
        <v>4690</v>
      </c>
      <c r="G8" s="166">
        <f t="shared" si="0"/>
        <v>3001.6</v>
      </c>
      <c r="H8" s="164">
        <v>250</v>
      </c>
      <c r="I8" s="164">
        <v>3500</v>
      </c>
      <c r="J8" s="165">
        <f t="shared" si="1"/>
        <v>2240</v>
      </c>
      <c r="K8" s="164">
        <v>420</v>
      </c>
      <c r="L8" s="164">
        <v>5880</v>
      </c>
      <c r="M8" s="166">
        <f t="shared" si="2"/>
        <v>3763.2000000000003</v>
      </c>
      <c r="N8" s="164">
        <v>345</v>
      </c>
      <c r="O8" s="164">
        <v>4830</v>
      </c>
      <c r="P8" s="166">
        <f t="shared" si="3"/>
        <v>3091.2000000000003</v>
      </c>
      <c r="Q8" s="164">
        <v>165</v>
      </c>
      <c r="R8" s="164">
        <v>2310</v>
      </c>
      <c r="S8" s="166">
        <f t="shared" si="9"/>
        <v>1478.4</v>
      </c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93">
        <f t="shared" si="4"/>
        <v>1515</v>
      </c>
      <c r="AP8" s="193">
        <f t="shared" si="5"/>
        <v>21210</v>
      </c>
      <c r="AQ8" s="193">
        <f t="shared" si="6"/>
        <v>13574.400000000001</v>
      </c>
      <c r="AR8" s="193">
        <f t="shared" si="7"/>
        <v>2714.88</v>
      </c>
      <c r="AS8" s="194">
        <f t="shared" si="8"/>
        <v>5.7484202261865134</v>
      </c>
      <c r="AT8" s="196">
        <v>4</v>
      </c>
    </row>
    <row r="9" spans="1:46" ht="20.100000000000001" customHeight="1">
      <c r="A9" s="151">
        <v>5</v>
      </c>
      <c r="B9" s="151" t="s">
        <v>25</v>
      </c>
      <c r="C9" s="152">
        <v>0.64</v>
      </c>
      <c r="D9" s="152" t="s">
        <v>20</v>
      </c>
      <c r="E9" s="164">
        <v>152</v>
      </c>
      <c r="F9" s="164">
        <v>2128</v>
      </c>
      <c r="G9" s="166">
        <f t="shared" si="0"/>
        <v>1361.92</v>
      </c>
      <c r="H9" s="164">
        <v>280</v>
      </c>
      <c r="I9" s="164">
        <v>3920</v>
      </c>
      <c r="J9" s="165">
        <f t="shared" si="1"/>
        <v>2508.8000000000002</v>
      </c>
      <c r="K9" s="164">
        <v>153</v>
      </c>
      <c r="L9" s="164">
        <v>2142</v>
      </c>
      <c r="M9" s="166">
        <f t="shared" si="2"/>
        <v>1370.88</v>
      </c>
      <c r="N9" s="164"/>
      <c r="O9" s="164"/>
      <c r="P9" s="166">
        <f t="shared" si="3"/>
        <v>0</v>
      </c>
      <c r="Q9" s="164">
        <v>5</v>
      </c>
      <c r="R9" s="164">
        <v>70</v>
      </c>
      <c r="S9" s="166">
        <f t="shared" si="9"/>
        <v>44.800000000000004</v>
      </c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93">
        <f t="shared" si="4"/>
        <v>590</v>
      </c>
      <c r="AP9" s="193">
        <f t="shared" si="5"/>
        <v>8260</v>
      </c>
      <c r="AQ9" s="193">
        <f t="shared" si="6"/>
        <v>5286.4000000000005</v>
      </c>
      <c r="AR9" s="193">
        <f t="shared" si="7"/>
        <v>1057.2800000000002</v>
      </c>
      <c r="AS9" s="194">
        <f t="shared" si="8"/>
        <v>2.2386587019472231</v>
      </c>
      <c r="AT9" s="196"/>
    </row>
    <row r="10" spans="1:46" ht="20.100000000000001" customHeight="1">
      <c r="A10" s="151">
        <v>6</v>
      </c>
      <c r="B10" s="151" t="s">
        <v>27</v>
      </c>
      <c r="C10" s="152">
        <v>0.7</v>
      </c>
      <c r="D10" s="152" t="s">
        <v>15</v>
      </c>
      <c r="E10" s="164">
        <v>2</v>
      </c>
      <c r="F10" s="164">
        <v>24</v>
      </c>
      <c r="G10" s="166">
        <f t="shared" si="0"/>
        <v>16.799999999999997</v>
      </c>
      <c r="H10" s="164">
        <v>2</v>
      </c>
      <c r="I10" s="164">
        <v>24</v>
      </c>
      <c r="J10" s="165">
        <f t="shared" si="1"/>
        <v>16.799999999999997</v>
      </c>
      <c r="K10" s="164">
        <v>8</v>
      </c>
      <c r="L10" s="164">
        <v>96</v>
      </c>
      <c r="M10" s="166">
        <f t="shared" si="2"/>
        <v>67.199999999999989</v>
      </c>
      <c r="N10" s="164">
        <v>3</v>
      </c>
      <c r="O10" s="164">
        <v>36</v>
      </c>
      <c r="P10" s="166">
        <f t="shared" si="3"/>
        <v>25.2</v>
      </c>
      <c r="Q10" s="164"/>
      <c r="R10" s="164"/>
      <c r="S10" s="166">
        <f t="shared" si="9"/>
        <v>0</v>
      </c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93">
        <f t="shared" si="4"/>
        <v>15</v>
      </c>
      <c r="AP10" s="193">
        <f t="shared" si="5"/>
        <v>180</v>
      </c>
      <c r="AQ10" s="193">
        <f t="shared" si="6"/>
        <v>125.99999999999999</v>
      </c>
      <c r="AR10" s="193">
        <f t="shared" si="7"/>
        <v>25.199999999999996</v>
      </c>
      <c r="AS10" s="194">
        <f t="shared" si="8"/>
        <v>5.3357861010394601E-2</v>
      </c>
      <c r="AT10" s="196"/>
    </row>
    <row r="11" spans="1:46" ht="20.100000000000001" customHeight="1">
      <c r="A11" s="151">
        <v>7</v>
      </c>
      <c r="B11" s="151" t="s">
        <v>27</v>
      </c>
      <c r="C11" s="152">
        <v>0.64</v>
      </c>
      <c r="D11" s="152" t="s">
        <v>20</v>
      </c>
      <c r="E11" s="164">
        <v>341</v>
      </c>
      <c r="F11" s="164">
        <v>4774</v>
      </c>
      <c r="G11" s="166">
        <f t="shared" si="0"/>
        <v>3055.36</v>
      </c>
      <c r="H11" s="164">
        <v>195</v>
      </c>
      <c r="I11" s="164">
        <v>2730</v>
      </c>
      <c r="J11" s="165">
        <f t="shared" si="1"/>
        <v>1747.2</v>
      </c>
      <c r="K11" s="164">
        <v>425</v>
      </c>
      <c r="L11" s="164">
        <v>5950</v>
      </c>
      <c r="M11" s="166">
        <f t="shared" si="2"/>
        <v>3808</v>
      </c>
      <c r="N11" s="164">
        <v>315</v>
      </c>
      <c r="O11" s="164">
        <v>4410</v>
      </c>
      <c r="P11" s="166">
        <f t="shared" si="3"/>
        <v>2822.4</v>
      </c>
      <c r="Q11" s="164">
        <v>184</v>
      </c>
      <c r="R11" s="164">
        <v>2576</v>
      </c>
      <c r="S11" s="166">
        <f t="shared" si="9"/>
        <v>1648.64</v>
      </c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93">
        <f t="shared" si="4"/>
        <v>1460</v>
      </c>
      <c r="AP11" s="193">
        <f t="shared" si="5"/>
        <v>20440</v>
      </c>
      <c r="AQ11" s="193">
        <f t="shared" si="6"/>
        <v>13081.6</v>
      </c>
      <c r="AR11" s="193">
        <f t="shared" si="7"/>
        <v>2616.3200000000002</v>
      </c>
      <c r="AS11" s="194">
        <f t="shared" si="8"/>
        <v>5.5397317031236364</v>
      </c>
      <c r="AT11" s="196">
        <v>5</v>
      </c>
    </row>
    <row r="12" spans="1:46" ht="20.100000000000001" customHeight="1">
      <c r="A12" s="151">
        <v>8</v>
      </c>
      <c r="B12" s="151" t="s">
        <v>30</v>
      </c>
      <c r="C12" s="152">
        <v>0.64</v>
      </c>
      <c r="D12" s="152" t="s">
        <v>20</v>
      </c>
      <c r="E12" s="164">
        <v>115</v>
      </c>
      <c r="F12" s="164">
        <v>1610</v>
      </c>
      <c r="G12" s="166">
        <f t="shared" si="0"/>
        <v>1030.4000000000001</v>
      </c>
      <c r="H12" s="164">
        <v>130</v>
      </c>
      <c r="I12" s="164">
        <v>1820</v>
      </c>
      <c r="J12" s="165">
        <f t="shared" si="1"/>
        <v>1164.8</v>
      </c>
      <c r="K12" s="164">
        <v>85</v>
      </c>
      <c r="L12" s="164">
        <v>1190</v>
      </c>
      <c r="M12" s="166">
        <f t="shared" si="2"/>
        <v>761.6</v>
      </c>
      <c r="N12" s="164">
        <v>135</v>
      </c>
      <c r="O12" s="164">
        <v>1890</v>
      </c>
      <c r="P12" s="166">
        <f t="shared" si="3"/>
        <v>1209.6000000000001</v>
      </c>
      <c r="Q12" s="164">
        <v>45</v>
      </c>
      <c r="R12" s="164">
        <v>630</v>
      </c>
      <c r="S12" s="166">
        <f t="shared" si="9"/>
        <v>403.2</v>
      </c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93">
        <f t="shared" si="4"/>
        <v>510</v>
      </c>
      <c r="AP12" s="193">
        <f t="shared" si="5"/>
        <v>7140</v>
      </c>
      <c r="AQ12" s="193">
        <f t="shared" si="6"/>
        <v>4569.5999999999995</v>
      </c>
      <c r="AR12" s="193">
        <f t="shared" si="7"/>
        <v>913.91999999999985</v>
      </c>
      <c r="AS12" s="194">
        <f t="shared" si="8"/>
        <v>1.9351117593103109</v>
      </c>
      <c r="AT12" s="196"/>
    </row>
    <row r="13" spans="1:46" ht="20.100000000000001" customHeight="1">
      <c r="A13" s="151">
        <v>9</v>
      </c>
      <c r="B13" s="195" t="s">
        <v>62</v>
      </c>
      <c r="C13" s="152">
        <v>0.64</v>
      </c>
      <c r="D13" s="152" t="s">
        <v>20</v>
      </c>
      <c r="E13" s="164">
        <v>985</v>
      </c>
      <c r="F13" s="164">
        <v>13790</v>
      </c>
      <c r="G13" s="166">
        <f t="shared" si="0"/>
        <v>8825.6</v>
      </c>
      <c r="H13" s="164">
        <v>1015</v>
      </c>
      <c r="I13" s="164">
        <v>14210</v>
      </c>
      <c r="J13" s="165">
        <f t="shared" si="1"/>
        <v>9094.4</v>
      </c>
      <c r="K13" s="164">
        <v>1054</v>
      </c>
      <c r="L13" s="164">
        <v>14756</v>
      </c>
      <c r="M13" s="166">
        <f t="shared" si="2"/>
        <v>9443.84</v>
      </c>
      <c r="N13" s="164">
        <v>980</v>
      </c>
      <c r="O13" s="164">
        <v>13720</v>
      </c>
      <c r="P13" s="166">
        <f t="shared" si="3"/>
        <v>8780.8000000000011</v>
      </c>
      <c r="Q13" s="164">
        <v>855</v>
      </c>
      <c r="R13" s="164">
        <v>11970</v>
      </c>
      <c r="S13" s="166">
        <f t="shared" si="9"/>
        <v>7660.8</v>
      </c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93">
        <f t="shared" si="4"/>
        <v>4889</v>
      </c>
      <c r="AP13" s="193">
        <f t="shared" si="5"/>
        <v>68446</v>
      </c>
      <c r="AQ13" s="193">
        <f t="shared" si="6"/>
        <v>43805.440000000002</v>
      </c>
      <c r="AR13" s="193">
        <f t="shared" si="7"/>
        <v>8761.0879999999997</v>
      </c>
      <c r="AS13" s="194">
        <f t="shared" si="8"/>
        <v>18.550512531898256</v>
      </c>
      <c r="AT13" s="196">
        <v>3</v>
      </c>
    </row>
    <row r="14" spans="1:46" ht="20.100000000000001" customHeight="1">
      <c r="A14" s="151">
        <v>10</v>
      </c>
      <c r="B14" s="151" t="s">
        <v>36</v>
      </c>
      <c r="C14" s="152">
        <v>1</v>
      </c>
      <c r="D14" s="152" t="s">
        <v>15</v>
      </c>
      <c r="E14" s="164">
        <v>10</v>
      </c>
      <c r="F14" s="164">
        <v>120</v>
      </c>
      <c r="G14" s="166">
        <f t="shared" ref="G14:G20" si="10">F14*$C14</f>
        <v>120</v>
      </c>
      <c r="H14" s="164">
        <v>25</v>
      </c>
      <c r="I14" s="164">
        <v>300</v>
      </c>
      <c r="J14" s="165">
        <f t="shared" ref="J14:J20" si="11">I14*$C14</f>
        <v>300</v>
      </c>
      <c r="K14" s="164"/>
      <c r="L14" s="164"/>
      <c r="M14" s="166">
        <f t="shared" ref="M14" si="12">L14*$C14</f>
        <v>0</v>
      </c>
      <c r="N14" s="164">
        <v>15</v>
      </c>
      <c r="O14" s="164">
        <v>180</v>
      </c>
      <c r="P14" s="166">
        <f t="shared" ref="P14:P16" si="13">O14*$C14</f>
        <v>180</v>
      </c>
      <c r="Q14" s="164"/>
      <c r="R14" s="164"/>
      <c r="S14" s="166">
        <f t="shared" ref="S14:S20" si="14">R14*$C14</f>
        <v>0</v>
      </c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93">
        <f t="shared" ref="AO14:AO20" si="15">E14+H14+K14+N14+Q14</f>
        <v>50</v>
      </c>
      <c r="AP14" s="193">
        <f t="shared" ref="AP14:AP20" si="16">F14+I14+L14+O14+R14</f>
        <v>600</v>
      </c>
      <c r="AQ14" s="193">
        <f t="shared" ref="AQ14:AQ20" si="17">G14+J14+M14+P14+S14</f>
        <v>600</v>
      </c>
      <c r="AR14" s="193">
        <f t="shared" ref="AR14:AR20" si="18">AQ14/5</f>
        <v>120</v>
      </c>
      <c r="AS14" s="194">
        <f t="shared" si="8"/>
        <v>0.25408505243045054</v>
      </c>
      <c r="AT14" s="196"/>
    </row>
    <row r="15" spans="1:46" ht="20.100000000000001" customHeight="1">
      <c r="A15" s="151">
        <v>11</v>
      </c>
      <c r="B15" s="151" t="s">
        <v>37</v>
      </c>
      <c r="C15" s="152">
        <v>0.6</v>
      </c>
      <c r="D15" s="152" t="s">
        <v>18</v>
      </c>
      <c r="E15" s="164"/>
      <c r="F15" s="164"/>
      <c r="G15" s="166">
        <f t="shared" si="10"/>
        <v>0</v>
      </c>
      <c r="H15" s="164"/>
      <c r="I15" s="164"/>
      <c r="J15" s="165">
        <f t="shared" si="11"/>
        <v>0</v>
      </c>
      <c r="K15" s="164">
        <v>10</v>
      </c>
      <c r="L15" s="164">
        <v>240</v>
      </c>
      <c r="M15" s="166">
        <f>L15*$C15</f>
        <v>144</v>
      </c>
      <c r="N15" s="164"/>
      <c r="O15" s="164"/>
      <c r="P15" s="166">
        <f t="shared" si="13"/>
        <v>0</v>
      </c>
      <c r="Q15" s="164"/>
      <c r="R15" s="164"/>
      <c r="S15" s="166">
        <f t="shared" si="14"/>
        <v>0</v>
      </c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93">
        <f t="shared" si="15"/>
        <v>10</v>
      </c>
      <c r="AP15" s="193">
        <f t="shared" si="16"/>
        <v>240</v>
      </c>
      <c r="AQ15" s="193">
        <f t="shared" si="17"/>
        <v>144</v>
      </c>
      <c r="AR15" s="193">
        <f t="shared" si="18"/>
        <v>28.8</v>
      </c>
      <c r="AS15" s="194">
        <f t="shared" si="8"/>
        <v>6.0980412583308129E-2</v>
      </c>
      <c r="AT15" s="196"/>
    </row>
    <row r="16" spans="1:46" ht="20.100000000000001" customHeight="1">
      <c r="A16" s="151">
        <v>12</v>
      </c>
      <c r="B16" s="151" t="s">
        <v>64</v>
      </c>
      <c r="C16" s="152">
        <v>0.64</v>
      </c>
      <c r="D16" s="152"/>
      <c r="E16" s="164"/>
      <c r="F16" s="164"/>
      <c r="G16" s="166">
        <f t="shared" si="10"/>
        <v>0</v>
      </c>
      <c r="H16" s="164"/>
      <c r="I16" s="164"/>
      <c r="J16" s="165"/>
      <c r="K16" s="164"/>
      <c r="L16" s="164"/>
      <c r="M16" s="166">
        <f t="shared" ref="M16:M20" si="19">L16*$C16</f>
        <v>0</v>
      </c>
      <c r="N16" s="164"/>
      <c r="O16" s="164"/>
      <c r="P16" s="166">
        <f t="shared" si="13"/>
        <v>0</v>
      </c>
      <c r="Q16" s="164">
        <v>1</v>
      </c>
      <c r="R16" s="164">
        <v>14</v>
      </c>
      <c r="S16" s="166">
        <f t="shared" si="14"/>
        <v>8.9600000000000009</v>
      </c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93">
        <f t="shared" si="15"/>
        <v>1</v>
      </c>
      <c r="AP16" s="193">
        <f t="shared" si="16"/>
        <v>14</v>
      </c>
      <c r="AQ16" s="193">
        <f t="shared" si="17"/>
        <v>8.9600000000000009</v>
      </c>
      <c r="AR16" s="193">
        <f t="shared" si="18"/>
        <v>1.7920000000000003</v>
      </c>
      <c r="AS16" s="194">
        <f t="shared" si="8"/>
        <v>3.7943367829613951E-3</v>
      </c>
      <c r="AT16" s="196"/>
    </row>
    <row r="17" spans="1:46" ht="20.100000000000001" customHeight="1">
      <c r="A17" s="151">
        <v>13</v>
      </c>
      <c r="B17" s="151" t="s">
        <v>41</v>
      </c>
      <c r="C17" s="152">
        <v>0.64</v>
      </c>
      <c r="D17" s="152" t="s">
        <v>18</v>
      </c>
      <c r="E17" s="164">
        <v>980</v>
      </c>
      <c r="F17" s="164">
        <v>23520</v>
      </c>
      <c r="G17" s="166">
        <f t="shared" si="10"/>
        <v>15052.800000000001</v>
      </c>
      <c r="H17" s="164">
        <v>975</v>
      </c>
      <c r="I17" s="164">
        <v>23400</v>
      </c>
      <c r="J17" s="165">
        <f t="shared" si="11"/>
        <v>14976</v>
      </c>
      <c r="K17" s="164">
        <v>1185</v>
      </c>
      <c r="L17" s="164">
        <v>28440</v>
      </c>
      <c r="M17" s="166">
        <f t="shared" si="19"/>
        <v>18201.600000000002</v>
      </c>
      <c r="N17" s="164">
        <v>960</v>
      </c>
      <c r="O17" s="164">
        <v>23040</v>
      </c>
      <c r="P17" s="166">
        <f t="shared" ref="P17:P20" si="20">O17*$C17</f>
        <v>14745.6</v>
      </c>
      <c r="Q17" s="164">
        <v>785</v>
      </c>
      <c r="R17" s="164">
        <v>18840</v>
      </c>
      <c r="S17" s="166">
        <f t="shared" si="14"/>
        <v>12057.6</v>
      </c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93">
        <f t="shared" si="15"/>
        <v>4885</v>
      </c>
      <c r="AP17" s="193">
        <f t="shared" si="16"/>
        <v>117240</v>
      </c>
      <c r="AQ17" s="193">
        <f t="shared" si="17"/>
        <v>75033.600000000006</v>
      </c>
      <c r="AR17" s="193">
        <f t="shared" si="18"/>
        <v>15006.720000000001</v>
      </c>
      <c r="AS17" s="194">
        <f t="shared" si="8"/>
        <v>31.774860316742423</v>
      </c>
      <c r="AT17" s="196">
        <v>1</v>
      </c>
    </row>
    <row r="18" spans="1:46" ht="20.100000000000001" customHeight="1">
      <c r="A18" s="151">
        <v>14</v>
      </c>
      <c r="B18" s="151" t="s">
        <v>42</v>
      </c>
      <c r="C18" s="152">
        <v>0.64</v>
      </c>
      <c r="D18" s="152" t="s">
        <v>20</v>
      </c>
      <c r="E18" s="164">
        <v>205</v>
      </c>
      <c r="F18" s="164">
        <v>2870</v>
      </c>
      <c r="G18" s="166">
        <f t="shared" si="10"/>
        <v>1836.8</v>
      </c>
      <c r="H18" s="164">
        <v>310</v>
      </c>
      <c r="I18" s="164">
        <v>4340</v>
      </c>
      <c r="J18" s="165">
        <f t="shared" si="11"/>
        <v>2777.6</v>
      </c>
      <c r="K18" s="164">
        <v>190</v>
      </c>
      <c r="L18" s="164">
        <v>2660</v>
      </c>
      <c r="M18" s="166">
        <f t="shared" si="19"/>
        <v>1702.4</v>
      </c>
      <c r="N18" s="164">
        <v>415</v>
      </c>
      <c r="O18" s="164">
        <v>5810</v>
      </c>
      <c r="P18" s="166">
        <f t="shared" si="20"/>
        <v>3718.4</v>
      </c>
      <c r="Q18" s="164">
        <v>55</v>
      </c>
      <c r="R18" s="164">
        <v>770</v>
      </c>
      <c r="S18" s="166">
        <f t="shared" si="14"/>
        <v>492.8</v>
      </c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93">
        <f t="shared" si="15"/>
        <v>1175</v>
      </c>
      <c r="AP18" s="193">
        <f t="shared" si="16"/>
        <v>16450</v>
      </c>
      <c r="AQ18" s="193">
        <f t="shared" si="17"/>
        <v>10527.999999999998</v>
      </c>
      <c r="AR18" s="193">
        <f t="shared" si="18"/>
        <v>2105.5999999999995</v>
      </c>
      <c r="AS18" s="194">
        <f t="shared" si="8"/>
        <v>4.4583457199796372</v>
      </c>
      <c r="AT18" s="196"/>
    </row>
    <row r="19" spans="1:46" ht="20.100000000000001" customHeight="1">
      <c r="A19" s="151">
        <v>15</v>
      </c>
      <c r="B19" s="151" t="s">
        <v>43</v>
      </c>
      <c r="C19" s="152">
        <v>0.64</v>
      </c>
      <c r="D19" s="152" t="s">
        <v>18</v>
      </c>
      <c r="E19" s="164">
        <v>30</v>
      </c>
      <c r="F19" s="164">
        <v>720</v>
      </c>
      <c r="G19" s="166">
        <f t="shared" si="10"/>
        <v>460.8</v>
      </c>
      <c r="H19" s="164">
        <v>50</v>
      </c>
      <c r="I19" s="164">
        <v>1200</v>
      </c>
      <c r="J19" s="165">
        <f t="shared" si="11"/>
        <v>768</v>
      </c>
      <c r="K19" s="164">
        <v>5</v>
      </c>
      <c r="L19" s="164">
        <v>120</v>
      </c>
      <c r="M19" s="166">
        <f t="shared" si="19"/>
        <v>76.8</v>
      </c>
      <c r="N19" s="164">
        <v>40</v>
      </c>
      <c r="O19" s="164">
        <v>960</v>
      </c>
      <c r="P19" s="166">
        <f t="shared" si="20"/>
        <v>614.4</v>
      </c>
      <c r="Q19" s="164"/>
      <c r="R19" s="164"/>
      <c r="S19" s="166">
        <f t="shared" si="14"/>
        <v>0</v>
      </c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93">
        <f t="shared" si="15"/>
        <v>125</v>
      </c>
      <c r="AP19" s="193">
        <f t="shared" si="16"/>
        <v>3000</v>
      </c>
      <c r="AQ19" s="193">
        <f t="shared" si="17"/>
        <v>1920</v>
      </c>
      <c r="AR19" s="193">
        <f t="shared" si="18"/>
        <v>384</v>
      </c>
      <c r="AS19" s="194">
        <f t="shared" si="8"/>
        <v>0.81307216777744173</v>
      </c>
      <c r="AT19" s="196"/>
    </row>
    <row r="20" spans="1:46" ht="20.100000000000001" customHeight="1">
      <c r="A20" s="151">
        <v>16</v>
      </c>
      <c r="B20" s="151" t="s">
        <v>44</v>
      </c>
      <c r="C20" s="152">
        <v>0.64</v>
      </c>
      <c r="D20" s="152" t="s">
        <v>20</v>
      </c>
      <c r="E20" s="164">
        <v>100</v>
      </c>
      <c r="F20" s="164">
        <v>1400</v>
      </c>
      <c r="G20" s="166">
        <f t="shared" si="10"/>
        <v>896</v>
      </c>
      <c r="H20" s="164">
        <v>100</v>
      </c>
      <c r="I20" s="164">
        <v>1400</v>
      </c>
      <c r="J20" s="165">
        <f t="shared" si="11"/>
        <v>896</v>
      </c>
      <c r="K20" s="164">
        <v>20</v>
      </c>
      <c r="L20" s="164">
        <v>280</v>
      </c>
      <c r="M20" s="166">
        <f t="shared" si="19"/>
        <v>179.20000000000002</v>
      </c>
      <c r="N20" s="164">
        <v>50</v>
      </c>
      <c r="O20" s="164">
        <v>700</v>
      </c>
      <c r="P20" s="166">
        <f t="shared" si="20"/>
        <v>448</v>
      </c>
      <c r="Q20" s="164"/>
      <c r="R20" s="164"/>
      <c r="S20" s="166">
        <f t="shared" si="14"/>
        <v>0</v>
      </c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93">
        <f t="shared" si="15"/>
        <v>270</v>
      </c>
      <c r="AP20" s="193">
        <f t="shared" si="16"/>
        <v>3780</v>
      </c>
      <c r="AQ20" s="193">
        <f t="shared" si="17"/>
        <v>2419.1999999999998</v>
      </c>
      <c r="AR20" s="193">
        <f t="shared" si="18"/>
        <v>483.84</v>
      </c>
      <c r="AS20" s="194">
        <f t="shared" si="8"/>
        <v>1.0244709313995766</v>
      </c>
      <c r="AT20" s="196"/>
    </row>
    <row r="21" spans="1:46" ht="20.100000000000001" customHeight="1">
      <c r="A21" s="151"/>
      <c r="B21" s="151" t="s">
        <v>128</v>
      </c>
      <c r="C21" s="152"/>
      <c r="D21" s="152"/>
      <c r="E21" s="167">
        <f t="shared" ref="E21:AN21" si="21">SUM(E5:E20)</f>
        <v>4484</v>
      </c>
      <c r="F21" s="167">
        <f t="shared" si="21"/>
        <v>72384</v>
      </c>
      <c r="G21" s="167">
        <f t="shared" si="21"/>
        <v>47186.880000000012</v>
      </c>
      <c r="H21" s="167">
        <f t="shared" si="21"/>
        <v>4557</v>
      </c>
      <c r="I21" s="167">
        <f t="shared" si="21"/>
        <v>73604</v>
      </c>
      <c r="J21" s="167">
        <f t="shared" si="21"/>
        <v>48058.400000000001</v>
      </c>
      <c r="K21" s="167">
        <f t="shared" si="21"/>
        <v>5612</v>
      </c>
      <c r="L21" s="167">
        <f t="shared" si="21"/>
        <v>89488</v>
      </c>
      <c r="M21" s="167">
        <f t="shared" si="21"/>
        <v>59433.520000000011</v>
      </c>
      <c r="N21" s="167">
        <f t="shared" si="21"/>
        <v>4567</v>
      </c>
      <c r="O21" s="167">
        <f t="shared" si="21"/>
        <v>73784</v>
      </c>
      <c r="P21" s="167">
        <f t="shared" si="21"/>
        <v>47479.4</v>
      </c>
      <c r="Q21" s="167">
        <f t="shared" si="21"/>
        <v>3210</v>
      </c>
      <c r="R21" s="167">
        <f t="shared" si="21"/>
        <v>52660</v>
      </c>
      <c r="S21" s="167">
        <f t="shared" si="21"/>
        <v>33983.200000000004</v>
      </c>
      <c r="T21" s="167">
        <f t="shared" si="21"/>
        <v>0</v>
      </c>
      <c r="U21" s="167">
        <f t="shared" si="21"/>
        <v>0</v>
      </c>
      <c r="V21" s="167">
        <f t="shared" si="21"/>
        <v>0</v>
      </c>
      <c r="W21" s="167">
        <f t="shared" si="21"/>
        <v>0</v>
      </c>
      <c r="X21" s="167">
        <f t="shared" si="21"/>
        <v>0</v>
      </c>
      <c r="Y21" s="167">
        <f t="shared" si="21"/>
        <v>0</v>
      </c>
      <c r="Z21" s="167">
        <f t="shared" si="21"/>
        <v>0</v>
      </c>
      <c r="AA21" s="167">
        <f t="shared" si="21"/>
        <v>0</v>
      </c>
      <c r="AB21" s="167">
        <f t="shared" si="21"/>
        <v>0</v>
      </c>
      <c r="AC21" s="167">
        <f t="shared" si="21"/>
        <v>0</v>
      </c>
      <c r="AD21" s="167">
        <f t="shared" si="21"/>
        <v>0</v>
      </c>
      <c r="AE21" s="167">
        <f t="shared" si="21"/>
        <v>0</v>
      </c>
      <c r="AF21" s="167">
        <f t="shared" si="21"/>
        <v>0</v>
      </c>
      <c r="AG21" s="167">
        <f t="shared" si="21"/>
        <v>0</v>
      </c>
      <c r="AH21" s="167">
        <f t="shared" si="21"/>
        <v>0</v>
      </c>
      <c r="AI21" s="167">
        <f t="shared" si="21"/>
        <v>0</v>
      </c>
      <c r="AJ21" s="167">
        <f t="shared" si="21"/>
        <v>0</v>
      </c>
      <c r="AK21" s="167">
        <f t="shared" si="21"/>
        <v>0</v>
      </c>
      <c r="AL21" s="167">
        <f t="shared" si="21"/>
        <v>0</v>
      </c>
      <c r="AM21" s="167">
        <f t="shared" si="21"/>
        <v>0</v>
      </c>
      <c r="AN21" s="167">
        <f t="shared" si="21"/>
        <v>0</v>
      </c>
      <c r="AO21" s="193">
        <f t="shared" ref="AO21" si="22">E21+H21+K21+N21+Q21</f>
        <v>22430</v>
      </c>
      <c r="AP21" s="193">
        <f t="shared" ref="AP21" si="23">F21+I21+L21+O21+R21</f>
        <v>361920</v>
      </c>
      <c r="AQ21" s="193">
        <f t="shared" ref="AQ21" si="24">G21+J21+M21+P21+S21</f>
        <v>236141.40000000002</v>
      </c>
      <c r="AR21" s="193">
        <f t="shared" ref="AR21" si="25">AQ21/5</f>
        <v>47228.280000000006</v>
      </c>
      <c r="AS21" s="194">
        <f t="shared" si="8"/>
        <v>100</v>
      </c>
      <c r="AT21" s="196"/>
    </row>
  </sheetData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6C5C-3611-4383-AE0F-EA95D6309F81}">
  <sheetPr>
    <tabColor rgb="FFFF0000"/>
  </sheetPr>
  <dimension ref="A1:AT23"/>
  <sheetViews>
    <sheetView workbookViewId="0">
      <pane xSplit="4" ySplit="4" topLeftCell="K15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23"/>
    </sheetView>
  </sheetViews>
  <sheetFormatPr defaultColWidth="9.109375" defaultRowHeight="13.8"/>
  <cols>
    <col min="1" max="1" width="7.109375" style="162" customWidth="1"/>
    <col min="2" max="2" width="30.33203125" style="162" customWidth="1"/>
    <col min="3" max="4" width="9.109375" style="162"/>
    <col min="5" max="5" width="9.5546875" style="162" bestFit="1" customWidth="1"/>
    <col min="6" max="7" width="10.5546875" style="162" bestFit="1" customWidth="1"/>
    <col min="8" max="12" width="9.33203125" style="162" bestFit="1" customWidth="1"/>
    <col min="13" max="13" width="9.5546875" style="162" bestFit="1" customWidth="1"/>
    <col min="14" max="15" width="9.33203125" style="162" bestFit="1" customWidth="1"/>
    <col min="16" max="16" width="9.5546875" style="162" bestFit="1" customWidth="1"/>
    <col min="17" max="18" width="9.33203125" style="162" bestFit="1" customWidth="1"/>
    <col min="19" max="19" width="9.554687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6" ht="43.5" customHeight="1">
      <c r="B1" s="148" t="s">
        <v>134</v>
      </c>
      <c r="C1" s="149"/>
      <c r="D1" s="149"/>
    </row>
    <row r="2" spans="1:46" ht="35.25" customHeight="1"/>
    <row r="3" spans="1:46" ht="58.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65" t="s">
        <v>115</v>
      </c>
      <c r="F3" s="965"/>
      <c r="G3" s="965"/>
      <c r="H3" s="965" t="s">
        <v>116</v>
      </c>
      <c r="I3" s="965"/>
      <c r="J3" s="965"/>
      <c r="K3" s="965" t="s">
        <v>117</v>
      </c>
      <c r="L3" s="965"/>
      <c r="M3" s="965"/>
      <c r="N3" s="965" t="s">
        <v>118</v>
      </c>
      <c r="O3" s="965"/>
      <c r="P3" s="965"/>
      <c r="Q3" s="965" t="s">
        <v>119</v>
      </c>
      <c r="R3" s="965"/>
      <c r="S3" s="965"/>
      <c r="T3" s="965" t="s">
        <v>120</v>
      </c>
      <c r="U3" s="965"/>
      <c r="V3" s="965"/>
      <c r="W3" s="965" t="s">
        <v>121</v>
      </c>
      <c r="X3" s="965"/>
      <c r="Y3" s="965"/>
      <c r="Z3" s="965" t="s">
        <v>122</v>
      </c>
      <c r="AA3" s="965"/>
      <c r="AB3" s="965"/>
      <c r="AC3" s="965" t="s">
        <v>123</v>
      </c>
      <c r="AD3" s="965"/>
      <c r="AE3" s="965"/>
      <c r="AF3" s="965" t="s">
        <v>92</v>
      </c>
      <c r="AG3" s="965"/>
      <c r="AH3" s="965"/>
      <c r="AI3" s="965" t="s">
        <v>93</v>
      </c>
      <c r="AJ3" s="965"/>
      <c r="AK3" s="965"/>
      <c r="AL3" s="965" t="s">
        <v>94</v>
      </c>
      <c r="AM3" s="965"/>
      <c r="AN3" s="965"/>
      <c r="AO3" s="963" t="s">
        <v>140</v>
      </c>
      <c r="AP3" s="963"/>
      <c r="AQ3" s="963"/>
      <c r="AR3" s="175" t="s">
        <v>95</v>
      </c>
      <c r="AS3" s="181" t="s">
        <v>67</v>
      </c>
    </row>
    <row r="4" spans="1:46" ht="39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5" t="s">
        <v>141</v>
      </c>
      <c r="AP4" s="175" t="s">
        <v>142</v>
      </c>
      <c r="AQ4" s="175" t="s">
        <v>97</v>
      </c>
      <c r="AR4" s="175" t="s">
        <v>97</v>
      </c>
      <c r="AS4" s="175" t="s">
        <v>97</v>
      </c>
    </row>
    <row r="5" spans="1:46" ht="20.399999999999999">
      <c r="A5" s="152">
        <v>1</v>
      </c>
      <c r="B5" s="151" t="s">
        <v>13</v>
      </c>
      <c r="C5" s="151">
        <v>0.7</v>
      </c>
      <c r="D5" s="151" t="s">
        <v>15</v>
      </c>
      <c r="E5" s="151">
        <v>25</v>
      </c>
      <c r="F5" s="151">
        <v>300</v>
      </c>
      <c r="G5" s="151">
        <v>210</v>
      </c>
      <c r="H5" s="151"/>
      <c r="I5" s="151"/>
      <c r="J5" s="168">
        <f>I5*$C5</f>
        <v>0</v>
      </c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93">
        <f>E5+H5+K5+N5+Q5</f>
        <v>25</v>
      </c>
      <c r="AP5" s="193">
        <f t="shared" ref="AP5:AQ5" si="0">F5+I5+L5+O5+R5</f>
        <v>300</v>
      </c>
      <c r="AQ5" s="193">
        <f t="shared" si="0"/>
        <v>210</v>
      </c>
      <c r="AR5" s="193">
        <f>AQ5/5</f>
        <v>42</v>
      </c>
      <c r="AS5" s="194">
        <f>AR5/$AR$23%</f>
        <v>0.25053411487251631</v>
      </c>
    </row>
    <row r="6" spans="1:46" ht="20.399999999999999">
      <c r="A6" s="152">
        <v>2</v>
      </c>
      <c r="B6" s="151" t="s">
        <v>125</v>
      </c>
      <c r="C6" s="151">
        <v>0.64</v>
      </c>
      <c r="D6" s="151" t="s">
        <v>20</v>
      </c>
      <c r="E6" s="151">
        <v>227</v>
      </c>
      <c r="F6" s="151">
        <v>3178</v>
      </c>
      <c r="G6" s="151">
        <v>2033.92</v>
      </c>
      <c r="H6" s="151">
        <v>452</v>
      </c>
      <c r="I6" s="151">
        <v>6328</v>
      </c>
      <c r="J6" s="168">
        <f t="shared" ref="J6:J16" si="1">I6*$C6</f>
        <v>4049.92</v>
      </c>
      <c r="K6" s="151">
        <v>280</v>
      </c>
      <c r="L6" s="151">
        <v>3920</v>
      </c>
      <c r="M6" s="169">
        <f>L6*$C6</f>
        <v>2508.8000000000002</v>
      </c>
      <c r="N6" s="151">
        <v>290</v>
      </c>
      <c r="O6" s="151">
        <v>4060</v>
      </c>
      <c r="P6" s="169">
        <f>O6*$C6</f>
        <v>2598.4</v>
      </c>
      <c r="Q6" s="151">
        <v>420</v>
      </c>
      <c r="R6" s="151">
        <v>5880</v>
      </c>
      <c r="S6" s="169">
        <f>R6*$C6</f>
        <v>3763.2000000000003</v>
      </c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93">
        <f t="shared" ref="AO6:AO16" si="2">E6+H6+K6+N6+Q6</f>
        <v>1669</v>
      </c>
      <c r="AP6" s="193">
        <f t="shared" ref="AP6:AP16" si="3">F6+I6+L6+O6+R6</f>
        <v>23366</v>
      </c>
      <c r="AQ6" s="193">
        <f t="shared" ref="AQ6:AQ16" si="4">G6+J6+M6+P6+S6</f>
        <v>14954.24</v>
      </c>
      <c r="AR6" s="193">
        <f t="shared" ref="AR6:AR16" si="5">AQ6/5</f>
        <v>2990.848</v>
      </c>
      <c r="AS6" s="194">
        <f t="shared" ref="AS6:AS23" si="6">AR6/$AR$23%</f>
        <v>17.840701342815134</v>
      </c>
      <c r="AT6" s="162">
        <v>2</v>
      </c>
    </row>
    <row r="7" spans="1:46" ht="20.399999999999999">
      <c r="A7" s="152">
        <v>3</v>
      </c>
      <c r="B7" s="151" t="s">
        <v>21</v>
      </c>
      <c r="C7" s="151">
        <v>1</v>
      </c>
      <c r="D7" s="151" t="s">
        <v>15</v>
      </c>
      <c r="E7" s="151"/>
      <c r="F7" s="151"/>
      <c r="G7" s="151"/>
      <c r="H7" s="151">
        <v>30</v>
      </c>
      <c r="I7" s="151">
        <v>360</v>
      </c>
      <c r="J7" s="168">
        <f t="shared" si="1"/>
        <v>360</v>
      </c>
      <c r="K7" s="151"/>
      <c r="L7" s="151"/>
      <c r="M7" s="169">
        <f t="shared" ref="M7:M17" si="7">L7*$C7</f>
        <v>0</v>
      </c>
      <c r="N7" s="151">
        <v>50</v>
      </c>
      <c r="O7" s="151">
        <v>600</v>
      </c>
      <c r="P7" s="169">
        <f t="shared" ref="P7:P17" si="8">O7*$C7</f>
        <v>600</v>
      </c>
      <c r="Q7" s="151"/>
      <c r="R7" s="151"/>
      <c r="S7" s="169">
        <f t="shared" ref="S7:S17" si="9">R7*$C7</f>
        <v>0</v>
      </c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93">
        <f t="shared" si="2"/>
        <v>80</v>
      </c>
      <c r="AP7" s="193">
        <f t="shared" si="3"/>
        <v>960</v>
      </c>
      <c r="AQ7" s="193">
        <f t="shared" si="4"/>
        <v>960</v>
      </c>
      <c r="AR7" s="193">
        <f t="shared" si="5"/>
        <v>192</v>
      </c>
      <c r="AS7" s="194">
        <f t="shared" si="6"/>
        <v>1.1452988108457889</v>
      </c>
    </row>
    <row r="8" spans="1:46" ht="20.399999999999999">
      <c r="A8" s="152">
        <v>4</v>
      </c>
      <c r="B8" s="151" t="s">
        <v>23</v>
      </c>
      <c r="C8" s="151">
        <v>0.64</v>
      </c>
      <c r="D8" s="151" t="s">
        <v>20</v>
      </c>
      <c r="E8" s="151">
        <v>50</v>
      </c>
      <c r="F8" s="151">
        <v>700</v>
      </c>
      <c r="G8" s="151">
        <v>448</v>
      </c>
      <c r="H8" s="151"/>
      <c r="I8" s="151"/>
      <c r="J8" s="168">
        <f t="shared" si="1"/>
        <v>0</v>
      </c>
      <c r="K8" s="151">
        <v>50</v>
      </c>
      <c r="L8" s="151">
        <v>700</v>
      </c>
      <c r="M8" s="169">
        <f t="shared" si="7"/>
        <v>448</v>
      </c>
      <c r="N8" s="151">
        <v>5</v>
      </c>
      <c r="O8" s="151">
        <v>70</v>
      </c>
      <c r="P8" s="169">
        <f t="shared" si="8"/>
        <v>44.800000000000004</v>
      </c>
      <c r="Q8" s="151"/>
      <c r="R8" s="151"/>
      <c r="S8" s="169">
        <f t="shared" si="9"/>
        <v>0</v>
      </c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93">
        <f t="shared" si="2"/>
        <v>105</v>
      </c>
      <c r="AP8" s="193">
        <f t="shared" si="3"/>
        <v>1470</v>
      </c>
      <c r="AQ8" s="193">
        <f t="shared" si="4"/>
        <v>940.8</v>
      </c>
      <c r="AR8" s="193">
        <f t="shared" si="5"/>
        <v>188.16</v>
      </c>
      <c r="AS8" s="194">
        <f t="shared" si="6"/>
        <v>1.122392834628873</v>
      </c>
    </row>
    <row r="9" spans="1:46" ht="20.399999999999999">
      <c r="A9" s="152">
        <v>5</v>
      </c>
      <c r="B9" s="151" t="s">
        <v>24</v>
      </c>
      <c r="C9" s="151">
        <v>1</v>
      </c>
      <c r="D9" s="151" t="s">
        <v>15</v>
      </c>
      <c r="E9" s="151"/>
      <c r="F9" s="151"/>
      <c r="G9" s="151"/>
      <c r="H9" s="151"/>
      <c r="I9" s="151"/>
      <c r="J9" s="168">
        <f t="shared" si="1"/>
        <v>0</v>
      </c>
      <c r="K9" s="151">
        <v>250</v>
      </c>
      <c r="L9" s="151">
        <v>6000</v>
      </c>
      <c r="M9" s="169">
        <f t="shared" si="7"/>
        <v>6000</v>
      </c>
      <c r="N9" s="151">
        <v>6</v>
      </c>
      <c r="O9" s="151">
        <v>144</v>
      </c>
      <c r="P9" s="169">
        <f t="shared" si="8"/>
        <v>144</v>
      </c>
      <c r="Q9" s="151">
        <v>10</v>
      </c>
      <c r="R9" s="151">
        <v>120</v>
      </c>
      <c r="S9" s="169">
        <f t="shared" si="9"/>
        <v>120</v>
      </c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93">
        <f t="shared" si="2"/>
        <v>266</v>
      </c>
      <c r="AP9" s="193">
        <f t="shared" si="3"/>
        <v>6264</v>
      </c>
      <c r="AQ9" s="193">
        <f t="shared" si="4"/>
        <v>6264</v>
      </c>
      <c r="AR9" s="193">
        <f t="shared" si="5"/>
        <v>1252.8</v>
      </c>
      <c r="AS9" s="194">
        <f t="shared" si="6"/>
        <v>7.4730747407687721</v>
      </c>
    </row>
    <row r="10" spans="1:46" ht="20.399999999999999">
      <c r="A10" s="152">
        <v>6</v>
      </c>
      <c r="B10" s="151" t="s">
        <v>25</v>
      </c>
      <c r="C10" s="151">
        <v>0.64</v>
      </c>
      <c r="D10" s="151" t="s">
        <v>20</v>
      </c>
      <c r="E10" s="151">
        <v>667</v>
      </c>
      <c r="F10" s="151">
        <v>9338</v>
      </c>
      <c r="G10" s="151">
        <v>5976.32</v>
      </c>
      <c r="H10" s="151">
        <v>2</v>
      </c>
      <c r="I10" s="151">
        <v>28</v>
      </c>
      <c r="J10" s="168">
        <f t="shared" si="1"/>
        <v>17.920000000000002</v>
      </c>
      <c r="K10" s="151">
        <v>156</v>
      </c>
      <c r="L10" s="151">
        <v>2184</v>
      </c>
      <c r="M10" s="169">
        <f t="shared" si="7"/>
        <v>1397.76</v>
      </c>
      <c r="N10" s="151"/>
      <c r="O10" s="151"/>
      <c r="P10" s="169">
        <f t="shared" si="8"/>
        <v>0</v>
      </c>
      <c r="Q10" s="151">
        <v>1</v>
      </c>
      <c r="R10" s="151">
        <v>14</v>
      </c>
      <c r="S10" s="169">
        <f t="shared" si="9"/>
        <v>8.9600000000000009</v>
      </c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93">
        <f t="shared" si="2"/>
        <v>826</v>
      </c>
      <c r="AP10" s="193">
        <f t="shared" si="3"/>
        <v>11564</v>
      </c>
      <c r="AQ10" s="193">
        <f t="shared" si="4"/>
        <v>7400.96</v>
      </c>
      <c r="AR10" s="193">
        <f t="shared" si="5"/>
        <v>1480.192</v>
      </c>
      <c r="AS10" s="194">
        <f t="shared" si="6"/>
        <v>8.8294902990804687</v>
      </c>
      <c r="AT10" s="162">
        <v>5</v>
      </c>
    </row>
    <row r="11" spans="1:46" ht="20.399999999999999">
      <c r="A11" s="152">
        <v>7</v>
      </c>
      <c r="B11" s="151" t="s">
        <v>27</v>
      </c>
      <c r="C11" s="151">
        <v>0.7</v>
      </c>
      <c r="D11" s="151" t="s">
        <v>15</v>
      </c>
      <c r="E11" s="151">
        <v>1</v>
      </c>
      <c r="F11" s="151">
        <v>12</v>
      </c>
      <c r="G11" s="151">
        <v>8.3999999999999986</v>
      </c>
      <c r="H11" s="151"/>
      <c r="I11" s="151"/>
      <c r="J11" s="168">
        <f t="shared" si="1"/>
        <v>0</v>
      </c>
      <c r="K11" s="151"/>
      <c r="L11" s="151"/>
      <c r="M11" s="169">
        <f t="shared" si="7"/>
        <v>0</v>
      </c>
      <c r="N11" s="151"/>
      <c r="O11" s="151"/>
      <c r="P11" s="169">
        <f t="shared" si="8"/>
        <v>0</v>
      </c>
      <c r="Q11" s="151"/>
      <c r="R11" s="151"/>
      <c r="S11" s="169">
        <f t="shared" si="9"/>
        <v>0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93">
        <f t="shared" si="2"/>
        <v>1</v>
      </c>
      <c r="AP11" s="193">
        <f t="shared" si="3"/>
        <v>12</v>
      </c>
      <c r="AQ11" s="193">
        <f t="shared" si="4"/>
        <v>8.3999999999999986</v>
      </c>
      <c r="AR11" s="193">
        <f t="shared" si="5"/>
        <v>1.6799999999999997</v>
      </c>
      <c r="AS11" s="194">
        <f t="shared" si="6"/>
        <v>1.0021364594900651E-2</v>
      </c>
    </row>
    <row r="12" spans="1:46" ht="20.399999999999999">
      <c r="A12" s="152">
        <v>8</v>
      </c>
      <c r="B12" s="151" t="s">
        <v>28</v>
      </c>
      <c r="C12" s="151">
        <v>0.68</v>
      </c>
      <c r="D12" s="151" t="s">
        <v>15</v>
      </c>
      <c r="E12" s="151"/>
      <c r="F12" s="151"/>
      <c r="G12" s="151"/>
      <c r="H12" s="151"/>
      <c r="I12" s="151"/>
      <c r="J12" s="168">
        <f t="shared" si="1"/>
        <v>0</v>
      </c>
      <c r="K12" s="151"/>
      <c r="L12" s="151"/>
      <c r="M12" s="169">
        <f t="shared" si="7"/>
        <v>0</v>
      </c>
      <c r="N12" s="151"/>
      <c r="O12" s="151"/>
      <c r="P12" s="169">
        <f t="shared" si="8"/>
        <v>0</v>
      </c>
      <c r="Q12" s="151">
        <v>20</v>
      </c>
      <c r="R12" s="151">
        <v>240</v>
      </c>
      <c r="S12" s="169">
        <f t="shared" si="9"/>
        <v>163.20000000000002</v>
      </c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93">
        <f t="shared" si="2"/>
        <v>20</v>
      </c>
      <c r="AP12" s="193">
        <f t="shared" si="3"/>
        <v>240</v>
      </c>
      <c r="AQ12" s="193">
        <f t="shared" si="4"/>
        <v>163.20000000000002</v>
      </c>
      <c r="AR12" s="193">
        <f t="shared" si="5"/>
        <v>32.64</v>
      </c>
      <c r="AS12" s="194">
        <f t="shared" si="6"/>
        <v>0.19470079784378411</v>
      </c>
    </row>
    <row r="13" spans="1:46" ht="20.399999999999999">
      <c r="A13" s="152">
        <v>9</v>
      </c>
      <c r="B13" s="151" t="s">
        <v>27</v>
      </c>
      <c r="C13" s="151">
        <v>0.64</v>
      </c>
      <c r="D13" s="151" t="s">
        <v>20</v>
      </c>
      <c r="E13" s="151"/>
      <c r="F13" s="151"/>
      <c r="G13" s="151"/>
      <c r="H13" s="151"/>
      <c r="I13" s="151"/>
      <c r="J13" s="168">
        <f t="shared" si="1"/>
        <v>0</v>
      </c>
      <c r="K13" s="151">
        <v>50</v>
      </c>
      <c r="L13" s="151">
        <v>700</v>
      </c>
      <c r="M13" s="169">
        <f t="shared" si="7"/>
        <v>448</v>
      </c>
      <c r="N13" s="151"/>
      <c r="O13" s="151"/>
      <c r="P13" s="169">
        <f t="shared" si="8"/>
        <v>0</v>
      </c>
      <c r="Q13" s="151">
        <v>3</v>
      </c>
      <c r="R13" s="151">
        <v>42</v>
      </c>
      <c r="S13" s="169">
        <f t="shared" si="9"/>
        <v>26.88</v>
      </c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93">
        <f t="shared" si="2"/>
        <v>53</v>
      </c>
      <c r="AP13" s="193">
        <f t="shared" si="3"/>
        <v>742</v>
      </c>
      <c r="AQ13" s="193">
        <f t="shared" si="4"/>
        <v>474.88</v>
      </c>
      <c r="AR13" s="193">
        <f t="shared" si="5"/>
        <v>94.975999999999999</v>
      </c>
      <c r="AS13" s="194">
        <f t="shared" si="6"/>
        <v>0.56654114509838349</v>
      </c>
    </row>
    <row r="14" spans="1:46" ht="20.399999999999999">
      <c r="A14" s="152">
        <v>10</v>
      </c>
      <c r="B14" s="151" t="s">
        <v>30</v>
      </c>
      <c r="C14" s="151">
        <v>0.64</v>
      </c>
      <c r="D14" s="151" t="s">
        <v>20</v>
      </c>
      <c r="E14" s="151">
        <v>200</v>
      </c>
      <c r="F14" s="151">
        <v>2800</v>
      </c>
      <c r="G14" s="151">
        <v>1792.0000000000002</v>
      </c>
      <c r="H14" s="151">
        <v>223</v>
      </c>
      <c r="I14" s="151">
        <v>3122</v>
      </c>
      <c r="J14" s="168">
        <f t="shared" si="1"/>
        <v>1998.0800000000002</v>
      </c>
      <c r="K14" s="151">
        <v>410</v>
      </c>
      <c r="L14" s="151">
        <v>5740</v>
      </c>
      <c r="M14" s="169">
        <f t="shared" si="7"/>
        <v>3673.6</v>
      </c>
      <c r="N14" s="151">
        <v>200</v>
      </c>
      <c r="O14" s="151">
        <v>2800</v>
      </c>
      <c r="P14" s="169">
        <f t="shared" si="8"/>
        <v>1792</v>
      </c>
      <c r="Q14" s="151">
        <v>82</v>
      </c>
      <c r="R14" s="151">
        <v>1148</v>
      </c>
      <c r="S14" s="169">
        <f t="shared" si="9"/>
        <v>734.72</v>
      </c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93">
        <f t="shared" si="2"/>
        <v>1115</v>
      </c>
      <c r="AP14" s="193">
        <f t="shared" si="3"/>
        <v>15610</v>
      </c>
      <c r="AQ14" s="193">
        <f t="shared" si="4"/>
        <v>9990.4</v>
      </c>
      <c r="AR14" s="193">
        <f t="shared" si="5"/>
        <v>1998.08</v>
      </c>
      <c r="AS14" s="194">
        <f t="shared" si="6"/>
        <v>11.918742958201841</v>
      </c>
      <c r="AT14" s="162">
        <v>4</v>
      </c>
    </row>
    <row r="15" spans="1:46" ht="20.399999999999999">
      <c r="A15" s="152">
        <v>11</v>
      </c>
      <c r="B15" s="151" t="s">
        <v>62</v>
      </c>
      <c r="C15" s="151">
        <v>0.64</v>
      </c>
      <c r="D15" s="151" t="s">
        <v>20</v>
      </c>
      <c r="E15" s="151">
        <v>500</v>
      </c>
      <c r="F15" s="151">
        <v>7000</v>
      </c>
      <c r="G15" s="151">
        <v>4480</v>
      </c>
      <c r="H15" s="151">
        <v>785</v>
      </c>
      <c r="I15" s="151">
        <v>10990</v>
      </c>
      <c r="J15" s="168">
        <f t="shared" si="1"/>
        <v>7033.6</v>
      </c>
      <c r="K15" s="151">
        <v>525</v>
      </c>
      <c r="L15" s="151">
        <v>7350</v>
      </c>
      <c r="M15" s="169">
        <f t="shared" si="7"/>
        <v>4704</v>
      </c>
      <c r="N15" s="151">
        <v>425</v>
      </c>
      <c r="O15" s="151">
        <v>5950</v>
      </c>
      <c r="P15" s="169">
        <f t="shared" si="8"/>
        <v>3808</v>
      </c>
      <c r="Q15" s="151">
        <v>475</v>
      </c>
      <c r="R15" s="151">
        <v>6650</v>
      </c>
      <c r="S15" s="169">
        <f t="shared" si="9"/>
        <v>4256</v>
      </c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93">
        <f t="shared" si="2"/>
        <v>2710</v>
      </c>
      <c r="AP15" s="193">
        <f t="shared" si="3"/>
        <v>37940</v>
      </c>
      <c r="AQ15" s="193">
        <f t="shared" si="4"/>
        <v>24281.599999999999</v>
      </c>
      <c r="AR15" s="193">
        <f t="shared" si="5"/>
        <v>4856.32</v>
      </c>
      <c r="AS15" s="194">
        <f t="shared" si="6"/>
        <v>28.968424588992818</v>
      </c>
      <c r="AT15" s="162">
        <v>1</v>
      </c>
    </row>
    <row r="16" spans="1:46" ht="20.399999999999999">
      <c r="A16" s="152">
        <v>12</v>
      </c>
      <c r="B16" s="151" t="s">
        <v>32</v>
      </c>
      <c r="C16" s="151">
        <v>0.64</v>
      </c>
      <c r="D16" s="151" t="s">
        <v>20</v>
      </c>
      <c r="E16" s="151">
        <v>1</v>
      </c>
      <c r="F16" s="151">
        <v>14</v>
      </c>
      <c r="G16" s="151">
        <v>8.9600000000000009</v>
      </c>
      <c r="H16" s="151"/>
      <c r="I16" s="151"/>
      <c r="J16" s="168">
        <f t="shared" si="1"/>
        <v>0</v>
      </c>
      <c r="K16" s="151">
        <v>20</v>
      </c>
      <c r="L16" s="151">
        <v>280</v>
      </c>
      <c r="M16" s="169">
        <f t="shared" si="7"/>
        <v>179.20000000000002</v>
      </c>
      <c r="N16" s="151"/>
      <c r="O16" s="151"/>
      <c r="P16" s="169">
        <f t="shared" si="8"/>
        <v>0</v>
      </c>
      <c r="Q16" s="151"/>
      <c r="R16" s="151"/>
      <c r="S16" s="169">
        <f t="shared" si="9"/>
        <v>0</v>
      </c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93">
        <f t="shared" si="2"/>
        <v>21</v>
      </c>
      <c r="AP16" s="193">
        <f t="shared" si="3"/>
        <v>294</v>
      </c>
      <c r="AQ16" s="193">
        <f t="shared" si="4"/>
        <v>188.16000000000003</v>
      </c>
      <c r="AR16" s="193">
        <f t="shared" si="5"/>
        <v>37.632000000000005</v>
      </c>
      <c r="AS16" s="194">
        <f t="shared" si="6"/>
        <v>0.22447856692577464</v>
      </c>
    </row>
    <row r="17" spans="1:46" ht="20.399999999999999">
      <c r="A17" s="152">
        <v>13</v>
      </c>
      <c r="B17" s="151" t="s">
        <v>33</v>
      </c>
      <c r="C17" s="151">
        <v>0.64</v>
      </c>
      <c r="D17" s="151" t="s">
        <v>18</v>
      </c>
      <c r="E17" s="151">
        <v>25</v>
      </c>
      <c r="F17" s="151">
        <v>600</v>
      </c>
      <c r="G17" s="151">
        <v>384</v>
      </c>
      <c r="H17" s="151">
        <v>5</v>
      </c>
      <c r="I17" s="151">
        <v>120</v>
      </c>
      <c r="J17" s="168">
        <f t="shared" ref="J17:J20" si="10">I17*$C17</f>
        <v>76.8</v>
      </c>
      <c r="K17" s="151">
        <v>15</v>
      </c>
      <c r="L17" s="151">
        <v>360</v>
      </c>
      <c r="M17" s="169">
        <f t="shared" si="7"/>
        <v>230.4</v>
      </c>
      <c r="N17" s="151">
        <v>15</v>
      </c>
      <c r="O17" s="151">
        <v>360</v>
      </c>
      <c r="P17" s="169">
        <f t="shared" si="8"/>
        <v>230.4</v>
      </c>
      <c r="Q17" s="151">
        <v>15</v>
      </c>
      <c r="R17" s="151">
        <v>360</v>
      </c>
      <c r="S17" s="169">
        <f t="shared" si="9"/>
        <v>230.4</v>
      </c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93">
        <f t="shared" ref="AO17:AO22" si="11">E17+H17+K17+N17+Q17</f>
        <v>75</v>
      </c>
      <c r="AP17" s="193">
        <f t="shared" ref="AP17:AP22" si="12">F17+I17+L17+O17+R17</f>
        <v>1800</v>
      </c>
      <c r="AQ17" s="193">
        <f t="shared" ref="AQ17:AQ22" si="13">G17+J17+M17+P17+S17</f>
        <v>1152</v>
      </c>
      <c r="AR17" s="193">
        <f t="shared" ref="AR17:AR22" si="14">AQ17/5</f>
        <v>230.4</v>
      </c>
      <c r="AS17" s="194">
        <f t="shared" si="6"/>
        <v>1.3743585730149466</v>
      </c>
    </row>
    <row r="18" spans="1:46" ht="20.399999999999999">
      <c r="A18" s="152">
        <v>14</v>
      </c>
      <c r="B18" s="151" t="s">
        <v>34</v>
      </c>
      <c r="C18" s="151">
        <v>0.6</v>
      </c>
      <c r="D18" s="151" t="s">
        <v>18</v>
      </c>
      <c r="E18" s="151">
        <v>63</v>
      </c>
      <c r="F18" s="151">
        <v>1512</v>
      </c>
      <c r="G18" s="151">
        <v>907.19999999999993</v>
      </c>
      <c r="H18" s="151">
        <v>212</v>
      </c>
      <c r="I18" s="151">
        <v>5091</v>
      </c>
      <c r="J18" s="168">
        <f t="shared" si="10"/>
        <v>3054.6</v>
      </c>
      <c r="K18" s="151">
        <v>64</v>
      </c>
      <c r="L18" s="151">
        <v>1536</v>
      </c>
      <c r="M18" s="169">
        <f t="shared" ref="M18:M21" si="15">L18*$C18</f>
        <v>921.59999999999991</v>
      </c>
      <c r="N18" s="151">
        <v>153</v>
      </c>
      <c r="O18" s="151">
        <v>3672</v>
      </c>
      <c r="P18" s="169">
        <f t="shared" ref="P18:P22" si="16">O18*$C18</f>
        <v>2203.1999999999998</v>
      </c>
      <c r="Q18" s="151">
        <v>261</v>
      </c>
      <c r="R18" s="151">
        <v>6264</v>
      </c>
      <c r="S18" s="169">
        <f t="shared" ref="S18:S22" si="17">R18*$C18</f>
        <v>3758.3999999999996</v>
      </c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93">
        <f t="shared" si="11"/>
        <v>753</v>
      </c>
      <c r="AP18" s="193">
        <f t="shared" si="12"/>
        <v>18075</v>
      </c>
      <c r="AQ18" s="193">
        <f t="shared" si="13"/>
        <v>10845</v>
      </c>
      <c r="AR18" s="193">
        <f t="shared" si="14"/>
        <v>2169</v>
      </c>
      <c r="AS18" s="194">
        <f t="shared" si="6"/>
        <v>12.938297503773521</v>
      </c>
      <c r="AT18" s="162">
        <v>3</v>
      </c>
    </row>
    <row r="19" spans="1:46" ht="20.399999999999999">
      <c r="A19" s="152">
        <v>15</v>
      </c>
      <c r="B19" s="151" t="s">
        <v>36</v>
      </c>
      <c r="C19" s="151">
        <v>1</v>
      </c>
      <c r="D19" s="151" t="s">
        <v>15</v>
      </c>
      <c r="E19" s="151">
        <v>67</v>
      </c>
      <c r="F19" s="151">
        <v>812</v>
      </c>
      <c r="G19" s="151">
        <v>812</v>
      </c>
      <c r="H19" s="151">
        <v>53</v>
      </c>
      <c r="I19" s="151">
        <v>647</v>
      </c>
      <c r="J19" s="168">
        <f t="shared" si="10"/>
        <v>647</v>
      </c>
      <c r="K19" s="151">
        <v>14</v>
      </c>
      <c r="L19" s="151">
        <v>168</v>
      </c>
      <c r="M19" s="169">
        <f t="shared" si="15"/>
        <v>168</v>
      </c>
      <c r="N19" s="151">
        <v>56</v>
      </c>
      <c r="O19" s="151">
        <v>672</v>
      </c>
      <c r="P19" s="169">
        <f t="shared" si="16"/>
        <v>672</v>
      </c>
      <c r="Q19" s="151">
        <v>59</v>
      </c>
      <c r="R19" s="151">
        <v>708</v>
      </c>
      <c r="S19" s="169">
        <f t="shared" si="17"/>
        <v>708</v>
      </c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93">
        <f t="shared" si="11"/>
        <v>249</v>
      </c>
      <c r="AP19" s="193">
        <f t="shared" si="12"/>
        <v>3007</v>
      </c>
      <c r="AQ19" s="193">
        <f t="shared" si="13"/>
        <v>3007</v>
      </c>
      <c r="AR19" s="193">
        <f t="shared" si="14"/>
        <v>601.4</v>
      </c>
      <c r="AS19" s="194">
        <f t="shared" si="6"/>
        <v>3.587409921055507</v>
      </c>
    </row>
    <row r="20" spans="1:46" ht="20.399999999999999">
      <c r="A20" s="152">
        <v>16</v>
      </c>
      <c r="B20" s="151" t="s">
        <v>37</v>
      </c>
      <c r="C20" s="151">
        <v>0.6</v>
      </c>
      <c r="D20" s="151" t="s">
        <v>18</v>
      </c>
      <c r="E20" s="151">
        <v>22</v>
      </c>
      <c r="F20" s="151">
        <v>540</v>
      </c>
      <c r="G20" s="151">
        <v>324</v>
      </c>
      <c r="H20" s="151">
        <v>36</v>
      </c>
      <c r="I20" s="151">
        <v>873</v>
      </c>
      <c r="J20" s="168">
        <f t="shared" si="10"/>
        <v>523.79999999999995</v>
      </c>
      <c r="K20" s="151">
        <v>7</v>
      </c>
      <c r="L20" s="151">
        <v>168</v>
      </c>
      <c r="M20" s="169">
        <f t="shared" si="15"/>
        <v>100.8</v>
      </c>
      <c r="N20" s="151">
        <v>50</v>
      </c>
      <c r="O20" s="151">
        <v>1200</v>
      </c>
      <c r="P20" s="169">
        <f t="shared" si="16"/>
        <v>720</v>
      </c>
      <c r="Q20" s="151">
        <v>11</v>
      </c>
      <c r="R20" s="151">
        <v>264</v>
      </c>
      <c r="S20" s="169">
        <f t="shared" si="17"/>
        <v>158.4</v>
      </c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93">
        <f t="shared" si="11"/>
        <v>126</v>
      </c>
      <c r="AP20" s="193">
        <f t="shared" si="12"/>
        <v>3045</v>
      </c>
      <c r="AQ20" s="193">
        <f t="shared" si="13"/>
        <v>1827</v>
      </c>
      <c r="AR20" s="193">
        <f t="shared" si="14"/>
        <v>365.4</v>
      </c>
      <c r="AS20" s="194">
        <f t="shared" si="6"/>
        <v>2.1796467993908917</v>
      </c>
    </row>
    <row r="21" spans="1:46" ht="20.399999999999999">
      <c r="A21" s="152">
        <v>17</v>
      </c>
      <c r="B21" s="151" t="s">
        <v>40</v>
      </c>
      <c r="C21" s="151">
        <v>0.64</v>
      </c>
      <c r="D21" s="151" t="s">
        <v>18</v>
      </c>
      <c r="E21" s="151">
        <v>6</v>
      </c>
      <c r="F21" s="151">
        <v>144</v>
      </c>
      <c r="G21" s="151">
        <v>92.16</v>
      </c>
      <c r="H21" s="151">
        <v>9</v>
      </c>
      <c r="I21" s="151">
        <v>216</v>
      </c>
      <c r="J21" s="168">
        <v>138.24</v>
      </c>
      <c r="K21" s="151">
        <v>5</v>
      </c>
      <c r="L21" s="151">
        <v>120</v>
      </c>
      <c r="M21" s="169">
        <f t="shared" si="15"/>
        <v>76.8</v>
      </c>
      <c r="N21" s="151"/>
      <c r="O21" s="151"/>
      <c r="P21" s="169">
        <f t="shared" si="16"/>
        <v>0</v>
      </c>
      <c r="Q21" s="151">
        <v>23</v>
      </c>
      <c r="R21" s="151">
        <v>552</v>
      </c>
      <c r="S21" s="169">
        <f t="shared" si="17"/>
        <v>353.28000000000003</v>
      </c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93">
        <f t="shared" si="11"/>
        <v>43</v>
      </c>
      <c r="AP21" s="193">
        <f t="shared" si="12"/>
        <v>1032</v>
      </c>
      <c r="AQ21" s="193">
        <f t="shared" si="13"/>
        <v>660.48</v>
      </c>
      <c r="AR21" s="193">
        <f t="shared" si="14"/>
        <v>132.096</v>
      </c>
      <c r="AS21" s="194">
        <f t="shared" si="6"/>
        <v>0.7879655818619028</v>
      </c>
    </row>
    <row r="22" spans="1:46" ht="20.399999999999999">
      <c r="A22" s="152">
        <v>18</v>
      </c>
      <c r="B22" s="151" t="s">
        <v>64</v>
      </c>
      <c r="C22" s="151">
        <v>0.64</v>
      </c>
      <c r="D22" s="151"/>
      <c r="E22" s="151"/>
      <c r="F22" s="151"/>
      <c r="G22" s="151"/>
      <c r="H22" s="151"/>
      <c r="I22" s="151"/>
      <c r="J22" s="168"/>
      <c r="K22" s="151"/>
      <c r="L22" s="151"/>
      <c r="M22" s="169"/>
      <c r="N22" s="151">
        <v>15</v>
      </c>
      <c r="O22" s="151">
        <v>210</v>
      </c>
      <c r="P22" s="169">
        <f t="shared" si="16"/>
        <v>134.4</v>
      </c>
      <c r="Q22" s="151">
        <v>40</v>
      </c>
      <c r="R22" s="151">
        <v>560</v>
      </c>
      <c r="S22" s="169">
        <f t="shared" si="17"/>
        <v>358.40000000000003</v>
      </c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93">
        <f t="shared" si="11"/>
        <v>55</v>
      </c>
      <c r="AP22" s="193">
        <f t="shared" si="12"/>
        <v>770</v>
      </c>
      <c r="AQ22" s="193">
        <f t="shared" si="13"/>
        <v>492.80000000000007</v>
      </c>
      <c r="AR22" s="193">
        <f t="shared" si="14"/>
        <v>98.560000000000016</v>
      </c>
      <c r="AS22" s="194">
        <f t="shared" si="6"/>
        <v>0.58792005623417165</v>
      </c>
    </row>
    <row r="23" spans="1:46" ht="24.75" customHeight="1">
      <c r="A23" s="151"/>
      <c r="B23" s="151" t="s">
        <v>128</v>
      </c>
      <c r="C23" s="151"/>
      <c r="D23" s="151"/>
      <c r="E23" s="170">
        <f t="shared" ref="E23:AN23" si="18">SUM(E5:E22)</f>
        <v>1854</v>
      </c>
      <c r="F23" s="170">
        <f t="shared" si="18"/>
        <v>26950</v>
      </c>
      <c r="G23" s="170">
        <f t="shared" si="18"/>
        <v>17476.96</v>
      </c>
      <c r="H23" s="170">
        <f t="shared" si="18"/>
        <v>1807</v>
      </c>
      <c r="I23" s="170">
        <f t="shared" si="18"/>
        <v>27775</v>
      </c>
      <c r="J23" s="170">
        <f t="shared" si="18"/>
        <v>17899.96</v>
      </c>
      <c r="K23" s="170">
        <f t="shared" si="18"/>
        <v>1846</v>
      </c>
      <c r="L23" s="170">
        <f t="shared" si="18"/>
        <v>29226</v>
      </c>
      <c r="M23" s="170">
        <f t="shared" si="18"/>
        <v>20856.96</v>
      </c>
      <c r="N23" s="170">
        <f t="shared" si="18"/>
        <v>1265</v>
      </c>
      <c r="O23" s="170">
        <f t="shared" si="18"/>
        <v>19738</v>
      </c>
      <c r="P23" s="170">
        <f t="shared" si="18"/>
        <v>12947.199999999999</v>
      </c>
      <c r="Q23" s="170">
        <f t="shared" si="18"/>
        <v>1420</v>
      </c>
      <c r="R23" s="170">
        <f t="shared" si="18"/>
        <v>22802</v>
      </c>
      <c r="S23" s="170">
        <f t="shared" si="18"/>
        <v>14639.839999999998</v>
      </c>
      <c r="T23" s="170">
        <f t="shared" si="18"/>
        <v>0</v>
      </c>
      <c r="U23" s="170">
        <f t="shared" si="18"/>
        <v>0</v>
      </c>
      <c r="V23" s="170">
        <f t="shared" si="18"/>
        <v>0</v>
      </c>
      <c r="W23" s="170">
        <f t="shared" si="18"/>
        <v>0</v>
      </c>
      <c r="X23" s="170">
        <f t="shared" si="18"/>
        <v>0</v>
      </c>
      <c r="Y23" s="170">
        <f t="shared" si="18"/>
        <v>0</v>
      </c>
      <c r="Z23" s="170">
        <f t="shared" si="18"/>
        <v>0</v>
      </c>
      <c r="AA23" s="170">
        <f t="shared" si="18"/>
        <v>0</v>
      </c>
      <c r="AB23" s="170">
        <f t="shared" si="18"/>
        <v>0</v>
      </c>
      <c r="AC23" s="170">
        <f t="shared" si="18"/>
        <v>0</v>
      </c>
      <c r="AD23" s="170">
        <f t="shared" si="18"/>
        <v>0</v>
      </c>
      <c r="AE23" s="170">
        <f t="shared" si="18"/>
        <v>0</v>
      </c>
      <c r="AF23" s="170">
        <f t="shared" si="18"/>
        <v>0</v>
      </c>
      <c r="AG23" s="170">
        <f t="shared" si="18"/>
        <v>0</v>
      </c>
      <c r="AH23" s="170">
        <f t="shared" si="18"/>
        <v>0</v>
      </c>
      <c r="AI23" s="170">
        <f t="shared" si="18"/>
        <v>0</v>
      </c>
      <c r="AJ23" s="170">
        <f t="shared" si="18"/>
        <v>0</v>
      </c>
      <c r="AK23" s="170">
        <f t="shared" si="18"/>
        <v>0</v>
      </c>
      <c r="AL23" s="170">
        <f t="shared" si="18"/>
        <v>0</v>
      </c>
      <c r="AM23" s="170">
        <f t="shared" si="18"/>
        <v>0</v>
      </c>
      <c r="AN23" s="170">
        <f t="shared" si="18"/>
        <v>0</v>
      </c>
      <c r="AO23" s="193">
        <f t="shared" ref="AO23" si="19">E23+H23+K23+N23+Q23</f>
        <v>8192</v>
      </c>
      <c r="AP23" s="193">
        <f t="shared" ref="AP23" si="20">F23+I23+L23+O23+R23</f>
        <v>126491</v>
      </c>
      <c r="AQ23" s="193">
        <f t="shared" ref="AQ23" si="21">G23+J23+M23+P23+S23</f>
        <v>83820.92</v>
      </c>
      <c r="AR23" s="193">
        <f t="shared" ref="AR23" si="22">AQ23/5</f>
        <v>16764.184000000001</v>
      </c>
      <c r="AS23" s="194">
        <f t="shared" si="6"/>
        <v>100</v>
      </c>
    </row>
  </sheetData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CE3E-65EF-4769-9E9A-4EBC57119718}">
  <sheetPr>
    <tabColor rgb="FFFF0000"/>
  </sheetPr>
  <dimension ref="A1:AT24"/>
  <sheetViews>
    <sheetView workbookViewId="0">
      <pane xSplit="4" ySplit="4" topLeftCell="K16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24"/>
    </sheetView>
  </sheetViews>
  <sheetFormatPr defaultColWidth="9.109375" defaultRowHeight="13.8"/>
  <cols>
    <col min="1" max="1" width="6.33203125" style="162" customWidth="1"/>
    <col min="2" max="2" width="29.5546875" style="162" customWidth="1"/>
    <col min="3" max="4" width="9.109375" style="162"/>
    <col min="5" max="5" width="9.5546875" style="162" customWidth="1"/>
    <col min="6" max="6" width="11.5546875" style="162" customWidth="1"/>
    <col min="7" max="7" width="10.5546875" style="162" customWidth="1"/>
    <col min="8" max="12" width="9.33203125" style="162" bestFit="1" customWidth="1"/>
    <col min="13" max="13" width="12" style="162" customWidth="1"/>
    <col min="14" max="15" width="9.33203125" style="162" bestFit="1" customWidth="1"/>
    <col min="16" max="16" width="10.5546875" style="162" bestFit="1" customWidth="1"/>
    <col min="17" max="18" width="9.33203125" style="162" bestFit="1" customWidth="1"/>
    <col min="19" max="19" width="10.554687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6" ht="45.75" customHeight="1">
      <c r="B1" s="148" t="s">
        <v>135</v>
      </c>
      <c r="C1" s="149"/>
      <c r="D1" s="149"/>
    </row>
    <row r="3" spans="1:46" ht="49.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66" t="s">
        <v>115</v>
      </c>
      <c r="F3" s="967"/>
      <c r="G3" s="968"/>
      <c r="H3" s="966" t="s">
        <v>116</v>
      </c>
      <c r="I3" s="967"/>
      <c r="J3" s="968"/>
      <c r="K3" s="966" t="s">
        <v>117</v>
      </c>
      <c r="L3" s="967"/>
      <c r="M3" s="968"/>
      <c r="N3" s="966" t="s">
        <v>118</v>
      </c>
      <c r="O3" s="967"/>
      <c r="P3" s="968"/>
      <c r="Q3" s="966" t="s">
        <v>119</v>
      </c>
      <c r="R3" s="967"/>
      <c r="S3" s="968"/>
      <c r="T3" s="966" t="s">
        <v>120</v>
      </c>
      <c r="U3" s="967"/>
      <c r="V3" s="968"/>
      <c r="W3" s="966" t="s">
        <v>121</v>
      </c>
      <c r="X3" s="967"/>
      <c r="Y3" s="968"/>
      <c r="Z3" s="966" t="s">
        <v>122</v>
      </c>
      <c r="AA3" s="967"/>
      <c r="AB3" s="968"/>
      <c r="AC3" s="966" t="s">
        <v>123</v>
      </c>
      <c r="AD3" s="967"/>
      <c r="AE3" s="968"/>
      <c r="AF3" s="966" t="s">
        <v>92</v>
      </c>
      <c r="AG3" s="967"/>
      <c r="AH3" s="968"/>
      <c r="AI3" s="966" t="s">
        <v>93</v>
      </c>
      <c r="AJ3" s="967"/>
      <c r="AK3" s="968"/>
      <c r="AL3" s="965" t="s">
        <v>94</v>
      </c>
      <c r="AM3" s="965"/>
      <c r="AN3" s="965"/>
      <c r="AO3" s="963" t="s">
        <v>140</v>
      </c>
      <c r="AP3" s="963"/>
      <c r="AQ3" s="963"/>
      <c r="AR3" s="180" t="s">
        <v>95</v>
      </c>
      <c r="AS3" s="181" t="s">
        <v>67</v>
      </c>
    </row>
    <row r="4" spans="1:46" ht="46.5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6" t="s">
        <v>141</v>
      </c>
      <c r="AP4" s="176" t="s">
        <v>142</v>
      </c>
      <c r="AQ4" s="176" t="s">
        <v>97</v>
      </c>
      <c r="AR4" s="192" t="s">
        <v>97</v>
      </c>
      <c r="AS4" s="192" t="s">
        <v>97</v>
      </c>
    </row>
    <row r="5" spans="1:46" ht="20.399999999999999">
      <c r="A5" s="152">
        <v>1</v>
      </c>
      <c r="B5" s="151" t="s">
        <v>13</v>
      </c>
      <c r="C5" s="151">
        <v>0.7</v>
      </c>
      <c r="D5" s="151" t="s">
        <v>15</v>
      </c>
      <c r="E5" s="151">
        <v>25</v>
      </c>
      <c r="F5" s="151">
        <v>300</v>
      </c>
      <c r="G5" s="151">
        <v>210</v>
      </c>
      <c r="H5" s="151"/>
      <c r="I5" s="151"/>
      <c r="J5" s="168">
        <f>I5*$C5</f>
        <v>0</v>
      </c>
      <c r="K5" s="151">
        <v>30</v>
      </c>
      <c r="L5" s="151">
        <v>360</v>
      </c>
      <c r="M5" s="169">
        <f>L5*$C5</f>
        <v>251.99999999999997</v>
      </c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87">
        <f>E5+H5+K5+N5+Q5</f>
        <v>55</v>
      </c>
      <c r="AP5" s="187">
        <f t="shared" ref="AP5:AQ5" si="0">F5+I5+L5+O5+R5</f>
        <v>660</v>
      </c>
      <c r="AQ5" s="187">
        <f t="shared" si="0"/>
        <v>462</v>
      </c>
      <c r="AR5" s="187">
        <f>AQ5/5</f>
        <v>92.4</v>
      </c>
      <c r="AS5" s="188">
        <f>AR5/$AR$24%</f>
        <v>0.10925848865144849</v>
      </c>
    </row>
    <row r="6" spans="1:46" ht="20.399999999999999">
      <c r="A6" s="152">
        <v>2</v>
      </c>
      <c r="B6" s="151" t="s">
        <v>125</v>
      </c>
      <c r="C6" s="151">
        <v>0.64</v>
      </c>
      <c r="D6" s="151" t="s">
        <v>20</v>
      </c>
      <c r="E6" s="151">
        <v>4845</v>
      </c>
      <c r="F6" s="151">
        <v>67830</v>
      </c>
      <c r="G6" s="151">
        <v>43411.199999999997</v>
      </c>
      <c r="H6" s="151">
        <v>4575</v>
      </c>
      <c r="I6" s="151">
        <v>64050</v>
      </c>
      <c r="J6" s="168">
        <f t="shared" ref="J6:J15" si="1">I6*$C6</f>
        <v>40992</v>
      </c>
      <c r="K6" s="151">
        <v>4448</v>
      </c>
      <c r="L6" s="151">
        <v>62272</v>
      </c>
      <c r="M6" s="169">
        <f t="shared" ref="M6:M15" si="2">L6*$C6</f>
        <v>39854.080000000002</v>
      </c>
      <c r="N6" s="151">
        <v>5325</v>
      </c>
      <c r="O6" s="151">
        <v>74550</v>
      </c>
      <c r="P6" s="169">
        <f>O6*$C6</f>
        <v>47712</v>
      </c>
      <c r="Q6" s="151">
        <v>4795</v>
      </c>
      <c r="R6" s="151">
        <v>67130</v>
      </c>
      <c r="S6" s="169">
        <f>R6*$C6</f>
        <v>42963.200000000004</v>
      </c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87">
        <f t="shared" ref="AO6:AO15" si="3">E6+H6+K6+N6+Q6</f>
        <v>23988</v>
      </c>
      <c r="AP6" s="187">
        <f t="shared" ref="AP6:AP15" si="4">F6+I6+L6+O6+R6</f>
        <v>335832</v>
      </c>
      <c r="AQ6" s="187">
        <f t="shared" ref="AQ6:AQ15" si="5">G6+J6+M6+P6+S6</f>
        <v>214932.48000000001</v>
      </c>
      <c r="AR6" s="187">
        <f t="shared" ref="AR6:AR15" si="6">AQ6/5</f>
        <v>42986.495999999999</v>
      </c>
      <c r="AS6" s="188">
        <f t="shared" ref="AS6:AS24" si="7">AR6/$AR$24%</f>
        <v>50.829432742224412</v>
      </c>
      <c r="AT6" s="162">
        <v>1</v>
      </c>
    </row>
    <row r="7" spans="1:46" ht="20.399999999999999">
      <c r="A7" s="152">
        <v>3</v>
      </c>
      <c r="B7" s="151" t="s">
        <v>21</v>
      </c>
      <c r="C7" s="151">
        <v>1</v>
      </c>
      <c r="D7" s="151" t="s">
        <v>15</v>
      </c>
      <c r="E7" s="151">
        <v>761</v>
      </c>
      <c r="F7" s="151">
        <v>9132</v>
      </c>
      <c r="G7" s="151">
        <v>9132</v>
      </c>
      <c r="H7" s="151">
        <v>72</v>
      </c>
      <c r="I7" s="151">
        <v>870</v>
      </c>
      <c r="J7" s="168">
        <v>870</v>
      </c>
      <c r="K7" s="151">
        <v>872</v>
      </c>
      <c r="L7" s="151">
        <v>10464</v>
      </c>
      <c r="M7" s="169">
        <f t="shared" si="2"/>
        <v>10464</v>
      </c>
      <c r="N7" s="151">
        <v>100</v>
      </c>
      <c r="O7" s="151">
        <v>1200</v>
      </c>
      <c r="P7" s="169">
        <f t="shared" ref="P7:P15" si="8">O7*$C7</f>
        <v>1200</v>
      </c>
      <c r="Q7" s="151">
        <v>415</v>
      </c>
      <c r="R7" s="151">
        <v>4980</v>
      </c>
      <c r="S7" s="169">
        <f t="shared" ref="S7:S15" si="9">R7*$C7</f>
        <v>4980</v>
      </c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87">
        <f t="shared" si="3"/>
        <v>2220</v>
      </c>
      <c r="AP7" s="187">
        <f t="shared" si="4"/>
        <v>26646</v>
      </c>
      <c r="AQ7" s="187">
        <f t="shared" si="5"/>
        <v>26646</v>
      </c>
      <c r="AR7" s="187">
        <f t="shared" si="6"/>
        <v>5329.2</v>
      </c>
      <c r="AS7" s="188">
        <f t="shared" si="7"/>
        <v>6.301518806507568</v>
      </c>
    </row>
    <row r="8" spans="1:46" ht="20.399999999999999">
      <c r="A8" s="152">
        <v>4</v>
      </c>
      <c r="B8" s="151" t="s">
        <v>23</v>
      </c>
      <c r="C8" s="151">
        <v>0.64</v>
      </c>
      <c r="D8" s="151" t="s">
        <v>20</v>
      </c>
      <c r="E8" s="151">
        <v>698</v>
      </c>
      <c r="F8" s="151">
        <v>9772</v>
      </c>
      <c r="G8" s="151">
        <v>6254.0800000000008</v>
      </c>
      <c r="H8" s="151">
        <v>446</v>
      </c>
      <c r="I8" s="151">
        <v>6244</v>
      </c>
      <c r="J8" s="168">
        <v>3996.1600000000003</v>
      </c>
      <c r="K8" s="151">
        <v>745</v>
      </c>
      <c r="L8" s="151">
        <v>10430</v>
      </c>
      <c r="M8" s="169">
        <f t="shared" si="2"/>
        <v>6675.2</v>
      </c>
      <c r="N8" s="151">
        <v>417</v>
      </c>
      <c r="O8" s="151">
        <v>5838</v>
      </c>
      <c r="P8" s="169">
        <f t="shared" si="8"/>
        <v>3736.32</v>
      </c>
      <c r="Q8" s="151">
        <v>415</v>
      </c>
      <c r="R8" s="151">
        <v>5810</v>
      </c>
      <c r="S8" s="169">
        <f t="shared" si="9"/>
        <v>3718.4</v>
      </c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87">
        <f t="shared" si="3"/>
        <v>2721</v>
      </c>
      <c r="AP8" s="187">
        <f t="shared" si="4"/>
        <v>38094</v>
      </c>
      <c r="AQ8" s="187">
        <f t="shared" si="5"/>
        <v>24380.160000000003</v>
      </c>
      <c r="AR8" s="187">
        <f t="shared" si="6"/>
        <v>4876.0320000000011</v>
      </c>
      <c r="AS8" s="188">
        <f t="shared" si="7"/>
        <v>5.7656697720357117</v>
      </c>
    </row>
    <row r="9" spans="1:46" ht="20.399999999999999">
      <c r="A9" s="152">
        <v>5</v>
      </c>
      <c r="B9" s="151" t="s">
        <v>24</v>
      </c>
      <c r="C9" s="151">
        <v>1</v>
      </c>
      <c r="D9" s="151" t="s">
        <v>15</v>
      </c>
      <c r="E9" s="151"/>
      <c r="F9" s="151"/>
      <c r="G9" s="151"/>
      <c r="H9" s="151"/>
      <c r="I9" s="151"/>
      <c r="J9" s="168">
        <f t="shared" si="1"/>
        <v>0</v>
      </c>
      <c r="K9" s="151">
        <v>114</v>
      </c>
      <c r="L9" s="151">
        <v>2736</v>
      </c>
      <c r="M9" s="169">
        <f t="shared" si="2"/>
        <v>2736</v>
      </c>
      <c r="N9" s="151">
        <v>124</v>
      </c>
      <c r="O9" s="151">
        <v>1488</v>
      </c>
      <c r="P9" s="169">
        <f t="shared" si="8"/>
        <v>1488</v>
      </c>
      <c r="Q9" s="151">
        <v>505</v>
      </c>
      <c r="R9" s="151">
        <v>6060</v>
      </c>
      <c r="S9" s="169">
        <f t="shared" si="9"/>
        <v>6060</v>
      </c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87">
        <f t="shared" si="3"/>
        <v>743</v>
      </c>
      <c r="AP9" s="187">
        <f t="shared" si="4"/>
        <v>10284</v>
      </c>
      <c r="AQ9" s="187">
        <f t="shared" si="5"/>
        <v>10284</v>
      </c>
      <c r="AR9" s="187">
        <f t="shared" si="6"/>
        <v>2056.8000000000002</v>
      </c>
      <c r="AS9" s="188">
        <f t="shared" si="7"/>
        <v>2.4320655785530225</v>
      </c>
    </row>
    <row r="10" spans="1:46" ht="20.399999999999999">
      <c r="A10" s="152">
        <v>6</v>
      </c>
      <c r="B10" s="151" t="s">
        <v>25</v>
      </c>
      <c r="C10" s="151">
        <v>0.64</v>
      </c>
      <c r="D10" s="151" t="s">
        <v>20</v>
      </c>
      <c r="E10" s="151">
        <v>1722</v>
      </c>
      <c r="F10" s="151">
        <v>24108</v>
      </c>
      <c r="G10" s="151">
        <v>15429.119999999995</v>
      </c>
      <c r="H10" s="151">
        <v>1477</v>
      </c>
      <c r="I10" s="151">
        <v>20678</v>
      </c>
      <c r="J10" s="168">
        <v>13233.919999999998</v>
      </c>
      <c r="K10" s="151">
        <v>734</v>
      </c>
      <c r="L10" s="151">
        <v>10276</v>
      </c>
      <c r="M10" s="169">
        <f t="shared" si="2"/>
        <v>6576.64</v>
      </c>
      <c r="N10" s="151">
        <v>930</v>
      </c>
      <c r="O10" s="151">
        <v>13020</v>
      </c>
      <c r="P10" s="169">
        <f t="shared" si="8"/>
        <v>8332.7999999999993</v>
      </c>
      <c r="Q10" s="151">
        <v>2245</v>
      </c>
      <c r="R10" s="151">
        <v>31430</v>
      </c>
      <c r="S10" s="169">
        <f t="shared" si="9"/>
        <v>20115.2</v>
      </c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87">
        <f t="shared" si="3"/>
        <v>7108</v>
      </c>
      <c r="AP10" s="187">
        <f t="shared" si="4"/>
        <v>99512</v>
      </c>
      <c r="AQ10" s="187">
        <f t="shared" si="5"/>
        <v>63687.679999999993</v>
      </c>
      <c r="AR10" s="187">
        <f t="shared" si="6"/>
        <v>12737.535999999998</v>
      </c>
      <c r="AS10" s="188">
        <f t="shared" si="7"/>
        <v>15.061514421032646</v>
      </c>
      <c r="AT10" s="162">
        <v>2</v>
      </c>
    </row>
    <row r="11" spans="1:46" ht="20.399999999999999">
      <c r="A11" s="152">
        <v>7</v>
      </c>
      <c r="B11" s="151" t="s">
        <v>27</v>
      </c>
      <c r="C11" s="151">
        <v>0.7</v>
      </c>
      <c r="D11" s="151" t="s">
        <v>15</v>
      </c>
      <c r="E11" s="151">
        <v>80</v>
      </c>
      <c r="F11" s="151">
        <v>960</v>
      </c>
      <c r="G11" s="151">
        <v>672</v>
      </c>
      <c r="H11" s="151"/>
      <c r="I11" s="151"/>
      <c r="J11" s="168">
        <f t="shared" si="1"/>
        <v>0</v>
      </c>
      <c r="K11" s="151">
        <v>70</v>
      </c>
      <c r="L11" s="151">
        <v>840</v>
      </c>
      <c r="M11" s="169">
        <f t="shared" si="2"/>
        <v>588</v>
      </c>
      <c r="N11" s="151"/>
      <c r="O11" s="151"/>
      <c r="P11" s="169">
        <f t="shared" si="8"/>
        <v>0</v>
      </c>
      <c r="Q11" s="151">
        <v>30</v>
      </c>
      <c r="R11" s="151">
        <v>360</v>
      </c>
      <c r="S11" s="169">
        <f t="shared" si="9"/>
        <v>251.99999999999997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87">
        <f t="shared" si="3"/>
        <v>180</v>
      </c>
      <c r="AP11" s="187">
        <f t="shared" si="4"/>
        <v>2160</v>
      </c>
      <c r="AQ11" s="187">
        <f t="shared" si="5"/>
        <v>1512</v>
      </c>
      <c r="AR11" s="187">
        <f t="shared" si="6"/>
        <v>302.39999999999998</v>
      </c>
      <c r="AS11" s="188">
        <f t="shared" si="7"/>
        <v>0.35757323558655868</v>
      </c>
    </row>
    <row r="12" spans="1:46" ht="20.399999999999999">
      <c r="A12" s="152">
        <v>8</v>
      </c>
      <c r="B12" s="151" t="s">
        <v>28</v>
      </c>
      <c r="C12" s="151">
        <v>0.68</v>
      </c>
      <c r="D12" s="151" t="s">
        <v>15</v>
      </c>
      <c r="E12" s="151">
        <v>28</v>
      </c>
      <c r="F12" s="151">
        <v>336</v>
      </c>
      <c r="G12" s="151">
        <v>228.48000000000002</v>
      </c>
      <c r="H12" s="151">
        <v>30</v>
      </c>
      <c r="I12" s="151">
        <v>360</v>
      </c>
      <c r="J12" s="168">
        <f t="shared" si="1"/>
        <v>244.8</v>
      </c>
      <c r="K12" s="151">
        <v>20</v>
      </c>
      <c r="L12" s="151">
        <v>240</v>
      </c>
      <c r="M12" s="169">
        <f t="shared" si="2"/>
        <v>163.20000000000002</v>
      </c>
      <c r="N12" s="151">
        <v>13</v>
      </c>
      <c r="O12" s="151">
        <v>156</v>
      </c>
      <c r="P12" s="169">
        <f t="shared" si="8"/>
        <v>106.08000000000001</v>
      </c>
      <c r="Q12" s="151"/>
      <c r="R12" s="151"/>
      <c r="S12" s="169">
        <f t="shared" si="9"/>
        <v>0</v>
      </c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87">
        <f t="shared" si="3"/>
        <v>91</v>
      </c>
      <c r="AP12" s="187">
        <f t="shared" si="4"/>
        <v>1092</v>
      </c>
      <c r="AQ12" s="187">
        <f t="shared" si="5"/>
        <v>742.56000000000006</v>
      </c>
      <c r="AR12" s="187">
        <f t="shared" si="6"/>
        <v>148.512</v>
      </c>
      <c r="AS12" s="188">
        <f t="shared" si="7"/>
        <v>0.17560818903250994</v>
      </c>
    </row>
    <row r="13" spans="1:46" ht="20.399999999999999">
      <c r="A13" s="152">
        <v>9</v>
      </c>
      <c r="B13" s="151" t="s">
        <v>29</v>
      </c>
      <c r="C13" s="151">
        <v>0.64</v>
      </c>
      <c r="D13" s="151" t="s">
        <v>20</v>
      </c>
      <c r="E13" s="151">
        <v>30</v>
      </c>
      <c r="F13" s="151">
        <v>420</v>
      </c>
      <c r="G13" s="151">
        <v>268.8</v>
      </c>
      <c r="H13" s="151">
        <v>22</v>
      </c>
      <c r="I13" s="151">
        <v>308</v>
      </c>
      <c r="J13" s="168">
        <v>197.12</v>
      </c>
      <c r="K13" s="151">
        <v>30</v>
      </c>
      <c r="L13" s="151">
        <v>420</v>
      </c>
      <c r="M13" s="169">
        <f t="shared" si="2"/>
        <v>268.8</v>
      </c>
      <c r="N13" s="151"/>
      <c r="O13" s="151"/>
      <c r="P13" s="169">
        <f t="shared" si="8"/>
        <v>0</v>
      </c>
      <c r="Q13" s="151">
        <v>110</v>
      </c>
      <c r="R13" s="151">
        <v>1540</v>
      </c>
      <c r="S13" s="169">
        <f t="shared" si="9"/>
        <v>985.6</v>
      </c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87">
        <f t="shared" si="3"/>
        <v>192</v>
      </c>
      <c r="AP13" s="187">
        <f t="shared" si="4"/>
        <v>2688</v>
      </c>
      <c r="AQ13" s="187">
        <f t="shared" si="5"/>
        <v>1720.3200000000002</v>
      </c>
      <c r="AR13" s="187">
        <f t="shared" si="6"/>
        <v>344.06400000000002</v>
      </c>
      <c r="AS13" s="188">
        <f t="shared" si="7"/>
        <v>0.40683888137848456</v>
      </c>
    </row>
    <row r="14" spans="1:46" ht="20.399999999999999">
      <c r="A14" s="152">
        <v>10</v>
      </c>
      <c r="B14" s="151" t="s">
        <v>30</v>
      </c>
      <c r="C14" s="151">
        <v>0.64</v>
      </c>
      <c r="D14" s="151" t="s">
        <v>20</v>
      </c>
      <c r="E14" s="151"/>
      <c r="F14" s="151"/>
      <c r="G14" s="151"/>
      <c r="H14" s="151">
        <v>10</v>
      </c>
      <c r="I14" s="151">
        <v>140</v>
      </c>
      <c r="J14" s="168">
        <v>89.600000000000009</v>
      </c>
      <c r="K14" s="151"/>
      <c r="L14" s="151"/>
      <c r="M14" s="169">
        <f t="shared" si="2"/>
        <v>0</v>
      </c>
      <c r="N14" s="151"/>
      <c r="O14" s="151"/>
      <c r="P14" s="169">
        <f t="shared" si="8"/>
        <v>0</v>
      </c>
      <c r="Q14" s="151"/>
      <c r="R14" s="151"/>
      <c r="S14" s="169">
        <f t="shared" si="9"/>
        <v>0</v>
      </c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87">
        <f t="shared" si="3"/>
        <v>10</v>
      </c>
      <c r="AP14" s="187">
        <f t="shared" si="4"/>
        <v>140</v>
      </c>
      <c r="AQ14" s="187">
        <f t="shared" si="5"/>
        <v>89.600000000000009</v>
      </c>
      <c r="AR14" s="187">
        <f t="shared" si="6"/>
        <v>17.920000000000002</v>
      </c>
      <c r="AS14" s="188">
        <f t="shared" si="7"/>
        <v>2.1189525071796073E-2</v>
      </c>
    </row>
    <row r="15" spans="1:46" ht="20.399999999999999">
      <c r="A15" s="152">
        <v>11</v>
      </c>
      <c r="B15" s="151" t="s">
        <v>32</v>
      </c>
      <c r="C15" s="151">
        <v>0.64</v>
      </c>
      <c r="D15" s="151" t="s">
        <v>20</v>
      </c>
      <c r="E15" s="151">
        <v>5</v>
      </c>
      <c r="F15" s="151">
        <v>70</v>
      </c>
      <c r="G15" s="151">
        <v>44.800000000000004</v>
      </c>
      <c r="H15" s="151"/>
      <c r="I15" s="151"/>
      <c r="J15" s="168">
        <f t="shared" si="1"/>
        <v>0</v>
      </c>
      <c r="K15" s="151"/>
      <c r="L15" s="151"/>
      <c r="M15" s="169">
        <f t="shared" si="2"/>
        <v>0</v>
      </c>
      <c r="N15" s="151"/>
      <c r="O15" s="151"/>
      <c r="P15" s="169">
        <f t="shared" si="8"/>
        <v>0</v>
      </c>
      <c r="Q15" s="151"/>
      <c r="R15" s="151"/>
      <c r="S15" s="169">
        <f t="shared" si="9"/>
        <v>0</v>
      </c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87">
        <f t="shared" si="3"/>
        <v>5</v>
      </c>
      <c r="AP15" s="187">
        <f t="shared" si="4"/>
        <v>70</v>
      </c>
      <c r="AQ15" s="187">
        <f t="shared" si="5"/>
        <v>44.800000000000004</v>
      </c>
      <c r="AR15" s="187">
        <f t="shared" si="6"/>
        <v>8.9600000000000009</v>
      </c>
      <c r="AS15" s="188">
        <f t="shared" si="7"/>
        <v>1.0594762535898037E-2</v>
      </c>
    </row>
    <row r="16" spans="1:46" ht="20.399999999999999">
      <c r="A16" s="152">
        <v>12</v>
      </c>
      <c r="B16" s="151" t="s">
        <v>34</v>
      </c>
      <c r="C16" s="151">
        <v>0.6</v>
      </c>
      <c r="D16" s="151" t="s">
        <v>18</v>
      </c>
      <c r="E16" s="151">
        <v>918</v>
      </c>
      <c r="F16" s="151">
        <v>22032</v>
      </c>
      <c r="G16" s="151">
        <v>13219.199999999999</v>
      </c>
      <c r="H16" s="151">
        <v>748</v>
      </c>
      <c r="I16" s="151">
        <v>17952</v>
      </c>
      <c r="J16" s="168">
        <v>10771.200000000003</v>
      </c>
      <c r="K16" s="151">
        <v>288</v>
      </c>
      <c r="L16" s="151">
        <v>6912</v>
      </c>
      <c r="M16" s="169">
        <f t="shared" ref="M16:M23" si="10">L16*$C16</f>
        <v>4147.2</v>
      </c>
      <c r="N16" s="151">
        <v>991</v>
      </c>
      <c r="O16" s="151">
        <v>23784</v>
      </c>
      <c r="P16" s="169">
        <f t="shared" ref="P16:P23" si="11">O16*$C16</f>
        <v>14270.4</v>
      </c>
      <c r="Q16" s="151">
        <v>679</v>
      </c>
      <c r="R16" s="151">
        <v>16296</v>
      </c>
      <c r="S16" s="169">
        <f t="shared" ref="S16:S23" si="12">R16*$C16</f>
        <v>9777.6</v>
      </c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87">
        <f t="shared" ref="AO16:AO23" si="13">E16+H16+K16+N16+Q16</f>
        <v>3624</v>
      </c>
      <c r="AP16" s="187">
        <f t="shared" ref="AP16:AP23" si="14">F16+I16+L16+O16+R16</f>
        <v>86976</v>
      </c>
      <c r="AQ16" s="187">
        <f t="shared" ref="AQ16:AQ23" si="15">G16+J16+M16+P16+S16</f>
        <v>52185.599999999999</v>
      </c>
      <c r="AR16" s="187">
        <f t="shared" ref="AR16:AR23" si="16">AQ16/5</f>
        <v>10437.119999999999</v>
      </c>
      <c r="AS16" s="188">
        <f t="shared" si="7"/>
        <v>12.341384816816081</v>
      </c>
      <c r="AT16" s="162">
        <v>3</v>
      </c>
    </row>
    <row r="17" spans="1:45" ht="20.399999999999999">
      <c r="A17" s="152">
        <v>13</v>
      </c>
      <c r="B17" s="151" t="s">
        <v>36</v>
      </c>
      <c r="C17" s="151">
        <v>1</v>
      </c>
      <c r="D17" s="151" t="s">
        <v>15</v>
      </c>
      <c r="E17" s="151">
        <v>76</v>
      </c>
      <c r="F17" s="151">
        <v>912</v>
      </c>
      <c r="G17" s="151">
        <v>912</v>
      </c>
      <c r="H17" s="151">
        <v>42</v>
      </c>
      <c r="I17" s="151">
        <v>504</v>
      </c>
      <c r="J17" s="168">
        <v>504</v>
      </c>
      <c r="K17" s="151">
        <v>16</v>
      </c>
      <c r="L17" s="151">
        <v>192</v>
      </c>
      <c r="M17" s="169">
        <f t="shared" si="10"/>
        <v>192</v>
      </c>
      <c r="N17" s="151">
        <v>61</v>
      </c>
      <c r="O17" s="151">
        <v>732</v>
      </c>
      <c r="P17" s="169">
        <f t="shared" si="11"/>
        <v>732</v>
      </c>
      <c r="Q17" s="151">
        <v>93</v>
      </c>
      <c r="R17" s="151">
        <v>1116</v>
      </c>
      <c r="S17" s="169">
        <f t="shared" si="12"/>
        <v>1116</v>
      </c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87">
        <f t="shared" si="13"/>
        <v>288</v>
      </c>
      <c r="AP17" s="187">
        <f t="shared" si="14"/>
        <v>3456</v>
      </c>
      <c r="AQ17" s="187">
        <f t="shared" si="15"/>
        <v>3456</v>
      </c>
      <c r="AR17" s="187">
        <f t="shared" si="16"/>
        <v>691.2</v>
      </c>
      <c r="AS17" s="188">
        <f t="shared" si="7"/>
        <v>0.81731025276927705</v>
      </c>
    </row>
    <row r="18" spans="1:45" ht="20.399999999999999">
      <c r="A18" s="152">
        <v>14</v>
      </c>
      <c r="B18" s="151" t="s">
        <v>37</v>
      </c>
      <c r="C18" s="151">
        <v>0.6</v>
      </c>
      <c r="D18" s="151" t="s">
        <v>18</v>
      </c>
      <c r="E18" s="151">
        <v>56</v>
      </c>
      <c r="F18" s="151">
        <v>1344</v>
      </c>
      <c r="G18" s="151">
        <v>806.4</v>
      </c>
      <c r="H18" s="151">
        <v>41</v>
      </c>
      <c r="I18" s="151">
        <v>984</v>
      </c>
      <c r="J18" s="168">
        <v>590.4</v>
      </c>
      <c r="K18" s="151">
        <v>9</v>
      </c>
      <c r="L18" s="151">
        <v>216</v>
      </c>
      <c r="M18" s="169">
        <f t="shared" si="10"/>
        <v>129.6</v>
      </c>
      <c r="N18" s="151"/>
      <c r="O18" s="151"/>
      <c r="P18" s="169">
        <f t="shared" si="11"/>
        <v>0</v>
      </c>
      <c r="Q18" s="151">
        <v>12</v>
      </c>
      <c r="R18" s="151">
        <v>288</v>
      </c>
      <c r="S18" s="169">
        <f t="shared" si="12"/>
        <v>172.79999999999998</v>
      </c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87">
        <f t="shared" si="13"/>
        <v>118</v>
      </c>
      <c r="AP18" s="187">
        <f t="shared" si="14"/>
        <v>2832</v>
      </c>
      <c r="AQ18" s="187">
        <f t="shared" si="15"/>
        <v>1699.1999999999998</v>
      </c>
      <c r="AR18" s="187">
        <f t="shared" si="16"/>
        <v>339.84</v>
      </c>
      <c r="AS18" s="188">
        <f t="shared" si="7"/>
        <v>0.4018442076115612</v>
      </c>
    </row>
    <row r="19" spans="1:45" ht="20.399999999999999">
      <c r="A19" s="152">
        <v>15</v>
      </c>
      <c r="B19" s="151" t="s">
        <v>40</v>
      </c>
      <c r="C19" s="151">
        <v>0.64</v>
      </c>
      <c r="D19" s="151" t="s">
        <v>18</v>
      </c>
      <c r="E19" s="151">
        <v>4</v>
      </c>
      <c r="F19" s="151">
        <v>96</v>
      </c>
      <c r="G19" s="151">
        <v>61.44</v>
      </c>
      <c r="H19" s="151">
        <v>58</v>
      </c>
      <c r="I19" s="151">
        <v>1392</v>
      </c>
      <c r="J19" s="168">
        <v>890.88</v>
      </c>
      <c r="K19" s="151">
        <v>47</v>
      </c>
      <c r="L19" s="151">
        <v>1128</v>
      </c>
      <c r="M19" s="169">
        <f t="shared" si="10"/>
        <v>721.92</v>
      </c>
      <c r="N19" s="151">
        <v>99</v>
      </c>
      <c r="O19" s="151">
        <v>2376</v>
      </c>
      <c r="P19" s="169">
        <f t="shared" si="11"/>
        <v>1520.64</v>
      </c>
      <c r="Q19" s="151">
        <v>63</v>
      </c>
      <c r="R19" s="151">
        <v>1512</v>
      </c>
      <c r="S19" s="169">
        <f t="shared" si="12"/>
        <v>967.68000000000006</v>
      </c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87">
        <f t="shared" si="13"/>
        <v>271</v>
      </c>
      <c r="AP19" s="187">
        <f t="shared" si="14"/>
        <v>6504</v>
      </c>
      <c r="AQ19" s="187">
        <f t="shared" si="15"/>
        <v>4162.5600000000004</v>
      </c>
      <c r="AR19" s="187">
        <f t="shared" si="16"/>
        <v>832.51200000000006</v>
      </c>
      <c r="AS19" s="188">
        <f t="shared" si="7"/>
        <v>0.9844047933354404</v>
      </c>
    </row>
    <row r="20" spans="1:45" ht="20.399999999999999">
      <c r="A20" s="152">
        <v>16</v>
      </c>
      <c r="B20" s="151" t="s">
        <v>64</v>
      </c>
      <c r="C20" s="151">
        <v>0.64</v>
      </c>
      <c r="D20" s="151"/>
      <c r="E20" s="151"/>
      <c r="F20" s="151"/>
      <c r="G20" s="151"/>
      <c r="H20" s="151"/>
      <c r="I20" s="151"/>
      <c r="J20" s="168"/>
      <c r="K20" s="151"/>
      <c r="L20" s="151"/>
      <c r="M20" s="169"/>
      <c r="N20" s="151">
        <v>20</v>
      </c>
      <c r="O20" s="151">
        <v>280</v>
      </c>
      <c r="P20" s="169">
        <f t="shared" si="11"/>
        <v>179.20000000000002</v>
      </c>
      <c r="Q20" s="151">
        <v>17</v>
      </c>
      <c r="R20" s="151">
        <v>238</v>
      </c>
      <c r="S20" s="169">
        <f t="shared" si="12"/>
        <v>152.32</v>
      </c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87">
        <f t="shared" si="13"/>
        <v>37</v>
      </c>
      <c r="AP20" s="187">
        <f t="shared" si="14"/>
        <v>518</v>
      </c>
      <c r="AQ20" s="187">
        <f t="shared" si="15"/>
        <v>331.52</v>
      </c>
      <c r="AR20" s="187">
        <f t="shared" si="16"/>
        <v>66.304000000000002</v>
      </c>
      <c r="AS20" s="188">
        <f t="shared" si="7"/>
        <v>7.840124276564546E-2</v>
      </c>
    </row>
    <row r="21" spans="1:45" ht="20.399999999999999">
      <c r="A21" s="152">
        <v>17</v>
      </c>
      <c r="B21" s="151" t="s">
        <v>38</v>
      </c>
      <c r="C21" s="151">
        <v>0.7</v>
      </c>
      <c r="D21" s="151" t="s">
        <v>15</v>
      </c>
      <c r="E21" s="151"/>
      <c r="F21" s="151"/>
      <c r="G21" s="151"/>
      <c r="H21" s="151"/>
      <c r="I21" s="151"/>
      <c r="J21" s="168">
        <f t="shared" ref="J21:J22" si="17">I21*$C21</f>
        <v>0</v>
      </c>
      <c r="K21" s="151"/>
      <c r="L21" s="151"/>
      <c r="M21" s="169">
        <f t="shared" si="10"/>
        <v>0</v>
      </c>
      <c r="N21" s="151"/>
      <c r="O21" s="151"/>
      <c r="P21" s="169">
        <f t="shared" si="11"/>
        <v>0</v>
      </c>
      <c r="Q21" s="151">
        <v>14</v>
      </c>
      <c r="R21" s="151">
        <v>174</v>
      </c>
      <c r="S21" s="169">
        <f t="shared" si="12"/>
        <v>121.8</v>
      </c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87">
        <f t="shared" si="13"/>
        <v>14</v>
      </c>
      <c r="AP21" s="187">
        <f t="shared" si="14"/>
        <v>174</v>
      </c>
      <c r="AQ21" s="187">
        <f t="shared" si="15"/>
        <v>121.8</v>
      </c>
      <c r="AR21" s="187">
        <f t="shared" si="16"/>
        <v>24.36</v>
      </c>
      <c r="AS21" s="188">
        <f t="shared" si="7"/>
        <v>2.8804510644472783E-2</v>
      </c>
    </row>
    <row r="22" spans="1:45" ht="20.399999999999999">
      <c r="A22" s="152">
        <v>18</v>
      </c>
      <c r="B22" s="151" t="s">
        <v>39</v>
      </c>
      <c r="C22" s="151">
        <v>0.35</v>
      </c>
      <c r="D22" s="151" t="s">
        <v>18</v>
      </c>
      <c r="E22" s="151"/>
      <c r="F22" s="151"/>
      <c r="G22" s="151"/>
      <c r="H22" s="151"/>
      <c r="I22" s="151"/>
      <c r="J22" s="168">
        <f t="shared" si="17"/>
        <v>0</v>
      </c>
      <c r="K22" s="151"/>
      <c r="L22" s="151"/>
      <c r="M22" s="169">
        <f t="shared" si="10"/>
        <v>0</v>
      </c>
      <c r="N22" s="151"/>
      <c r="O22" s="151"/>
      <c r="P22" s="169">
        <f t="shared" si="11"/>
        <v>0</v>
      </c>
      <c r="Q22" s="151">
        <v>11</v>
      </c>
      <c r="R22" s="151">
        <v>272</v>
      </c>
      <c r="S22" s="169">
        <f t="shared" si="12"/>
        <v>95.199999999999989</v>
      </c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87">
        <f t="shared" si="13"/>
        <v>11</v>
      </c>
      <c r="AP22" s="187">
        <f t="shared" si="14"/>
        <v>272</v>
      </c>
      <c r="AQ22" s="187">
        <f t="shared" si="15"/>
        <v>95.199999999999989</v>
      </c>
      <c r="AR22" s="187">
        <f t="shared" si="16"/>
        <v>19.04</v>
      </c>
      <c r="AS22" s="188">
        <f t="shared" si="7"/>
        <v>2.2513870388783323E-2</v>
      </c>
    </row>
    <row r="23" spans="1:45" ht="20.399999999999999">
      <c r="A23" s="152">
        <v>19</v>
      </c>
      <c r="B23" s="151" t="s">
        <v>41</v>
      </c>
      <c r="C23" s="151">
        <v>0.64</v>
      </c>
      <c r="D23" s="151" t="s">
        <v>18</v>
      </c>
      <c r="E23" s="151">
        <v>142</v>
      </c>
      <c r="F23" s="151">
        <v>3408</v>
      </c>
      <c r="G23" s="151">
        <v>2181.12</v>
      </c>
      <c r="H23" s="151">
        <v>240</v>
      </c>
      <c r="I23" s="151">
        <v>5760</v>
      </c>
      <c r="J23" s="168">
        <v>3686.4000000000005</v>
      </c>
      <c r="K23" s="151">
        <v>206</v>
      </c>
      <c r="L23" s="151">
        <v>4944</v>
      </c>
      <c r="M23" s="169">
        <f t="shared" si="10"/>
        <v>3164.16</v>
      </c>
      <c r="N23" s="151">
        <v>259</v>
      </c>
      <c r="O23" s="151">
        <v>6216</v>
      </c>
      <c r="P23" s="169">
        <f t="shared" si="11"/>
        <v>3978.2400000000002</v>
      </c>
      <c r="Q23" s="151">
        <v>214</v>
      </c>
      <c r="R23" s="151">
        <v>5136</v>
      </c>
      <c r="S23" s="169">
        <f t="shared" si="12"/>
        <v>3287.04</v>
      </c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87">
        <f t="shared" si="13"/>
        <v>1061</v>
      </c>
      <c r="AP23" s="187">
        <f t="shared" si="14"/>
        <v>25464</v>
      </c>
      <c r="AQ23" s="187">
        <f t="shared" si="15"/>
        <v>16296.96</v>
      </c>
      <c r="AR23" s="187">
        <f t="shared" si="16"/>
        <v>3259.3919999999998</v>
      </c>
      <c r="AS23" s="188">
        <f t="shared" si="7"/>
        <v>3.8540719030586796</v>
      </c>
    </row>
    <row r="24" spans="1:45" ht="23.25" customHeight="1">
      <c r="A24" s="151"/>
      <c r="B24" s="151" t="s">
        <v>128</v>
      </c>
      <c r="C24" s="151"/>
      <c r="D24" s="151"/>
      <c r="E24" s="170">
        <f t="shared" ref="E24:AN24" si="18">SUM(E5:E23)</f>
        <v>9390</v>
      </c>
      <c r="F24" s="170">
        <f t="shared" si="18"/>
        <v>140720</v>
      </c>
      <c r="G24" s="170">
        <f t="shared" si="18"/>
        <v>92830.639999999985</v>
      </c>
      <c r="H24" s="170">
        <f t="shared" si="18"/>
        <v>7761</v>
      </c>
      <c r="I24" s="170">
        <f t="shared" si="18"/>
        <v>119242</v>
      </c>
      <c r="J24" s="170">
        <f t="shared" si="18"/>
        <v>76066.48</v>
      </c>
      <c r="K24" s="170">
        <f t="shared" si="18"/>
        <v>7629</v>
      </c>
      <c r="L24" s="170">
        <f t="shared" si="18"/>
        <v>111430</v>
      </c>
      <c r="M24" s="170">
        <f t="shared" si="18"/>
        <v>75932.800000000003</v>
      </c>
      <c r="N24" s="170">
        <f t="shared" si="18"/>
        <v>8339</v>
      </c>
      <c r="O24" s="170">
        <f t="shared" si="18"/>
        <v>129640</v>
      </c>
      <c r="P24" s="170">
        <f t="shared" si="18"/>
        <v>83255.679999999993</v>
      </c>
      <c r="Q24" s="170">
        <f t="shared" si="18"/>
        <v>9618</v>
      </c>
      <c r="R24" s="170">
        <f t="shared" si="18"/>
        <v>142342</v>
      </c>
      <c r="S24" s="170">
        <f t="shared" si="18"/>
        <v>94764.840000000011</v>
      </c>
      <c r="T24" s="170">
        <f t="shared" si="18"/>
        <v>0</v>
      </c>
      <c r="U24" s="170">
        <f t="shared" si="18"/>
        <v>0</v>
      </c>
      <c r="V24" s="170">
        <f t="shared" si="18"/>
        <v>0</v>
      </c>
      <c r="W24" s="170">
        <f t="shared" si="18"/>
        <v>0</v>
      </c>
      <c r="X24" s="170">
        <f t="shared" si="18"/>
        <v>0</v>
      </c>
      <c r="Y24" s="170">
        <f t="shared" si="18"/>
        <v>0</v>
      </c>
      <c r="Z24" s="170">
        <f t="shared" si="18"/>
        <v>0</v>
      </c>
      <c r="AA24" s="170">
        <f t="shared" si="18"/>
        <v>0</v>
      </c>
      <c r="AB24" s="170">
        <f t="shared" si="18"/>
        <v>0</v>
      </c>
      <c r="AC24" s="170">
        <f t="shared" si="18"/>
        <v>0</v>
      </c>
      <c r="AD24" s="170">
        <f t="shared" si="18"/>
        <v>0</v>
      </c>
      <c r="AE24" s="170">
        <f t="shared" si="18"/>
        <v>0</v>
      </c>
      <c r="AF24" s="170">
        <f t="shared" si="18"/>
        <v>0</v>
      </c>
      <c r="AG24" s="170">
        <f t="shared" si="18"/>
        <v>0</v>
      </c>
      <c r="AH24" s="170">
        <f t="shared" si="18"/>
        <v>0</v>
      </c>
      <c r="AI24" s="170">
        <f t="shared" si="18"/>
        <v>0</v>
      </c>
      <c r="AJ24" s="170">
        <f t="shared" si="18"/>
        <v>0</v>
      </c>
      <c r="AK24" s="170">
        <f t="shared" si="18"/>
        <v>0</v>
      </c>
      <c r="AL24" s="170">
        <f t="shared" si="18"/>
        <v>0</v>
      </c>
      <c r="AM24" s="170">
        <f t="shared" si="18"/>
        <v>0</v>
      </c>
      <c r="AN24" s="170">
        <f t="shared" si="18"/>
        <v>0</v>
      </c>
      <c r="AO24" s="187">
        <f t="shared" ref="AO24" si="19">E24+H24+K24+N24+Q24</f>
        <v>42737</v>
      </c>
      <c r="AP24" s="187">
        <f t="shared" ref="AP24" si="20">F24+I24+L24+O24+R24</f>
        <v>643374</v>
      </c>
      <c r="AQ24" s="187">
        <f t="shared" ref="AQ24" si="21">G24+J24+M24+P24+S24</f>
        <v>422850.44</v>
      </c>
      <c r="AR24" s="187">
        <f t="shared" ref="AR24" si="22">AQ24/5</f>
        <v>84570.088000000003</v>
      </c>
      <c r="AS24" s="188">
        <f t="shared" si="7"/>
        <v>100</v>
      </c>
    </row>
  </sheetData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F6DF-B1C1-485E-A67A-7525A46AE139}">
  <sheetPr>
    <tabColor rgb="FFFF0000"/>
  </sheetPr>
  <dimension ref="A1:AS31"/>
  <sheetViews>
    <sheetView workbookViewId="0">
      <pane xSplit="4" ySplit="4" topLeftCell="L15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15"/>
    </sheetView>
  </sheetViews>
  <sheetFormatPr defaultColWidth="9.109375" defaultRowHeight="13.8"/>
  <cols>
    <col min="1" max="1" width="6.5546875" style="162" customWidth="1"/>
    <col min="2" max="2" width="27.88671875" style="162" customWidth="1"/>
    <col min="3" max="4" width="9.109375" style="162"/>
    <col min="5" max="5" width="9.5546875" style="162" bestFit="1" customWidth="1"/>
    <col min="6" max="7" width="10.5546875" style="162" bestFit="1" customWidth="1"/>
    <col min="8" max="12" width="9.33203125" style="162" bestFit="1" customWidth="1"/>
    <col min="13" max="13" width="9.5546875" style="162" bestFit="1" customWidth="1"/>
    <col min="14" max="15" width="9.33203125" style="162" bestFit="1" customWidth="1"/>
    <col min="16" max="16" width="9.5546875" style="162" bestFit="1" customWidth="1"/>
    <col min="17" max="18" width="9.33203125" style="162" bestFit="1" customWidth="1"/>
    <col min="19" max="19" width="9.554687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5" ht="39" customHeight="1">
      <c r="B1" s="148" t="s">
        <v>136</v>
      </c>
      <c r="C1" s="149"/>
      <c r="D1" s="149"/>
    </row>
    <row r="2" spans="1:45" ht="34.5" customHeight="1"/>
    <row r="3" spans="1:45" ht="47.2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66" t="s">
        <v>115</v>
      </c>
      <c r="F3" s="967"/>
      <c r="G3" s="968"/>
      <c r="H3" s="966" t="s">
        <v>116</v>
      </c>
      <c r="I3" s="967"/>
      <c r="J3" s="968"/>
      <c r="K3" s="966" t="s">
        <v>117</v>
      </c>
      <c r="L3" s="967"/>
      <c r="M3" s="968"/>
      <c r="N3" s="966" t="s">
        <v>118</v>
      </c>
      <c r="O3" s="967"/>
      <c r="P3" s="968"/>
      <c r="Q3" s="966" t="s">
        <v>119</v>
      </c>
      <c r="R3" s="967"/>
      <c r="S3" s="968"/>
      <c r="T3" s="966" t="s">
        <v>120</v>
      </c>
      <c r="U3" s="967"/>
      <c r="V3" s="968"/>
      <c r="W3" s="966" t="s">
        <v>121</v>
      </c>
      <c r="X3" s="967"/>
      <c r="Y3" s="968"/>
      <c r="Z3" s="966" t="s">
        <v>122</v>
      </c>
      <c r="AA3" s="967"/>
      <c r="AB3" s="968"/>
      <c r="AC3" s="966" t="s">
        <v>123</v>
      </c>
      <c r="AD3" s="967"/>
      <c r="AE3" s="968"/>
      <c r="AF3" s="966" t="s">
        <v>92</v>
      </c>
      <c r="AG3" s="967"/>
      <c r="AH3" s="968"/>
      <c r="AI3" s="966" t="s">
        <v>93</v>
      </c>
      <c r="AJ3" s="967"/>
      <c r="AK3" s="968"/>
      <c r="AL3" s="965" t="s">
        <v>94</v>
      </c>
      <c r="AM3" s="965"/>
      <c r="AN3" s="965"/>
      <c r="AO3" s="963" t="s">
        <v>140</v>
      </c>
      <c r="AP3" s="963"/>
      <c r="AQ3" s="963"/>
      <c r="AR3" s="180" t="s">
        <v>95</v>
      </c>
      <c r="AS3" s="181" t="s">
        <v>67</v>
      </c>
    </row>
    <row r="4" spans="1:45" ht="48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6" t="s">
        <v>141</v>
      </c>
      <c r="AP4" s="176" t="s">
        <v>142</v>
      </c>
      <c r="AQ4" s="176" t="s">
        <v>97</v>
      </c>
      <c r="AR4" s="192" t="s">
        <v>97</v>
      </c>
      <c r="AS4" s="192" t="s">
        <v>97</v>
      </c>
    </row>
    <row r="5" spans="1:45" ht="20.399999999999999">
      <c r="A5" s="151">
        <v>8</v>
      </c>
      <c r="B5" s="151" t="s">
        <v>125</v>
      </c>
      <c r="C5" s="151">
        <v>0.64</v>
      </c>
      <c r="D5" s="151" t="s">
        <v>20</v>
      </c>
      <c r="E5" s="151">
        <v>550</v>
      </c>
      <c r="F5" s="151">
        <v>7700</v>
      </c>
      <c r="G5" s="151">
        <v>4928</v>
      </c>
      <c r="H5" s="151">
        <v>350</v>
      </c>
      <c r="I5" s="151">
        <v>4900</v>
      </c>
      <c r="J5" s="168">
        <f t="shared" ref="J5:J11" si="0">I5*$C5</f>
        <v>3136</v>
      </c>
      <c r="K5" s="151">
        <v>350</v>
      </c>
      <c r="L5" s="151">
        <v>4900</v>
      </c>
      <c r="M5" s="169">
        <f>L5*$C5</f>
        <v>3136</v>
      </c>
      <c r="N5" s="151">
        <v>420</v>
      </c>
      <c r="O5" s="151">
        <v>5880</v>
      </c>
      <c r="P5" s="169">
        <f>O5*$C5</f>
        <v>3763.2000000000003</v>
      </c>
      <c r="Q5" s="151">
        <v>355</v>
      </c>
      <c r="R5" s="151">
        <v>4970</v>
      </c>
      <c r="S5" s="169">
        <f>R5*$C5</f>
        <v>3180.8</v>
      </c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218">
        <f t="shared" ref="AO5:AO11" si="1">E5+H5+K5+N5+Q5</f>
        <v>2025</v>
      </c>
      <c r="AP5" s="218">
        <f t="shared" ref="AP5:AP11" si="2">F5+I5+L5+O5+R5</f>
        <v>28350</v>
      </c>
      <c r="AQ5" s="218">
        <f t="shared" ref="AQ5:AQ11" si="3">G5+J5+M5+P5+S5</f>
        <v>18144</v>
      </c>
      <c r="AR5" s="218">
        <f t="shared" ref="AR5:AR11" si="4">AQ5/5</f>
        <v>3628.8</v>
      </c>
    </row>
    <row r="6" spans="1:45" ht="20.399999999999999">
      <c r="A6" s="151">
        <v>11</v>
      </c>
      <c r="B6" s="151" t="s">
        <v>21</v>
      </c>
      <c r="C6" s="151">
        <v>1</v>
      </c>
      <c r="D6" s="151" t="s">
        <v>15</v>
      </c>
      <c r="E6" s="151">
        <v>90</v>
      </c>
      <c r="F6" s="151">
        <v>1080</v>
      </c>
      <c r="G6" s="151">
        <v>1080</v>
      </c>
      <c r="H6" s="151">
        <v>120</v>
      </c>
      <c r="I6" s="151">
        <v>1440</v>
      </c>
      <c r="J6" s="168">
        <f t="shared" si="0"/>
        <v>1440</v>
      </c>
      <c r="K6" s="151"/>
      <c r="L6" s="151"/>
      <c r="M6" s="169">
        <f t="shared" ref="M6:M11" si="5">L6*$C6</f>
        <v>0</v>
      </c>
      <c r="N6" s="151"/>
      <c r="O6" s="151"/>
      <c r="P6" s="169">
        <f t="shared" ref="P6:P11" si="6">O6*$C6</f>
        <v>0</v>
      </c>
      <c r="Q6" s="151"/>
      <c r="R6" s="151"/>
      <c r="S6" s="169">
        <f t="shared" ref="S6:S11" si="7">R6*$C6</f>
        <v>0</v>
      </c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218">
        <f t="shared" si="1"/>
        <v>210</v>
      </c>
      <c r="AP6" s="218">
        <f t="shared" si="2"/>
        <v>2520</v>
      </c>
      <c r="AQ6" s="218">
        <f t="shared" si="3"/>
        <v>2520</v>
      </c>
      <c r="AR6" s="218">
        <f t="shared" si="4"/>
        <v>504</v>
      </c>
    </row>
    <row r="7" spans="1:45" ht="20.399999999999999">
      <c r="A7" s="151">
        <v>17</v>
      </c>
      <c r="B7" s="151" t="s">
        <v>23</v>
      </c>
      <c r="C7" s="151">
        <v>0.64</v>
      </c>
      <c r="D7" s="151" t="s">
        <v>20</v>
      </c>
      <c r="E7" s="151"/>
      <c r="F7" s="151"/>
      <c r="G7" s="151"/>
      <c r="H7" s="151">
        <v>50</v>
      </c>
      <c r="I7" s="151">
        <v>700</v>
      </c>
      <c r="J7" s="168">
        <f t="shared" si="0"/>
        <v>448</v>
      </c>
      <c r="K7" s="151"/>
      <c r="L7" s="151"/>
      <c r="M7" s="169">
        <f t="shared" si="5"/>
        <v>0</v>
      </c>
      <c r="N7" s="151">
        <v>50</v>
      </c>
      <c r="O7" s="151">
        <v>700</v>
      </c>
      <c r="P7" s="169">
        <f t="shared" si="6"/>
        <v>448</v>
      </c>
      <c r="Q7" s="151"/>
      <c r="R7" s="151"/>
      <c r="S7" s="169">
        <f t="shared" si="7"/>
        <v>0</v>
      </c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218">
        <f t="shared" si="1"/>
        <v>100</v>
      </c>
      <c r="AP7" s="218">
        <f t="shared" si="2"/>
        <v>1400</v>
      </c>
      <c r="AQ7" s="218">
        <f t="shared" si="3"/>
        <v>896</v>
      </c>
      <c r="AR7" s="218">
        <f t="shared" si="4"/>
        <v>179.2</v>
      </c>
    </row>
    <row r="8" spans="1:45" ht="20.399999999999999">
      <c r="A8" s="151">
        <v>20</v>
      </c>
      <c r="B8" s="151" t="s">
        <v>24</v>
      </c>
      <c r="C8" s="151">
        <v>1</v>
      </c>
      <c r="D8" s="151" t="s">
        <v>15</v>
      </c>
      <c r="E8" s="151"/>
      <c r="F8" s="151"/>
      <c r="G8" s="151"/>
      <c r="H8" s="151"/>
      <c r="I8" s="151"/>
      <c r="J8" s="168">
        <f t="shared" si="0"/>
        <v>0</v>
      </c>
      <c r="K8" s="151"/>
      <c r="L8" s="151"/>
      <c r="M8" s="169">
        <f t="shared" si="5"/>
        <v>0</v>
      </c>
      <c r="N8" s="151"/>
      <c r="O8" s="151"/>
      <c r="P8" s="169">
        <f t="shared" si="6"/>
        <v>0</v>
      </c>
      <c r="Q8" s="151">
        <v>55</v>
      </c>
      <c r="R8" s="151">
        <v>660</v>
      </c>
      <c r="S8" s="169">
        <f t="shared" si="7"/>
        <v>660</v>
      </c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218">
        <f t="shared" si="1"/>
        <v>55</v>
      </c>
      <c r="AP8" s="218">
        <f t="shared" si="2"/>
        <v>660</v>
      </c>
      <c r="AQ8" s="218">
        <f t="shared" si="3"/>
        <v>660</v>
      </c>
      <c r="AR8" s="218">
        <f t="shared" si="4"/>
        <v>132</v>
      </c>
    </row>
    <row r="9" spans="1:45" ht="20.399999999999999">
      <c r="A9" s="151">
        <v>22</v>
      </c>
      <c r="B9" s="151" t="s">
        <v>25</v>
      </c>
      <c r="C9" s="151">
        <v>0.64</v>
      </c>
      <c r="D9" s="151" t="s">
        <v>20</v>
      </c>
      <c r="E9" s="151">
        <v>50</v>
      </c>
      <c r="F9" s="151">
        <v>700</v>
      </c>
      <c r="G9" s="151">
        <v>448</v>
      </c>
      <c r="H9" s="151">
        <v>100</v>
      </c>
      <c r="I9" s="151">
        <v>1400</v>
      </c>
      <c r="J9" s="168">
        <f t="shared" si="0"/>
        <v>896</v>
      </c>
      <c r="K9" s="151">
        <v>50</v>
      </c>
      <c r="L9" s="151">
        <v>700</v>
      </c>
      <c r="M9" s="169">
        <f t="shared" si="5"/>
        <v>448</v>
      </c>
      <c r="N9" s="151">
        <v>50</v>
      </c>
      <c r="O9" s="151">
        <v>700</v>
      </c>
      <c r="P9" s="169">
        <f t="shared" si="6"/>
        <v>448</v>
      </c>
      <c r="Q9" s="151">
        <v>50</v>
      </c>
      <c r="R9" s="151">
        <v>700</v>
      </c>
      <c r="S9" s="169">
        <f t="shared" si="7"/>
        <v>448</v>
      </c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218">
        <f t="shared" si="1"/>
        <v>300</v>
      </c>
      <c r="AP9" s="218">
        <f t="shared" si="2"/>
        <v>4200</v>
      </c>
      <c r="AQ9" s="218">
        <f t="shared" si="3"/>
        <v>2688</v>
      </c>
      <c r="AR9" s="218">
        <f t="shared" si="4"/>
        <v>537.6</v>
      </c>
    </row>
    <row r="10" spans="1:45" ht="20.399999999999999">
      <c r="A10" s="151">
        <v>34</v>
      </c>
      <c r="B10" s="151" t="s">
        <v>27</v>
      </c>
      <c r="C10" s="151">
        <v>0.64</v>
      </c>
      <c r="D10" s="151" t="s">
        <v>20</v>
      </c>
      <c r="E10" s="151">
        <v>550</v>
      </c>
      <c r="F10" s="151">
        <v>7700</v>
      </c>
      <c r="G10" s="151">
        <v>4928</v>
      </c>
      <c r="H10" s="151">
        <v>600</v>
      </c>
      <c r="I10" s="151">
        <v>8400</v>
      </c>
      <c r="J10" s="168">
        <f t="shared" si="0"/>
        <v>5376</v>
      </c>
      <c r="K10" s="151">
        <v>650</v>
      </c>
      <c r="L10" s="151">
        <v>9100</v>
      </c>
      <c r="M10" s="169">
        <f t="shared" si="5"/>
        <v>5824</v>
      </c>
      <c r="N10" s="151">
        <v>550</v>
      </c>
      <c r="O10" s="151">
        <v>7700</v>
      </c>
      <c r="P10" s="169">
        <f t="shared" si="6"/>
        <v>4928</v>
      </c>
      <c r="Q10" s="151">
        <v>550</v>
      </c>
      <c r="R10" s="151">
        <v>7700</v>
      </c>
      <c r="S10" s="169">
        <f t="shared" si="7"/>
        <v>4928</v>
      </c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218">
        <f t="shared" si="1"/>
        <v>2900</v>
      </c>
      <c r="AP10" s="218">
        <f t="shared" si="2"/>
        <v>40600</v>
      </c>
      <c r="AQ10" s="218">
        <f t="shared" si="3"/>
        <v>25984</v>
      </c>
      <c r="AR10" s="218">
        <f t="shared" si="4"/>
        <v>5196.8</v>
      </c>
    </row>
    <row r="11" spans="1:45" ht="20.399999999999999">
      <c r="A11" s="151">
        <v>37</v>
      </c>
      <c r="B11" s="151" t="s">
        <v>29</v>
      </c>
      <c r="C11" s="151">
        <v>0.64</v>
      </c>
      <c r="D11" s="151" t="s">
        <v>20</v>
      </c>
      <c r="E11" s="151">
        <v>100</v>
      </c>
      <c r="F11" s="151">
        <v>1400</v>
      </c>
      <c r="G11" s="151">
        <v>896</v>
      </c>
      <c r="H11" s="151">
        <v>50</v>
      </c>
      <c r="I11" s="151">
        <v>700</v>
      </c>
      <c r="J11" s="168">
        <f t="shared" si="0"/>
        <v>448</v>
      </c>
      <c r="K11" s="151"/>
      <c r="L11" s="151"/>
      <c r="M11" s="169">
        <f t="shared" si="5"/>
        <v>0</v>
      </c>
      <c r="N11" s="151"/>
      <c r="O11" s="151"/>
      <c r="P11" s="169">
        <f t="shared" si="6"/>
        <v>0</v>
      </c>
      <c r="Q11" s="151"/>
      <c r="R11" s="151"/>
      <c r="S11" s="169">
        <f t="shared" si="7"/>
        <v>0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218">
        <f t="shared" si="1"/>
        <v>150</v>
      </c>
      <c r="AP11" s="218">
        <f t="shared" si="2"/>
        <v>2100</v>
      </c>
      <c r="AQ11" s="218">
        <f t="shared" si="3"/>
        <v>1344</v>
      </c>
      <c r="AR11" s="218">
        <f t="shared" si="4"/>
        <v>268.8</v>
      </c>
    </row>
    <row r="12" spans="1:45" ht="20.399999999999999">
      <c r="A12" s="151">
        <v>75</v>
      </c>
      <c r="B12" s="151" t="s">
        <v>36</v>
      </c>
      <c r="C12" s="151">
        <v>1</v>
      </c>
      <c r="D12" s="151" t="s">
        <v>15</v>
      </c>
      <c r="E12" s="151">
        <v>40</v>
      </c>
      <c r="F12" s="151">
        <v>480</v>
      </c>
      <c r="G12" s="151">
        <v>480</v>
      </c>
      <c r="H12" s="151"/>
      <c r="I12" s="151"/>
      <c r="J12" s="168">
        <f t="shared" ref="J12:J13" si="8">I12*$C12</f>
        <v>0</v>
      </c>
      <c r="K12" s="151"/>
      <c r="L12" s="151"/>
      <c r="M12" s="169">
        <f t="shared" ref="M12:M14" si="9">L12*$C12</f>
        <v>0</v>
      </c>
      <c r="N12" s="151"/>
      <c r="O12" s="151"/>
      <c r="P12" s="169">
        <f t="shared" ref="P12:P14" si="10">O12*$C12</f>
        <v>0</v>
      </c>
      <c r="Q12" s="151"/>
      <c r="R12" s="151"/>
      <c r="S12" s="169">
        <f t="shared" ref="S12:S14" si="11">R12*$C12</f>
        <v>0</v>
      </c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218">
        <f t="shared" ref="AO12:AO14" si="12">E12+H12+K12+N12+Q12</f>
        <v>40</v>
      </c>
      <c r="AP12" s="218">
        <f t="shared" ref="AP12:AP14" si="13">F12+I12+L12+O12+R12</f>
        <v>480</v>
      </c>
      <c r="AQ12" s="218">
        <f t="shared" ref="AQ12:AQ14" si="14">G12+J12+M12+P12+S12</f>
        <v>480</v>
      </c>
      <c r="AR12" s="218">
        <f t="shared" ref="AR12:AR14" si="15">AQ12/5</f>
        <v>96</v>
      </c>
    </row>
    <row r="13" spans="1:45" ht="20.399999999999999">
      <c r="A13" s="151">
        <v>76</v>
      </c>
      <c r="B13" s="151" t="s">
        <v>37</v>
      </c>
      <c r="C13" s="151">
        <v>0.6</v>
      </c>
      <c r="D13" s="151" t="s">
        <v>18</v>
      </c>
      <c r="E13" s="151">
        <v>30</v>
      </c>
      <c r="F13" s="151">
        <v>720</v>
      </c>
      <c r="G13" s="151">
        <v>432</v>
      </c>
      <c r="H13" s="151"/>
      <c r="I13" s="151"/>
      <c r="J13" s="168">
        <f t="shared" si="8"/>
        <v>0</v>
      </c>
      <c r="K13" s="151"/>
      <c r="L13" s="151"/>
      <c r="M13" s="169">
        <f t="shared" si="9"/>
        <v>0</v>
      </c>
      <c r="N13" s="151"/>
      <c r="O13" s="151"/>
      <c r="P13" s="169">
        <f t="shared" si="10"/>
        <v>0</v>
      </c>
      <c r="Q13" s="151">
        <v>20</v>
      </c>
      <c r="R13" s="151">
        <v>480</v>
      </c>
      <c r="S13" s="169">
        <f t="shared" si="11"/>
        <v>288</v>
      </c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218">
        <f t="shared" si="12"/>
        <v>50</v>
      </c>
      <c r="AP13" s="218">
        <f t="shared" si="13"/>
        <v>1200</v>
      </c>
      <c r="AQ13" s="218">
        <f t="shared" si="14"/>
        <v>720</v>
      </c>
      <c r="AR13" s="218">
        <f t="shared" si="15"/>
        <v>144</v>
      </c>
    </row>
    <row r="14" spans="1:45" ht="20.399999999999999">
      <c r="A14" s="151">
        <v>80</v>
      </c>
      <c r="B14" s="151" t="s">
        <v>40</v>
      </c>
      <c r="C14" s="151">
        <v>0.64</v>
      </c>
      <c r="D14" s="151" t="s">
        <v>127</v>
      </c>
      <c r="E14" s="151">
        <v>50</v>
      </c>
      <c r="F14" s="151">
        <v>1200</v>
      </c>
      <c r="G14" s="151">
        <v>768</v>
      </c>
      <c r="H14" s="151">
        <v>50</v>
      </c>
      <c r="I14" s="151">
        <v>1200</v>
      </c>
      <c r="J14" s="168">
        <v>768</v>
      </c>
      <c r="K14" s="151"/>
      <c r="L14" s="151"/>
      <c r="M14" s="169">
        <f t="shared" si="9"/>
        <v>0</v>
      </c>
      <c r="N14" s="151">
        <v>30</v>
      </c>
      <c r="O14" s="151">
        <v>720</v>
      </c>
      <c r="P14" s="169">
        <f t="shared" si="10"/>
        <v>460.8</v>
      </c>
      <c r="Q14" s="151">
        <v>30</v>
      </c>
      <c r="R14" s="151">
        <v>720</v>
      </c>
      <c r="S14" s="169">
        <f t="shared" si="11"/>
        <v>460.8</v>
      </c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218">
        <f t="shared" si="12"/>
        <v>160</v>
      </c>
      <c r="AP14" s="218">
        <f t="shared" si="13"/>
        <v>3840</v>
      </c>
      <c r="AQ14" s="218">
        <f t="shared" si="14"/>
        <v>2457.6</v>
      </c>
      <c r="AR14" s="218">
        <f t="shared" si="15"/>
        <v>491.52</v>
      </c>
    </row>
    <row r="15" spans="1:45" ht="35.25" customHeight="1">
      <c r="A15" s="151"/>
      <c r="B15" s="151" t="s">
        <v>128</v>
      </c>
      <c r="C15" s="151"/>
      <c r="D15" s="151"/>
      <c r="E15" s="170">
        <f t="shared" ref="E15:AN15" si="16">SUM(E5:E14)</f>
        <v>1460</v>
      </c>
      <c r="F15" s="170">
        <f t="shared" si="16"/>
        <v>20980</v>
      </c>
      <c r="G15" s="170">
        <f t="shared" si="16"/>
        <v>13960</v>
      </c>
      <c r="H15" s="170">
        <f t="shared" si="16"/>
        <v>1320</v>
      </c>
      <c r="I15" s="170">
        <f t="shared" si="16"/>
        <v>18740</v>
      </c>
      <c r="J15" s="170">
        <f t="shared" si="16"/>
        <v>12512</v>
      </c>
      <c r="K15" s="170">
        <f t="shared" si="16"/>
        <v>1050</v>
      </c>
      <c r="L15" s="170">
        <f t="shared" si="16"/>
        <v>14700</v>
      </c>
      <c r="M15" s="170">
        <f t="shared" si="16"/>
        <v>9408</v>
      </c>
      <c r="N15" s="170">
        <f t="shared" si="16"/>
        <v>1100</v>
      </c>
      <c r="O15" s="170">
        <f t="shared" si="16"/>
        <v>15700</v>
      </c>
      <c r="P15" s="170">
        <f t="shared" si="16"/>
        <v>10048</v>
      </c>
      <c r="Q15" s="170">
        <f t="shared" si="16"/>
        <v>1060</v>
      </c>
      <c r="R15" s="170">
        <f t="shared" si="16"/>
        <v>15230</v>
      </c>
      <c r="S15" s="170">
        <f t="shared" si="16"/>
        <v>9965.5999999999985</v>
      </c>
      <c r="T15" s="170">
        <f t="shared" si="16"/>
        <v>0</v>
      </c>
      <c r="U15" s="170">
        <f t="shared" si="16"/>
        <v>0</v>
      </c>
      <c r="V15" s="170">
        <f t="shared" si="16"/>
        <v>0</v>
      </c>
      <c r="W15" s="170">
        <f t="shared" si="16"/>
        <v>0</v>
      </c>
      <c r="X15" s="170">
        <f t="shared" si="16"/>
        <v>0</v>
      </c>
      <c r="Y15" s="170">
        <f t="shared" si="16"/>
        <v>0</v>
      </c>
      <c r="Z15" s="170">
        <f t="shared" si="16"/>
        <v>0</v>
      </c>
      <c r="AA15" s="170">
        <f t="shared" si="16"/>
        <v>0</v>
      </c>
      <c r="AB15" s="170">
        <f t="shared" si="16"/>
        <v>0</v>
      </c>
      <c r="AC15" s="170">
        <f t="shared" si="16"/>
        <v>0</v>
      </c>
      <c r="AD15" s="170">
        <f t="shared" si="16"/>
        <v>0</v>
      </c>
      <c r="AE15" s="170">
        <f t="shared" si="16"/>
        <v>0</v>
      </c>
      <c r="AF15" s="170">
        <f t="shared" si="16"/>
        <v>0</v>
      </c>
      <c r="AG15" s="170">
        <f t="shared" si="16"/>
        <v>0</v>
      </c>
      <c r="AH15" s="170">
        <f t="shared" si="16"/>
        <v>0</v>
      </c>
      <c r="AI15" s="170">
        <f t="shared" si="16"/>
        <v>0</v>
      </c>
      <c r="AJ15" s="170">
        <f t="shared" si="16"/>
        <v>0</v>
      </c>
      <c r="AK15" s="170">
        <f t="shared" si="16"/>
        <v>0</v>
      </c>
      <c r="AL15" s="170">
        <f t="shared" si="16"/>
        <v>0</v>
      </c>
      <c r="AM15" s="170">
        <f t="shared" si="16"/>
        <v>0</v>
      </c>
      <c r="AN15" s="170">
        <f t="shared" si="16"/>
        <v>0</v>
      </c>
      <c r="AO15" s="218">
        <f t="shared" ref="AO15" si="17">E15+H15+K15+N15+Q15</f>
        <v>5990</v>
      </c>
      <c r="AP15" s="218">
        <f t="shared" ref="AP15" si="18">F15+I15+L15+O15+R15</f>
        <v>85350</v>
      </c>
      <c r="AQ15" s="218">
        <f t="shared" ref="AQ15" si="19">G15+J15+M15+P15+S15</f>
        <v>55893.599999999999</v>
      </c>
      <c r="AR15" s="218">
        <f t="shared" ref="AR15" si="20">AQ15/5</f>
        <v>11178.72</v>
      </c>
    </row>
    <row r="16" spans="1:45" ht="20.399999999999999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</row>
    <row r="17" spans="1:40" ht="20.399999999999999">
      <c r="A17" s="151">
        <v>109</v>
      </c>
      <c r="B17" s="151" t="s">
        <v>46</v>
      </c>
      <c r="C17" s="151">
        <v>0.7</v>
      </c>
      <c r="D17" s="151" t="s">
        <v>15</v>
      </c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</row>
    <row r="18" spans="1:40" ht="20.399999999999999">
      <c r="A18" s="151">
        <v>110</v>
      </c>
      <c r="B18" s="151" t="s">
        <v>47</v>
      </c>
      <c r="C18" s="151">
        <v>0.35</v>
      </c>
      <c r="D18" s="151" t="s">
        <v>18</v>
      </c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</row>
    <row r="19" spans="1:40" ht="20.399999999999999">
      <c r="A19" s="151">
        <v>111</v>
      </c>
      <c r="B19" s="151" t="s">
        <v>48</v>
      </c>
      <c r="C19" s="151">
        <v>0.17499999999999999</v>
      </c>
      <c r="D19" s="151" t="s">
        <v>49</v>
      </c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</row>
    <row r="20" spans="1:40" ht="20.399999999999999">
      <c r="A20" s="151">
        <v>112</v>
      </c>
      <c r="B20" s="151" t="s">
        <v>50</v>
      </c>
      <c r="C20" s="151">
        <v>0.7</v>
      </c>
      <c r="D20" s="151" t="s">
        <v>15</v>
      </c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</row>
    <row r="21" spans="1:40" ht="20.399999999999999">
      <c r="A21" s="151">
        <v>113</v>
      </c>
      <c r="B21" s="151" t="s">
        <v>51</v>
      </c>
      <c r="C21" s="151">
        <v>0.35</v>
      </c>
      <c r="D21" s="151" t="s">
        <v>18</v>
      </c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</row>
    <row r="22" spans="1:40" ht="20.399999999999999">
      <c r="A22" s="151">
        <v>114</v>
      </c>
      <c r="B22" s="151" t="s">
        <v>52</v>
      </c>
      <c r="C22" s="151">
        <v>0.17499999999999999</v>
      </c>
      <c r="D22" s="151" t="s">
        <v>49</v>
      </c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</row>
    <row r="23" spans="1:40" ht="20.399999999999999">
      <c r="A23" s="151">
        <v>115</v>
      </c>
      <c r="B23" s="151" t="s">
        <v>53</v>
      </c>
      <c r="C23" s="151">
        <v>0.7</v>
      </c>
      <c r="D23" s="151" t="s">
        <v>15</v>
      </c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</row>
    <row r="24" spans="1:40" ht="20.399999999999999">
      <c r="A24" s="151">
        <v>116</v>
      </c>
      <c r="B24" s="151" t="s">
        <v>54</v>
      </c>
      <c r="C24" s="151">
        <v>0.7</v>
      </c>
      <c r="D24" s="151" t="s">
        <v>15</v>
      </c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</row>
    <row r="25" spans="1:40" ht="20.399999999999999">
      <c r="A25" s="151">
        <v>117</v>
      </c>
      <c r="B25" s="151" t="s">
        <v>55</v>
      </c>
      <c r="C25" s="151">
        <v>0.35</v>
      </c>
      <c r="D25" s="151" t="s">
        <v>18</v>
      </c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</row>
    <row r="26" spans="1:40" ht="20.399999999999999">
      <c r="A26" s="151">
        <v>118</v>
      </c>
      <c r="B26" s="151" t="s">
        <v>56</v>
      </c>
      <c r="C26" s="151">
        <v>0.7</v>
      </c>
      <c r="D26" s="151" t="s">
        <v>15</v>
      </c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</row>
    <row r="27" spans="1:40" ht="20.399999999999999">
      <c r="A27" s="151">
        <v>119</v>
      </c>
      <c r="B27" s="151" t="s">
        <v>57</v>
      </c>
      <c r="C27" s="151">
        <v>0.35</v>
      </c>
      <c r="D27" s="151" t="s">
        <v>18</v>
      </c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</row>
    <row r="28" spans="1:40" ht="20.399999999999999">
      <c r="A28" s="151">
        <v>120</v>
      </c>
      <c r="B28" s="151" t="s">
        <v>58</v>
      </c>
      <c r="C28" s="151">
        <v>0.7</v>
      </c>
      <c r="D28" s="151" t="s">
        <v>129</v>
      </c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</row>
    <row r="29" spans="1:40" ht="36.75" customHeight="1">
      <c r="A29" s="151"/>
      <c r="B29" s="151" t="s">
        <v>128</v>
      </c>
      <c r="C29" s="151"/>
      <c r="D29" s="15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</row>
    <row r="30" spans="1:40" ht="45" customHeight="1">
      <c r="A30" s="151"/>
      <c r="B30" s="151" t="s">
        <v>61</v>
      </c>
      <c r="C30" s="151"/>
      <c r="D30" s="151"/>
      <c r="E30" s="172">
        <f>E15+E29</f>
        <v>1460</v>
      </c>
      <c r="F30" s="172">
        <f t="shared" ref="F30:AN30" si="21">F15+F29</f>
        <v>20980</v>
      </c>
      <c r="G30" s="172">
        <f t="shared" si="21"/>
        <v>13960</v>
      </c>
      <c r="H30" s="172">
        <f t="shared" si="21"/>
        <v>1320</v>
      </c>
      <c r="I30" s="172">
        <f t="shared" si="21"/>
        <v>18740</v>
      </c>
      <c r="J30" s="172">
        <f t="shared" si="21"/>
        <v>12512</v>
      </c>
      <c r="K30" s="172">
        <f t="shared" si="21"/>
        <v>1050</v>
      </c>
      <c r="L30" s="172">
        <f t="shared" si="21"/>
        <v>14700</v>
      </c>
      <c r="M30" s="172">
        <f t="shared" si="21"/>
        <v>9408</v>
      </c>
      <c r="N30" s="172">
        <f t="shared" si="21"/>
        <v>1100</v>
      </c>
      <c r="O30" s="172">
        <f t="shared" si="21"/>
        <v>15700</v>
      </c>
      <c r="P30" s="172">
        <f t="shared" si="21"/>
        <v>10048</v>
      </c>
      <c r="Q30" s="172">
        <f t="shared" si="21"/>
        <v>1060</v>
      </c>
      <c r="R30" s="172">
        <f t="shared" si="21"/>
        <v>15230</v>
      </c>
      <c r="S30" s="172">
        <f t="shared" si="21"/>
        <v>9965.5999999999985</v>
      </c>
      <c r="T30" s="172">
        <f t="shared" si="21"/>
        <v>0</v>
      </c>
      <c r="U30" s="172">
        <f t="shared" si="21"/>
        <v>0</v>
      </c>
      <c r="V30" s="172">
        <f t="shared" si="21"/>
        <v>0</v>
      </c>
      <c r="W30" s="172">
        <f t="shared" si="21"/>
        <v>0</v>
      </c>
      <c r="X30" s="172">
        <f t="shared" si="21"/>
        <v>0</v>
      </c>
      <c r="Y30" s="172">
        <f t="shared" si="21"/>
        <v>0</v>
      </c>
      <c r="Z30" s="172">
        <f t="shared" si="21"/>
        <v>0</v>
      </c>
      <c r="AA30" s="172">
        <f t="shared" si="21"/>
        <v>0</v>
      </c>
      <c r="AB30" s="172">
        <f t="shared" si="21"/>
        <v>0</v>
      </c>
      <c r="AC30" s="172">
        <f t="shared" si="21"/>
        <v>0</v>
      </c>
      <c r="AD30" s="172">
        <f t="shared" si="21"/>
        <v>0</v>
      </c>
      <c r="AE30" s="172">
        <f t="shared" si="21"/>
        <v>0</v>
      </c>
      <c r="AF30" s="172">
        <f t="shared" si="21"/>
        <v>0</v>
      </c>
      <c r="AG30" s="172">
        <f t="shared" si="21"/>
        <v>0</v>
      </c>
      <c r="AH30" s="172">
        <f t="shared" si="21"/>
        <v>0</v>
      </c>
      <c r="AI30" s="172">
        <f t="shared" si="21"/>
        <v>0</v>
      </c>
      <c r="AJ30" s="172">
        <f t="shared" si="21"/>
        <v>0</v>
      </c>
      <c r="AK30" s="172">
        <f t="shared" si="21"/>
        <v>0</v>
      </c>
      <c r="AL30" s="172">
        <f t="shared" si="21"/>
        <v>0</v>
      </c>
      <c r="AM30" s="172">
        <f t="shared" si="21"/>
        <v>0</v>
      </c>
      <c r="AN30" s="172">
        <f t="shared" si="21"/>
        <v>0</v>
      </c>
    </row>
    <row r="31" spans="1:40" ht="20.399999999999999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</row>
  </sheetData>
  <autoFilter ref="A4:AS15" xr:uid="{33B1F6DF-B1C1-485E-A67A-7525A46AE139}"/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E2E8-C544-4020-B2C7-183D3928EF0A}">
  <sheetPr>
    <tabColor rgb="FFFF0000"/>
  </sheetPr>
  <dimension ref="A1:AS28"/>
  <sheetViews>
    <sheetView workbookViewId="0">
      <pane xSplit="4" ySplit="4" topLeftCell="K5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12"/>
    </sheetView>
  </sheetViews>
  <sheetFormatPr defaultColWidth="9.109375" defaultRowHeight="13.8"/>
  <cols>
    <col min="1" max="1" width="5.44140625" style="162" customWidth="1"/>
    <col min="2" max="2" width="31.5546875" style="162" customWidth="1"/>
    <col min="3" max="4" width="9.109375" style="162"/>
    <col min="5" max="5" width="9.5546875" style="162" customWidth="1"/>
    <col min="6" max="7" width="10.5546875" style="162" customWidth="1"/>
    <col min="8" max="9" width="9.33203125" style="162" bestFit="1" customWidth="1"/>
    <col min="10" max="10" width="9.5546875" style="162" bestFit="1" customWidth="1"/>
    <col min="11" max="12" width="9.33203125" style="162" bestFit="1" customWidth="1"/>
    <col min="13" max="13" width="9.5546875" style="162" bestFit="1" customWidth="1"/>
    <col min="14" max="15" width="9.33203125" style="162" bestFit="1" customWidth="1"/>
    <col min="16" max="16" width="9.5546875" style="162" bestFit="1" customWidth="1"/>
    <col min="17" max="18" width="9.33203125" style="162" bestFit="1" customWidth="1"/>
    <col min="19" max="19" width="9.554687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5" ht="55.5" customHeight="1">
      <c r="B1" s="148" t="s">
        <v>137</v>
      </c>
      <c r="C1" s="149"/>
      <c r="D1" s="149"/>
    </row>
    <row r="2" spans="1:45" ht="27" customHeight="1"/>
    <row r="3" spans="1:45" ht="47.2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66" t="s">
        <v>115</v>
      </c>
      <c r="F3" s="967"/>
      <c r="G3" s="968"/>
      <c r="H3" s="966" t="s">
        <v>116</v>
      </c>
      <c r="I3" s="967"/>
      <c r="J3" s="968"/>
      <c r="K3" s="966" t="s">
        <v>117</v>
      </c>
      <c r="L3" s="967"/>
      <c r="M3" s="968"/>
      <c r="N3" s="966" t="s">
        <v>118</v>
      </c>
      <c r="O3" s="967"/>
      <c r="P3" s="968"/>
      <c r="Q3" s="966" t="s">
        <v>119</v>
      </c>
      <c r="R3" s="967"/>
      <c r="S3" s="968"/>
      <c r="T3" s="966" t="s">
        <v>120</v>
      </c>
      <c r="U3" s="967"/>
      <c r="V3" s="968"/>
      <c r="W3" s="966" t="s">
        <v>121</v>
      </c>
      <c r="X3" s="967"/>
      <c r="Y3" s="968"/>
      <c r="Z3" s="966" t="s">
        <v>122</v>
      </c>
      <c r="AA3" s="967"/>
      <c r="AB3" s="968"/>
      <c r="AC3" s="966" t="s">
        <v>123</v>
      </c>
      <c r="AD3" s="967"/>
      <c r="AE3" s="968"/>
      <c r="AF3" s="966" t="s">
        <v>92</v>
      </c>
      <c r="AG3" s="967"/>
      <c r="AH3" s="968"/>
      <c r="AI3" s="966" t="s">
        <v>93</v>
      </c>
      <c r="AJ3" s="967"/>
      <c r="AK3" s="968"/>
      <c r="AL3" s="965" t="s">
        <v>94</v>
      </c>
      <c r="AM3" s="965"/>
      <c r="AN3" s="965"/>
      <c r="AO3" s="963" t="s">
        <v>140</v>
      </c>
      <c r="AP3" s="963"/>
      <c r="AQ3" s="963"/>
      <c r="AR3" s="180" t="s">
        <v>95</v>
      </c>
      <c r="AS3" s="181" t="s">
        <v>67</v>
      </c>
    </row>
    <row r="4" spans="1:45" ht="28.5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6" t="s">
        <v>141</v>
      </c>
      <c r="AP4" s="176" t="s">
        <v>142</v>
      </c>
      <c r="AQ4" s="176" t="s">
        <v>97</v>
      </c>
      <c r="AR4" s="192" t="s">
        <v>97</v>
      </c>
      <c r="AS4" s="192" t="s">
        <v>97</v>
      </c>
    </row>
    <row r="5" spans="1:45" ht="20.399999999999999">
      <c r="A5" s="151">
        <v>1</v>
      </c>
      <c r="B5" s="151" t="s">
        <v>13</v>
      </c>
      <c r="C5" s="151">
        <v>0.7</v>
      </c>
      <c r="D5" s="151" t="s">
        <v>15</v>
      </c>
      <c r="E5" s="151"/>
      <c r="F5" s="151"/>
      <c r="G5" s="151"/>
      <c r="H5" s="151">
        <v>150</v>
      </c>
      <c r="I5" s="151">
        <v>1800</v>
      </c>
      <c r="J5" s="168">
        <v>1260</v>
      </c>
      <c r="K5" s="151"/>
      <c r="L5" s="151"/>
      <c r="M5" s="151"/>
      <c r="N5" s="151"/>
      <c r="O5" s="151"/>
      <c r="P5" s="151"/>
      <c r="Q5" s="151">
        <v>215</v>
      </c>
      <c r="R5" s="151">
        <v>2580</v>
      </c>
      <c r="S5" s="169">
        <f>R5*$C5</f>
        <v>1805.9999999999998</v>
      </c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62">
        <f>E5+H5+K5+N5+Q5</f>
        <v>365</v>
      </c>
      <c r="AP5" s="162">
        <f t="shared" ref="AP5:AQ5" si="0">F5+I5+L5+O5+R5</f>
        <v>4380</v>
      </c>
      <c r="AQ5" s="218">
        <f t="shared" si="0"/>
        <v>3066</v>
      </c>
      <c r="AR5" s="218">
        <f>AQ5/5</f>
        <v>613.20000000000005</v>
      </c>
    </row>
    <row r="6" spans="1:45" ht="20.399999999999999">
      <c r="A6" s="151">
        <v>8</v>
      </c>
      <c r="B6" s="151" t="s">
        <v>125</v>
      </c>
      <c r="C6" s="151">
        <v>0.64</v>
      </c>
      <c r="D6" s="151" t="s">
        <v>20</v>
      </c>
      <c r="E6" s="151">
        <v>835</v>
      </c>
      <c r="F6" s="151">
        <v>11690</v>
      </c>
      <c r="G6" s="151">
        <v>7481.6</v>
      </c>
      <c r="H6" s="151">
        <v>470</v>
      </c>
      <c r="I6" s="151">
        <v>6580</v>
      </c>
      <c r="J6" s="168">
        <v>4211.2</v>
      </c>
      <c r="K6" s="151">
        <v>680</v>
      </c>
      <c r="L6" s="151">
        <v>9520</v>
      </c>
      <c r="M6" s="169">
        <f>L6*$C6</f>
        <v>6092.8</v>
      </c>
      <c r="N6" s="151">
        <v>200</v>
      </c>
      <c r="O6" s="151">
        <v>2800</v>
      </c>
      <c r="P6" s="169">
        <f>O6*$C6</f>
        <v>1792</v>
      </c>
      <c r="Q6" s="151">
        <v>797</v>
      </c>
      <c r="R6" s="151">
        <v>11158</v>
      </c>
      <c r="S6" s="169">
        <f t="shared" ref="S6:S8" si="1">R6*$C6</f>
        <v>7141.12</v>
      </c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62">
        <f t="shared" ref="AO6:AO8" si="2">E6+H6+K6+N6+Q6</f>
        <v>2982</v>
      </c>
      <c r="AP6" s="162">
        <f t="shared" ref="AP6:AP8" si="3">F6+I6+L6+O6+R6</f>
        <v>41748</v>
      </c>
      <c r="AQ6" s="218">
        <f t="shared" ref="AQ6:AQ8" si="4">G6+J6+M6+P6+S6</f>
        <v>26718.719999999998</v>
      </c>
      <c r="AR6" s="218">
        <f t="shared" ref="AR6:AR8" si="5">AQ6/5</f>
        <v>5343.7439999999997</v>
      </c>
    </row>
    <row r="7" spans="1:45" ht="20.399999999999999">
      <c r="A7" s="151">
        <v>11</v>
      </c>
      <c r="B7" s="151" t="s">
        <v>21</v>
      </c>
      <c r="C7" s="151">
        <v>1</v>
      </c>
      <c r="D7" s="151" t="s">
        <v>15</v>
      </c>
      <c r="E7" s="151"/>
      <c r="F7" s="151"/>
      <c r="G7" s="151"/>
      <c r="H7" s="151"/>
      <c r="I7" s="151"/>
      <c r="J7" s="168">
        <f t="shared" ref="J7" si="6">I7*$C7</f>
        <v>0</v>
      </c>
      <c r="K7" s="151"/>
      <c r="L7" s="151"/>
      <c r="M7" s="169">
        <f t="shared" ref="M7:M9" si="7">L7*$C7</f>
        <v>0</v>
      </c>
      <c r="N7" s="151"/>
      <c r="O7" s="151"/>
      <c r="P7" s="169">
        <f t="shared" ref="P7:P9" si="8">O7*$C7</f>
        <v>0</v>
      </c>
      <c r="Q7" s="151">
        <v>30</v>
      </c>
      <c r="R7" s="151">
        <v>360</v>
      </c>
      <c r="S7" s="169">
        <f t="shared" si="1"/>
        <v>360</v>
      </c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62">
        <f t="shared" si="2"/>
        <v>30</v>
      </c>
      <c r="AP7" s="162">
        <f t="shared" si="3"/>
        <v>360</v>
      </c>
      <c r="AQ7" s="218">
        <f t="shared" si="4"/>
        <v>360</v>
      </c>
      <c r="AR7" s="218">
        <f t="shared" si="5"/>
        <v>72</v>
      </c>
    </row>
    <row r="8" spans="1:45" ht="20.399999999999999">
      <c r="A8" s="151">
        <v>17</v>
      </c>
      <c r="B8" s="151" t="s">
        <v>23</v>
      </c>
      <c r="C8" s="151">
        <v>0.64</v>
      </c>
      <c r="D8" s="151" t="s">
        <v>20</v>
      </c>
      <c r="E8" s="151">
        <v>65</v>
      </c>
      <c r="F8" s="151">
        <v>910</v>
      </c>
      <c r="G8" s="151">
        <v>582.40000000000009</v>
      </c>
      <c r="H8" s="151">
        <v>20</v>
      </c>
      <c r="I8" s="151">
        <v>280</v>
      </c>
      <c r="J8" s="168">
        <v>179.20000000000002</v>
      </c>
      <c r="K8" s="151">
        <v>70</v>
      </c>
      <c r="L8" s="151">
        <v>980</v>
      </c>
      <c r="M8" s="169">
        <f t="shared" si="7"/>
        <v>627.20000000000005</v>
      </c>
      <c r="N8" s="151"/>
      <c r="O8" s="151"/>
      <c r="P8" s="169">
        <f t="shared" si="8"/>
        <v>0</v>
      </c>
      <c r="Q8" s="151">
        <v>315</v>
      </c>
      <c r="R8" s="151">
        <v>4410</v>
      </c>
      <c r="S8" s="169">
        <f t="shared" si="1"/>
        <v>2822.4</v>
      </c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62">
        <f t="shared" si="2"/>
        <v>470</v>
      </c>
      <c r="AP8" s="162">
        <f t="shared" si="3"/>
        <v>6580</v>
      </c>
      <c r="AQ8" s="218">
        <f t="shared" si="4"/>
        <v>4211.2000000000007</v>
      </c>
      <c r="AR8" s="218">
        <f t="shared" si="5"/>
        <v>842.24000000000012</v>
      </c>
    </row>
    <row r="9" spans="1:45" ht="20.399999999999999">
      <c r="A9" s="151">
        <v>61</v>
      </c>
      <c r="B9" s="151" t="s">
        <v>33</v>
      </c>
      <c r="C9" s="151">
        <v>0.64</v>
      </c>
      <c r="D9" s="151" t="s">
        <v>18</v>
      </c>
      <c r="E9" s="151">
        <v>85</v>
      </c>
      <c r="F9" s="151">
        <v>2040</v>
      </c>
      <c r="G9" s="151">
        <v>1305.5999999999999</v>
      </c>
      <c r="H9" s="151">
        <v>90</v>
      </c>
      <c r="I9" s="151">
        <v>2160</v>
      </c>
      <c r="J9" s="168">
        <v>1382.4</v>
      </c>
      <c r="K9" s="151">
        <v>240</v>
      </c>
      <c r="L9" s="151">
        <v>5760</v>
      </c>
      <c r="M9" s="169">
        <f t="shared" si="7"/>
        <v>3686.4</v>
      </c>
      <c r="N9" s="151"/>
      <c r="O9" s="151"/>
      <c r="P9" s="169">
        <f t="shared" si="8"/>
        <v>0</v>
      </c>
      <c r="Q9" s="151">
        <v>230</v>
      </c>
      <c r="R9" s="151">
        <v>5520</v>
      </c>
      <c r="S9" s="169">
        <f t="shared" ref="S9:S11" si="9">R9*$C9</f>
        <v>3532.8</v>
      </c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62">
        <f t="shared" ref="AO9:AO11" si="10">E9+H9+K9+N9+Q9</f>
        <v>645</v>
      </c>
      <c r="AP9" s="162">
        <f t="shared" ref="AP9:AP11" si="11">F9+I9+L9+O9+R9</f>
        <v>15480</v>
      </c>
      <c r="AQ9" s="218">
        <f t="shared" ref="AQ9:AQ11" si="12">G9+J9+M9+P9+S9</f>
        <v>9907.2000000000007</v>
      </c>
      <c r="AR9" s="218">
        <f t="shared" ref="AR9:AR11" si="13">AQ9/5</f>
        <v>1981.44</v>
      </c>
    </row>
    <row r="10" spans="1:45" ht="20.399999999999999">
      <c r="A10" s="151">
        <v>80</v>
      </c>
      <c r="B10" s="151" t="s">
        <v>40</v>
      </c>
      <c r="C10" s="151">
        <v>0.64</v>
      </c>
      <c r="D10" s="151" t="s">
        <v>127</v>
      </c>
      <c r="E10" s="151">
        <v>30</v>
      </c>
      <c r="F10" s="151">
        <v>720</v>
      </c>
      <c r="G10" s="151">
        <v>460.8</v>
      </c>
      <c r="H10" s="151"/>
      <c r="I10" s="151"/>
      <c r="J10" s="168"/>
      <c r="K10" s="151"/>
      <c r="L10" s="151"/>
      <c r="M10" s="169">
        <f t="shared" ref="M10:M11" si="14">L10*$C10</f>
        <v>0</v>
      </c>
      <c r="N10" s="151"/>
      <c r="O10" s="151"/>
      <c r="P10" s="169">
        <f t="shared" ref="P10:P11" si="15">O10*$C10</f>
        <v>0</v>
      </c>
      <c r="Q10" s="151">
        <v>20</v>
      </c>
      <c r="R10" s="151">
        <v>480</v>
      </c>
      <c r="S10" s="169">
        <f t="shared" si="9"/>
        <v>307.2</v>
      </c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62">
        <f t="shared" si="10"/>
        <v>50</v>
      </c>
      <c r="AP10" s="162">
        <f t="shared" si="11"/>
        <v>1200</v>
      </c>
      <c r="AQ10" s="218">
        <f t="shared" si="12"/>
        <v>768</v>
      </c>
      <c r="AR10" s="218">
        <f t="shared" si="13"/>
        <v>153.6</v>
      </c>
    </row>
    <row r="11" spans="1:45" ht="20.399999999999999">
      <c r="A11" s="151">
        <v>91</v>
      </c>
      <c r="B11" s="151" t="s">
        <v>38</v>
      </c>
      <c r="C11" s="151">
        <v>0.7</v>
      </c>
      <c r="D11" s="151" t="s">
        <v>15</v>
      </c>
      <c r="E11" s="151"/>
      <c r="F11" s="151"/>
      <c r="G11" s="151"/>
      <c r="H11" s="151"/>
      <c r="I11" s="151"/>
      <c r="J11" s="168">
        <f t="shared" ref="J11" si="16">I11*$C11</f>
        <v>0</v>
      </c>
      <c r="K11" s="151"/>
      <c r="L11" s="151"/>
      <c r="M11" s="169">
        <f t="shared" si="14"/>
        <v>0</v>
      </c>
      <c r="N11" s="151"/>
      <c r="O11" s="151"/>
      <c r="P11" s="169">
        <f t="shared" si="15"/>
        <v>0</v>
      </c>
      <c r="Q11" s="151">
        <v>20</v>
      </c>
      <c r="R11" s="151">
        <v>240</v>
      </c>
      <c r="S11" s="169">
        <f t="shared" si="9"/>
        <v>168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62">
        <f t="shared" si="10"/>
        <v>20</v>
      </c>
      <c r="AP11" s="162">
        <f t="shared" si="11"/>
        <v>240</v>
      </c>
      <c r="AQ11" s="218">
        <f t="shared" si="12"/>
        <v>168</v>
      </c>
      <c r="AR11" s="218">
        <f t="shared" si="13"/>
        <v>33.6</v>
      </c>
    </row>
    <row r="12" spans="1:45" ht="34.5" customHeight="1">
      <c r="A12" s="151"/>
      <c r="B12" s="151" t="s">
        <v>128</v>
      </c>
      <c r="C12" s="151"/>
      <c r="D12" s="151"/>
      <c r="E12" s="170">
        <f t="shared" ref="E12:AN12" si="17">SUM(E5:E11)</f>
        <v>1015</v>
      </c>
      <c r="F12" s="170">
        <f t="shared" si="17"/>
        <v>15360</v>
      </c>
      <c r="G12" s="170">
        <f t="shared" si="17"/>
        <v>9830.4</v>
      </c>
      <c r="H12" s="170">
        <f t="shared" si="17"/>
        <v>730</v>
      </c>
      <c r="I12" s="170">
        <f t="shared" si="17"/>
        <v>10820</v>
      </c>
      <c r="J12" s="170">
        <f t="shared" si="17"/>
        <v>7032.7999999999993</v>
      </c>
      <c r="K12" s="170">
        <f t="shared" si="17"/>
        <v>990</v>
      </c>
      <c r="L12" s="170">
        <f t="shared" si="17"/>
        <v>16260</v>
      </c>
      <c r="M12" s="170">
        <f t="shared" si="17"/>
        <v>10406.4</v>
      </c>
      <c r="N12" s="170">
        <f t="shared" si="17"/>
        <v>200</v>
      </c>
      <c r="O12" s="170">
        <f t="shared" si="17"/>
        <v>2800</v>
      </c>
      <c r="P12" s="170">
        <f t="shared" si="17"/>
        <v>1792</v>
      </c>
      <c r="Q12" s="170">
        <f t="shared" si="17"/>
        <v>1627</v>
      </c>
      <c r="R12" s="170">
        <f t="shared" si="17"/>
        <v>24748</v>
      </c>
      <c r="S12" s="170">
        <f t="shared" si="17"/>
        <v>16137.52</v>
      </c>
      <c r="T12" s="170">
        <f t="shared" si="17"/>
        <v>0</v>
      </c>
      <c r="U12" s="170">
        <f t="shared" si="17"/>
        <v>0</v>
      </c>
      <c r="V12" s="170">
        <f t="shared" si="17"/>
        <v>0</v>
      </c>
      <c r="W12" s="170">
        <f t="shared" si="17"/>
        <v>0</v>
      </c>
      <c r="X12" s="170">
        <f t="shared" si="17"/>
        <v>0</v>
      </c>
      <c r="Y12" s="170">
        <f t="shared" si="17"/>
        <v>0</v>
      </c>
      <c r="Z12" s="170">
        <f t="shared" si="17"/>
        <v>0</v>
      </c>
      <c r="AA12" s="170">
        <f t="shared" si="17"/>
        <v>0</v>
      </c>
      <c r="AB12" s="170">
        <f t="shared" si="17"/>
        <v>0</v>
      </c>
      <c r="AC12" s="170">
        <f t="shared" si="17"/>
        <v>0</v>
      </c>
      <c r="AD12" s="170">
        <f t="shared" si="17"/>
        <v>0</v>
      </c>
      <c r="AE12" s="170">
        <f t="shared" si="17"/>
        <v>0</v>
      </c>
      <c r="AF12" s="170">
        <f t="shared" si="17"/>
        <v>0</v>
      </c>
      <c r="AG12" s="170">
        <f t="shared" si="17"/>
        <v>0</v>
      </c>
      <c r="AH12" s="170">
        <f t="shared" si="17"/>
        <v>0</v>
      </c>
      <c r="AI12" s="170">
        <f t="shared" si="17"/>
        <v>0</v>
      </c>
      <c r="AJ12" s="170">
        <f t="shared" si="17"/>
        <v>0</v>
      </c>
      <c r="AK12" s="170">
        <f t="shared" si="17"/>
        <v>0</v>
      </c>
      <c r="AL12" s="170">
        <f t="shared" si="17"/>
        <v>0</v>
      </c>
      <c r="AM12" s="170">
        <f t="shared" si="17"/>
        <v>0</v>
      </c>
      <c r="AN12" s="170">
        <f t="shared" si="17"/>
        <v>0</v>
      </c>
      <c r="AO12" s="162">
        <f t="shared" ref="AO12" si="18">E12+H12+K12+N12+Q12</f>
        <v>4562</v>
      </c>
      <c r="AP12" s="162">
        <f t="shared" ref="AP12" si="19">F12+I12+L12+O12+R12</f>
        <v>69988</v>
      </c>
      <c r="AQ12" s="218">
        <f t="shared" ref="AQ12" si="20">G12+J12+M12+P12+S12</f>
        <v>45199.119999999995</v>
      </c>
      <c r="AR12" s="218">
        <f t="shared" ref="AR12" si="21">AQ12/5</f>
        <v>9039.8239999999987</v>
      </c>
    </row>
    <row r="13" spans="1:45" ht="20.399999999999999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</row>
    <row r="14" spans="1:45" ht="20.399999999999999">
      <c r="A14" s="151">
        <v>109</v>
      </c>
      <c r="B14" s="151" t="s">
        <v>46</v>
      </c>
      <c r="C14" s="151">
        <v>0.7</v>
      </c>
      <c r="D14" s="151" t="s">
        <v>15</v>
      </c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</row>
    <row r="15" spans="1:45" ht="20.399999999999999">
      <c r="A15" s="151">
        <v>110</v>
      </c>
      <c r="B15" s="151" t="s">
        <v>47</v>
      </c>
      <c r="C15" s="151">
        <v>0.35</v>
      </c>
      <c r="D15" s="151" t="s">
        <v>18</v>
      </c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</row>
    <row r="16" spans="1:45" ht="20.399999999999999">
      <c r="A16" s="151">
        <v>111</v>
      </c>
      <c r="B16" s="151" t="s">
        <v>48</v>
      </c>
      <c r="C16" s="151">
        <v>0.17499999999999999</v>
      </c>
      <c r="D16" s="151" t="s">
        <v>49</v>
      </c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</row>
    <row r="17" spans="1:40" ht="20.399999999999999">
      <c r="A17" s="151">
        <v>112</v>
      </c>
      <c r="B17" s="151" t="s">
        <v>50</v>
      </c>
      <c r="C17" s="151">
        <v>0.7</v>
      </c>
      <c r="D17" s="151" t="s">
        <v>15</v>
      </c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</row>
    <row r="18" spans="1:40" ht="20.399999999999999">
      <c r="A18" s="151">
        <v>113</v>
      </c>
      <c r="B18" s="151" t="s">
        <v>51</v>
      </c>
      <c r="C18" s="151">
        <v>0.35</v>
      </c>
      <c r="D18" s="151" t="s">
        <v>18</v>
      </c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</row>
    <row r="19" spans="1:40" ht="20.399999999999999">
      <c r="A19" s="151">
        <v>114</v>
      </c>
      <c r="B19" s="151" t="s">
        <v>52</v>
      </c>
      <c r="C19" s="151">
        <v>0.17499999999999999</v>
      </c>
      <c r="D19" s="151" t="s">
        <v>49</v>
      </c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</row>
    <row r="20" spans="1:40" ht="20.399999999999999">
      <c r="A20" s="151">
        <v>115</v>
      </c>
      <c r="B20" s="151" t="s">
        <v>53</v>
      </c>
      <c r="C20" s="151">
        <v>0.7</v>
      </c>
      <c r="D20" s="151" t="s">
        <v>15</v>
      </c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</row>
    <row r="21" spans="1:40" ht="20.399999999999999">
      <c r="A21" s="151">
        <v>116</v>
      </c>
      <c r="B21" s="151" t="s">
        <v>54</v>
      </c>
      <c r="C21" s="151">
        <v>0.7</v>
      </c>
      <c r="D21" s="151" t="s">
        <v>15</v>
      </c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</row>
    <row r="22" spans="1:40" ht="20.399999999999999">
      <c r="A22" s="151">
        <v>117</v>
      </c>
      <c r="B22" s="151" t="s">
        <v>55</v>
      </c>
      <c r="C22" s="151">
        <v>0.35</v>
      </c>
      <c r="D22" s="151" t="s">
        <v>18</v>
      </c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</row>
    <row r="23" spans="1:40" ht="20.399999999999999">
      <c r="A23" s="151">
        <v>118</v>
      </c>
      <c r="B23" s="151" t="s">
        <v>56</v>
      </c>
      <c r="C23" s="151">
        <v>0.7</v>
      </c>
      <c r="D23" s="151" t="s">
        <v>15</v>
      </c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</row>
    <row r="24" spans="1:40" ht="20.399999999999999">
      <c r="A24" s="151">
        <v>119</v>
      </c>
      <c r="B24" s="151" t="s">
        <v>57</v>
      </c>
      <c r="C24" s="151">
        <v>0.35</v>
      </c>
      <c r="D24" s="151" t="s">
        <v>18</v>
      </c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</row>
    <row r="25" spans="1:40" ht="20.399999999999999">
      <c r="A25" s="151">
        <v>120</v>
      </c>
      <c r="B25" s="151" t="s">
        <v>58</v>
      </c>
      <c r="C25" s="151">
        <v>0.7</v>
      </c>
      <c r="D25" s="151" t="s">
        <v>129</v>
      </c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</row>
    <row r="26" spans="1:40" ht="36.75" customHeight="1">
      <c r="A26" s="151"/>
      <c r="B26" s="151" t="s">
        <v>128</v>
      </c>
      <c r="C26" s="151"/>
      <c r="D26" s="15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</row>
    <row r="27" spans="1:40" ht="43.5" customHeight="1">
      <c r="A27" s="151"/>
      <c r="B27" s="151" t="s">
        <v>61</v>
      </c>
      <c r="C27" s="151"/>
      <c r="D27" s="151"/>
      <c r="E27" s="172">
        <f>E12+E26</f>
        <v>1015</v>
      </c>
      <c r="F27" s="172">
        <f t="shared" ref="F27:AN27" si="22">F12+F26</f>
        <v>15360</v>
      </c>
      <c r="G27" s="172">
        <f t="shared" si="22"/>
        <v>9830.4</v>
      </c>
      <c r="H27" s="172">
        <f t="shared" si="22"/>
        <v>730</v>
      </c>
      <c r="I27" s="172">
        <f t="shared" si="22"/>
        <v>10820</v>
      </c>
      <c r="J27" s="172">
        <f t="shared" si="22"/>
        <v>7032.7999999999993</v>
      </c>
      <c r="K27" s="172">
        <f t="shared" si="22"/>
        <v>990</v>
      </c>
      <c r="L27" s="172">
        <f t="shared" si="22"/>
        <v>16260</v>
      </c>
      <c r="M27" s="172">
        <f t="shared" si="22"/>
        <v>10406.4</v>
      </c>
      <c r="N27" s="172">
        <f t="shared" si="22"/>
        <v>200</v>
      </c>
      <c r="O27" s="172">
        <f t="shared" si="22"/>
        <v>2800</v>
      </c>
      <c r="P27" s="172">
        <f t="shared" si="22"/>
        <v>1792</v>
      </c>
      <c r="Q27" s="172">
        <f t="shared" si="22"/>
        <v>1627</v>
      </c>
      <c r="R27" s="172">
        <f t="shared" si="22"/>
        <v>24748</v>
      </c>
      <c r="S27" s="172">
        <f t="shared" si="22"/>
        <v>16137.52</v>
      </c>
      <c r="T27" s="172">
        <f t="shared" si="22"/>
        <v>0</v>
      </c>
      <c r="U27" s="172">
        <f t="shared" si="22"/>
        <v>0</v>
      </c>
      <c r="V27" s="172">
        <f t="shared" si="22"/>
        <v>0</v>
      </c>
      <c r="W27" s="172">
        <f t="shared" si="22"/>
        <v>0</v>
      </c>
      <c r="X27" s="172">
        <f t="shared" si="22"/>
        <v>0</v>
      </c>
      <c r="Y27" s="172">
        <f t="shared" si="22"/>
        <v>0</v>
      </c>
      <c r="Z27" s="172">
        <f t="shared" si="22"/>
        <v>0</v>
      </c>
      <c r="AA27" s="172">
        <f t="shared" si="22"/>
        <v>0</v>
      </c>
      <c r="AB27" s="172">
        <f t="shared" si="22"/>
        <v>0</v>
      </c>
      <c r="AC27" s="172">
        <f t="shared" si="22"/>
        <v>0</v>
      </c>
      <c r="AD27" s="172">
        <f t="shared" si="22"/>
        <v>0</v>
      </c>
      <c r="AE27" s="172">
        <f t="shared" si="22"/>
        <v>0</v>
      </c>
      <c r="AF27" s="172">
        <f t="shared" si="22"/>
        <v>0</v>
      </c>
      <c r="AG27" s="172">
        <f t="shared" si="22"/>
        <v>0</v>
      </c>
      <c r="AH27" s="172">
        <f t="shared" si="22"/>
        <v>0</v>
      </c>
      <c r="AI27" s="172">
        <f t="shared" si="22"/>
        <v>0</v>
      </c>
      <c r="AJ27" s="172">
        <f t="shared" si="22"/>
        <v>0</v>
      </c>
      <c r="AK27" s="172">
        <f t="shared" si="22"/>
        <v>0</v>
      </c>
      <c r="AL27" s="172">
        <f t="shared" si="22"/>
        <v>0</v>
      </c>
      <c r="AM27" s="172">
        <f t="shared" si="22"/>
        <v>0</v>
      </c>
      <c r="AN27" s="172">
        <f t="shared" si="22"/>
        <v>0</v>
      </c>
    </row>
    <row r="28" spans="1:40" ht="20.399999999999999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</row>
  </sheetData>
  <autoFilter ref="A4:AS12" xr:uid="{765FE2E8-C544-4020-B2C7-183D3928EF0A}"/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59F5-B3EB-4C3A-AEF1-A4F79CE282E5}">
  <sheetPr>
    <tabColor rgb="FFFF0000"/>
  </sheetPr>
  <dimension ref="A1:AS37"/>
  <sheetViews>
    <sheetView workbookViewId="0">
      <pane xSplit="4" ySplit="4" topLeftCell="K17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21"/>
    </sheetView>
  </sheetViews>
  <sheetFormatPr defaultColWidth="9.109375" defaultRowHeight="13.8"/>
  <cols>
    <col min="1" max="1" width="7" style="162" customWidth="1"/>
    <col min="2" max="2" width="29.109375" style="162" customWidth="1"/>
    <col min="3" max="4" width="9.109375" style="162"/>
    <col min="5" max="5" width="9.5546875" style="162" customWidth="1"/>
    <col min="6" max="7" width="10.5546875" style="162" customWidth="1"/>
    <col min="8" max="12" width="9.33203125" style="162" bestFit="1" customWidth="1"/>
    <col min="13" max="13" width="10.5546875" style="162" bestFit="1" customWidth="1"/>
    <col min="14" max="15" width="9.33203125" style="162" bestFit="1" customWidth="1"/>
    <col min="16" max="16" width="9.5546875" style="162" bestFit="1" customWidth="1"/>
    <col min="17" max="18" width="9.33203125" style="162" bestFit="1" customWidth="1"/>
    <col min="19" max="19" width="9.554687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5" ht="47.25" customHeight="1">
      <c r="B1" s="148" t="s">
        <v>138</v>
      </c>
      <c r="C1" s="149"/>
    </row>
    <row r="2" spans="1:45" ht="25.5" customHeight="1"/>
    <row r="3" spans="1:45" ht="39.7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66" t="s">
        <v>115</v>
      </c>
      <c r="F3" s="967"/>
      <c r="G3" s="968"/>
      <c r="H3" s="966" t="s">
        <v>116</v>
      </c>
      <c r="I3" s="967"/>
      <c r="J3" s="968"/>
      <c r="K3" s="966" t="s">
        <v>117</v>
      </c>
      <c r="L3" s="967"/>
      <c r="M3" s="968"/>
      <c r="N3" s="966" t="s">
        <v>118</v>
      </c>
      <c r="O3" s="967"/>
      <c r="P3" s="968"/>
      <c r="Q3" s="966" t="s">
        <v>119</v>
      </c>
      <c r="R3" s="967"/>
      <c r="S3" s="968"/>
      <c r="T3" s="966" t="s">
        <v>120</v>
      </c>
      <c r="U3" s="967"/>
      <c r="V3" s="968"/>
      <c r="W3" s="966" t="s">
        <v>121</v>
      </c>
      <c r="X3" s="967"/>
      <c r="Y3" s="968"/>
      <c r="Z3" s="966" t="s">
        <v>122</v>
      </c>
      <c r="AA3" s="967"/>
      <c r="AB3" s="968"/>
      <c r="AC3" s="966" t="s">
        <v>123</v>
      </c>
      <c r="AD3" s="967"/>
      <c r="AE3" s="968"/>
      <c r="AF3" s="966" t="s">
        <v>92</v>
      </c>
      <c r="AG3" s="967"/>
      <c r="AH3" s="968"/>
      <c r="AI3" s="966" t="s">
        <v>93</v>
      </c>
      <c r="AJ3" s="967"/>
      <c r="AK3" s="968"/>
      <c r="AL3" s="965" t="s">
        <v>94</v>
      </c>
      <c r="AM3" s="965"/>
      <c r="AN3" s="965"/>
      <c r="AO3" s="963" t="s">
        <v>140</v>
      </c>
      <c r="AP3" s="963"/>
      <c r="AQ3" s="963"/>
      <c r="AR3" s="180" t="s">
        <v>95</v>
      </c>
      <c r="AS3" s="181" t="s">
        <v>67</v>
      </c>
    </row>
    <row r="4" spans="1:45" ht="36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6" t="s">
        <v>141</v>
      </c>
      <c r="AP4" s="176" t="s">
        <v>142</v>
      </c>
      <c r="AQ4" s="176" t="s">
        <v>97</v>
      </c>
      <c r="AR4" s="192" t="s">
        <v>97</v>
      </c>
      <c r="AS4" s="192" t="s">
        <v>97</v>
      </c>
    </row>
    <row r="5" spans="1:45" ht="20.399999999999999">
      <c r="A5" s="151">
        <v>8</v>
      </c>
      <c r="B5" s="151" t="s">
        <v>125</v>
      </c>
      <c r="C5" s="151">
        <v>0.64</v>
      </c>
      <c r="D5" s="151" t="s">
        <v>20</v>
      </c>
      <c r="E5" s="151">
        <v>653</v>
      </c>
      <c r="F5" s="151">
        <v>9142</v>
      </c>
      <c r="G5" s="151">
        <v>5851</v>
      </c>
      <c r="H5" s="151">
        <v>567</v>
      </c>
      <c r="I5" s="151">
        <v>7951</v>
      </c>
      <c r="J5" s="168">
        <v>5088.6400000000012</v>
      </c>
      <c r="K5" s="151">
        <v>2166</v>
      </c>
      <c r="L5" s="151">
        <v>30324</v>
      </c>
      <c r="M5" s="169">
        <f>L5*$C5</f>
        <v>19407.36</v>
      </c>
      <c r="N5" s="151">
        <v>321</v>
      </c>
      <c r="O5" s="151">
        <v>4494</v>
      </c>
      <c r="P5" s="169">
        <f>O5*$C5</f>
        <v>2876.16</v>
      </c>
      <c r="Q5" s="151">
        <v>339</v>
      </c>
      <c r="R5" s="151">
        <v>4746</v>
      </c>
      <c r="S5" s="169">
        <f>R5*$C5</f>
        <v>3037.44</v>
      </c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62">
        <f t="shared" ref="AO5:AO12" si="0">E5+H5+K5+N5+Q5</f>
        <v>4046</v>
      </c>
      <c r="AP5" s="162">
        <f t="shared" ref="AP5:AP12" si="1">F5+I5+L5+O5+R5</f>
        <v>56657</v>
      </c>
      <c r="AQ5" s="218">
        <f t="shared" ref="AQ5:AQ12" si="2">G5+J5+M5+P5+S5</f>
        <v>36260.600000000006</v>
      </c>
      <c r="AR5" s="218">
        <f t="shared" ref="AR5:AR12" si="3">AQ5/5</f>
        <v>7252.1200000000008</v>
      </c>
    </row>
    <row r="6" spans="1:45" ht="20.399999999999999">
      <c r="A6" s="151">
        <v>11</v>
      </c>
      <c r="B6" s="151" t="s">
        <v>21</v>
      </c>
      <c r="C6" s="151">
        <v>1</v>
      </c>
      <c r="D6" s="151" t="s">
        <v>15</v>
      </c>
      <c r="E6" s="151">
        <v>64</v>
      </c>
      <c r="F6" s="151">
        <v>768</v>
      </c>
      <c r="G6" s="151">
        <v>768</v>
      </c>
      <c r="H6" s="151">
        <v>152</v>
      </c>
      <c r="I6" s="151">
        <v>1824</v>
      </c>
      <c r="J6" s="168">
        <v>1824</v>
      </c>
      <c r="K6" s="151">
        <v>920</v>
      </c>
      <c r="L6" s="151">
        <v>11040</v>
      </c>
      <c r="M6" s="169">
        <f t="shared" ref="M6:M12" si="4">L6*$C6</f>
        <v>11040</v>
      </c>
      <c r="N6" s="151"/>
      <c r="O6" s="151"/>
      <c r="P6" s="169">
        <f t="shared" ref="P6:P12" si="5">O6*$C6</f>
        <v>0</v>
      </c>
      <c r="Q6" s="151">
        <v>100</v>
      </c>
      <c r="R6" s="151">
        <v>1200</v>
      </c>
      <c r="S6" s="169">
        <f t="shared" ref="S6:S12" si="6">R6*$C6</f>
        <v>1200</v>
      </c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62">
        <f t="shared" si="0"/>
        <v>1236</v>
      </c>
      <c r="AP6" s="162">
        <f t="shared" si="1"/>
        <v>14832</v>
      </c>
      <c r="AQ6" s="218">
        <f t="shared" si="2"/>
        <v>14832</v>
      </c>
      <c r="AR6" s="218">
        <f t="shared" si="3"/>
        <v>2966.4</v>
      </c>
    </row>
    <row r="7" spans="1:45" ht="20.399999999999999">
      <c r="A7" s="151">
        <v>17</v>
      </c>
      <c r="B7" s="151" t="s">
        <v>23</v>
      </c>
      <c r="C7" s="151">
        <v>0.64</v>
      </c>
      <c r="D7" s="151" t="s">
        <v>20</v>
      </c>
      <c r="E7" s="151">
        <v>100</v>
      </c>
      <c r="F7" s="151">
        <v>1400</v>
      </c>
      <c r="G7" s="151">
        <v>896</v>
      </c>
      <c r="H7" s="151"/>
      <c r="I7" s="151"/>
      <c r="J7" s="168">
        <f t="shared" ref="J7:J10" si="7">I7*$C7</f>
        <v>0</v>
      </c>
      <c r="K7" s="151"/>
      <c r="L7" s="151"/>
      <c r="M7" s="169">
        <f t="shared" si="4"/>
        <v>0</v>
      </c>
      <c r="N7" s="151">
        <v>5</v>
      </c>
      <c r="O7" s="151">
        <v>70</v>
      </c>
      <c r="P7" s="169">
        <f t="shared" si="5"/>
        <v>44.800000000000004</v>
      </c>
      <c r="Q7" s="151"/>
      <c r="R7" s="151"/>
      <c r="S7" s="169">
        <f t="shared" si="6"/>
        <v>0</v>
      </c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62">
        <f t="shared" si="0"/>
        <v>105</v>
      </c>
      <c r="AP7" s="162">
        <f t="shared" si="1"/>
        <v>1470</v>
      </c>
      <c r="AQ7" s="218">
        <f t="shared" si="2"/>
        <v>940.8</v>
      </c>
      <c r="AR7" s="218">
        <f t="shared" si="3"/>
        <v>188.16</v>
      </c>
    </row>
    <row r="8" spans="1:45" ht="20.399999999999999">
      <c r="A8" s="151">
        <v>20</v>
      </c>
      <c r="B8" s="151" t="s">
        <v>24</v>
      </c>
      <c r="C8" s="151">
        <v>1</v>
      </c>
      <c r="D8" s="151" t="s">
        <v>15</v>
      </c>
      <c r="E8" s="151"/>
      <c r="F8" s="151"/>
      <c r="G8" s="151"/>
      <c r="H8" s="151"/>
      <c r="I8" s="151"/>
      <c r="J8" s="168">
        <f t="shared" si="7"/>
        <v>0</v>
      </c>
      <c r="K8" s="151"/>
      <c r="L8" s="151"/>
      <c r="M8" s="169">
        <f t="shared" si="4"/>
        <v>0</v>
      </c>
      <c r="N8" s="151"/>
      <c r="O8" s="151"/>
      <c r="P8" s="169">
        <f t="shared" si="5"/>
        <v>0</v>
      </c>
      <c r="Q8" s="151">
        <v>5</v>
      </c>
      <c r="R8" s="151">
        <v>60</v>
      </c>
      <c r="S8" s="169">
        <f t="shared" si="6"/>
        <v>60</v>
      </c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62">
        <f t="shared" si="0"/>
        <v>5</v>
      </c>
      <c r="AP8" s="162">
        <f t="shared" si="1"/>
        <v>60</v>
      </c>
      <c r="AQ8" s="218">
        <f t="shared" si="2"/>
        <v>60</v>
      </c>
      <c r="AR8" s="218">
        <f t="shared" si="3"/>
        <v>12</v>
      </c>
    </row>
    <row r="9" spans="1:45" ht="20.399999999999999">
      <c r="A9" s="151">
        <v>22</v>
      </c>
      <c r="B9" s="151" t="s">
        <v>25</v>
      </c>
      <c r="C9" s="151">
        <v>0.64</v>
      </c>
      <c r="D9" s="151" t="s">
        <v>20</v>
      </c>
      <c r="E9" s="151">
        <v>59</v>
      </c>
      <c r="F9" s="151">
        <v>819</v>
      </c>
      <c r="G9" s="151">
        <v>524</v>
      </c>
      <c r="H9" s="151">
        <v>8</v>
      </c>
      <c r="I9" s="151">
        <v>112</v>
      </c>
      <c r="J9" s="168">
        <v>71.680000000000007</v>
      </c>
      <c r="K9" s="151">
        <v>20</v>
      </c>
      <c r="L9" s="151">
        <v>280</v>
      </c>
      <c r="M9" s="169">
        <f t="shared" si="4"/>
        <v>179.20000000000002</v>
      </c>
      <c r="N9" s="151"/>
      <c r="O9" s="151"/>
      <c r="P9" s="169">
        <f t="shared" si="5"/>
        <v>0</v>
      </c>
      <c r="Q9" s="151"/>
      <c r="R9" s="151"/>
      <c r="S9" s="169">
        <f t="shared" si="6"/>
        <v>0</v>
      </c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62">
        <f t="shared" si="0"/>
        <v>87</v>
      </c>
      <c r="AP9" s="162">
        <f t="shared" si="1"/>
        <v>1211</v>
      </c>
      <c r="AQ9" s="218">
        <f t="shared" si="2"/>
        <v>774.88000000000011</v>
      </c>
      <c r="AR9" s="218">
        <f t="shared" si="3"/>
        <v>154.97600000000003</v>
      </c>
    </row>
    <row r="10" spans="1:45" ht="20.399999999999999">
      <c r="A10" s="151">
        <v>31</v>
      </c>
      <c r="B10" s="151" t="s">
        <v>28</v>
      </c>
      <c r="C10" s="151">
        <v>0.68</v>
      </c>
      <c r="D10" s="151" t="s">
        <v>15</v>
      </c>
      <c r="E10" s="151">
        <v>1</v>
      </c>
      <c r="F10" s="151">
        <v>12</v>
      </c>
      <c r="G10" s="151">
        <v>8</v>
      </c>
      <c r="H10" s="151"/>
      <c r="I10" s="151"/>
      <c r="J10" s="168">
        <f t="shared" si="7"/>
        <v>0</v>
      </c>
      <c r="K10" s="151"/>
      <c r="L10" s="151"/>
      <c r="M10" s="169">
        <f t="shared" si="4"/>
        <v>0</v>
      </c>
      <c r="N10" s="151">
        <v>5</v>
      </c>
      <c r="O10" s="151">
        <v>60</v>
      </c>
      <c r="P10" s="169">
        <f t="shared" si="5"/>
        <v>40.800000000000004</v>
      </c>
      <c r="Q10" s="151"/>
      <c r="R10" s="151"/>
      <c r="S10" s="169">
        <f t="shared" si="6"/>
        <v>0</v>
      </c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62">
        <f t="shared" si="0"/>
        <v>6</v>
      </c>
      <c r="AP10" s="162">
        <f t="shared" si="1"/>
        <v>72</v>
      </c>
      <c r="AQ10" s="218">
        <f t="shared" si="2"/>
        <v>48.800000000000004</v>
      </c>
      <c r="AR10" s="218">
        <f t="shared" si="3"/>
        <v>9.7600000000000016</v>
      </c>
    </row>
    <row r="11" spans="1:45" ht="20.399999999999999">
      <c r="A11" s="151">
        <v>37</v>
      </c>
      <c r="B11" s="151" t="s">
        <v>29</v>
      </c>
      <c r="C11" s="151">
        <v>0.64</v>
      </c>
      <c r="D11" s="151" t="s">
        <v>20</v>
      </c>
      <c r="E11" s="151"/>
      <c r="F11" s="151"/>
      <c r="G11" s="151"/>
      <c r="H11" s="151">
        <v>10</v>
      </c>
      <c r="I11" s="151">
        <v>140</v>
      </c>
      <c r="J11" s="168">
        <v>89.600000000000009</v>
      </c>
      <c r="K11" s="151">
        <v>5</v>
      </c>
      <c r="L11" s="151">
        <v>70</v>
      </c>
      <c r="M11" s="169">
        <f t="shared" si="4"/>
        <v>44.800000000000004</v>
      </c>
      <c r="N11" s="151"/>
      <c r="O11" s="151"/>
      <c r="P11" s="169">
        <f t="shared" si="5"/>
        <v>0</v>
      </c>
      <c r="Q11" s="151"/>
      <c r="R11" s="151"/>
      <c r="S11" s="169">
        <f t="shared" si="6"/>
        <v>0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62">
        <f t="shared" si="0"/>
        <v>15</v>
      </c>
      <c r="AP11" s="162">
        <f t="shared" si="1"/>
        <v>210</v>
      </c>
      <c r="AQ11" s="218">
        <f t="shared" si="2"/>
        <v>134.4</v>
      </c>
      <c r="AR11" s="218">
        <f t="shared" si="3"/>
        <v>26.880000000000003</v>
      </c>
    </row>
    <row r="12" spans="1:45" ht="20.399999999999999">
      <c r="A12" s="151">
        <v>52</v>
      </c>
      <c r="B12" s="151" t="s">
        <v>31</v>
      </c>
      <c r="C12" s="151">
        <v>0.64</v>
      </c>
      <c r="D12" s="151" t="s">
        <v>20</v>
      </c>
      <c r="E12" s="151">
        <v>70</v>
      </c>
      <c r="F12" s="151">
        <v>980</v>
      </c>
      <c r="G12" s="151">
        <v>627</v>
      </c>
      <c r="H12" s="151">
        <v>50</v>
      </c>
      <c r="I12" s="151">
        <v>700</v>
      </c>
      <c r="J12" s="168">
        <v>448</v>
      </c>
      <c r="K12" s="151">
        <v>205</v>
      </c>
      <c r="L12" s="151">
        <v>2870</v>
      </c>
      <c r="M12" s="169">
        <f t="shared" si="4"/>
        <v>1836.8</v>
      </c>
      <c r="N12" s="151"/>
      <c r="O12" s="151"/>
      <c r="P12" s="169">
        <f t="shared" si="5"/>
        <v>0</v>
      </c>
      <c r="Q12" s="151">
        <v>80</v>
      </c>
      <c r="R12" s="151">
        <v>1120</v>
      </c>
      <c r="S12" s="169">
        <f t="shared" si="6"/>
        <v>716.80000000000007</v>
      </c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62">
        <f t="shared" si="0"/>
        <v>405</v>
      </c>
      <c r="AP12" s="162">
        <f t="shared" si="1"/>
        <v>5670</v>
      </c>
      <c r="AQ12" s="218">
        <f t="shared" si="2"/>
        <v>3628.6000000000004</v>
      </c>
      <c r="AR12" s="218">
        <f t="shared" si="3"/>
        <v>725.72</v>
      </c>
    </row>
    <row r="13" spans="1:45" ht="20.399999999999999">
      <c r="A13" s="151">
        <v>72</v>
      </c>
      <c r="B13" s="151" t="s">
        <v>34</v>
      </c>
      <c r="C13" s="151">
        <v>0.6</v>
      </c>
      <c r="D13" s="151" t="s">
        <v>18</v>
      </c>
      <c r="E13" s="151">
        <v>40</v>
      </c>
      <c r="F13" s="151">
        <v>960</v>
      </c>
      <c r="G13" s="151">
        <v>576</v>
      </c>
      <c r="H13" s="151">
        <v>8</v>
      </c>
      <c r="I13" s="151">
        <v>204</v>
      </c>
      <c r="J13" s="168">
        <v>122.4</v>
      </c>
      <c r="K13" s="151">
        <v>27</v>
      </c>
      <c r="L13" s="151">
        <v>648</v>
      </c>
      <c r="M13" s="169">
        <f t="shared" ref="M13:M19" si="8">L13*$C13</f>
        <v>388.8</v>
      </c>
      <c r="N13" s="151">
        <v>19</v>
      </c>
      <c r="O13" s="151">
        <v>456</v>
      </c>
      <c r="P13" s="169">
        <f t="shared" ref="P13:P19" si="9">O13*$C13</f>
        <v>273.59999999999997</v>
      </c>
      <c r="Q13" s="151">
        <v>6</v>
      </c>
      <c r="R13" s="151">
        <v>144</v>
      </c>
      <c r="S13" s="169">
        <f t="shared" ref="S13:S19" si="10">R13*$C13</f>
        <v>86.399999999999991</v>
      </c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62">
        <f t="shared" ref="AO13:AO19" si="11">E13+H13+K13+N13+Q13</f>
        <v>100</v>
      </c>
      <c r="AP13" s="162">
        <f t="shared" ref="AP13:AP19" si="12">F13+I13+L13+O13+R13</f>
        <v>2412</v>
      </c>
      <c r="AQ13" s="218">
        <f t="shared" ref="AQ13:AQ19" si="13">G13+J13+M13+P13+S13</f>
        <v>1447.2</v>
      </c>
      <c r="AR13" s="218">
        <f t="shared" ref="AR13:AR19" si="14">AQ13/5</f>
        <v>289.44</v>
      </c>
    </row>
    <row r="14" spans="1:45" ht="20.399999999999999">
      <c r="A14" s="151">
        <v>73</v>
      </c>
      <c r="B14" s="151" t="s">
        <v>35</v>
      </c>
      <c r="C14" s="151">
        <v>0.64</v>
      </c>
      <c r="D14" s="151" t="s">
        <v>20</v>
      </c>
      <c r="E14" s="151">
        <v>5</v>
      </c>
      <c r="F14" s="151">
        <v>70</v>
      </c>
      <c r="G14" s="151">
        <v>45</v>
      </c>
      <c r="H14" s="151"/>
      <c r="I14" s="151"/>
      <c r="J14" s="168">
        <f t="shared" ref="J14:J16" si="15">I14*$C14</f>
        <v>0</v>
      </c>
      <c r="K14" s="151"/>
      <c r="L14" s="151"/>
      <c r="M14" s="169">
        <f t="shared" si="8"/>
        <v>0</v>
      </c>
      <c r="N14" s="151"/>
      <c r="O14" s="151"/>
      <c r="P14" s="169">
        <f t="shared" si="9"/>
        <v>0</v>
      </c>
      <c r="Q14" s="151"/>
      <c r="R14" s="151"/>
      <c r="S14" s="169">
        <f t="shared" si="10"/>
        <v>0</v>
      </c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62">
        <f t="shared" si="11"/>
        <v>5</v>
      </c>
      <c r="AP14" s="162">
        <f t="shared" si="12"/>
        <v>70</v>
      </c>
      <c r="AQ14" s="218">
        <f t="shared" si="13"/>
        <v>45</v>
      </c>
      <c r="AR14" s="218">
        <f t="shared" si="14"/>
        <v>9</v>
      </c>
    </row>
    <row r="15" spans="1:45" ht="20.399999999999999">
      <c r="A15" s="151">
        <v>75</v>
      </c>
      <c r="B15" s="151" t="s">
        <v>36</v>
      </c>
      <c r="C15" s="151">
        <v>1</v>
      </c>
      <c r="D15" s="151" t="s">
        <v>15</v>
      </c>
      <c r="E15" s="151">
        <v>15</v>
      </c>
      <c r="F15" s="151">
        <v>180</v>
      </c>
      <c r="G15" s="151">
        <v>180</v>
      </c>
      <c r="H15" s="151">
        <v>12</v>
      </c>
      <c r="I15" s="151">
        <v>144</v>
      </c>
      <c r="J15" s="168">
        <v>144</v>
      </c>
      <c r="K15" s="151">
        <v>11</v>
      </c>
      <c r="L15" s="151">
        <v>132</v>
      </c>
      <c r="M15" s="169">
        <f t="shared" si="8"/>
        <v>132</v>
      </c>
      <c r="N15" s="151">
        <v>9</v>
      </c>
      <c r="O15" s="151">
        <v>108</v>
      </c>
      <c r="P15" s="169">
        <f t="shared" si="9"/>
        <v>108</v>
      </c>
      <c r="Q15" s="151">
        <v>8</v>
      </c>
      <c r="R15" s="151">
        <v>96</v>
      </c>
      <c r="S15" s="169">
        <f t="shared" si="10"/>
        <v>96</v>
      </c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62">
        <f t="shared" si="11"/>
        <v>55</v>
      </c>
      <c r="AP15" s="162">
        <f t="shared" si="12"/>
        <v>660</v>
      </c>
      <c r="AQ15" s="218">
        <f t="shared" si="13"/>
        <v>660</v>
      </c>
      <c r="AR15" s="218">
        <f t="shared" si="14"/>
        <v>132</v>
      </c>
    </row>
    <row r="16" spans="1:45" ht="20.399999999999999">
      <c r="A16" s="151">
        <v>76</v>
      </c>
      <c r="B16" s="151" t="s">
        <v>37</v>
      </c>
      <c r="C16" s="151">
        <v>0.6</v>
      </c>
      <c r="D16" s="151" t="s">
        <v>18</v>
      </c>
      <c r="E16" s="151">
        <v>3</v>
      </c>
      <c r="F16" s="151">
        <v>72</v>
      </c>
      <c r="G16" s="151">
        <v>43</v>
      </c>
      <c r="H16" s="151"/>
      <c r="I16" s="151"/>
      <c r="J16" s="168">
        <f t="shared" si="15"/>
        <v>0</v>
      </c>
      <c r="K16" s="151">
        <v>1</v>
      </c>
      <c r="L16" s="151">
        <v>24</v>
      </c>
      <c r="M16" s="169">
        <f t="shared" si="8"/>
        <v>14.399999999999999</v>
      </c>
      <c r="N16" s="151">
        <v>10</v>
      </c>
      <c r="O16" s="151">
        <v>240</v>
      </c>
      <c r="P16" s="169">
        <f t="shared" si="9"/>
        <v>144</v>
      </c>
      <c r="Q16" s="151">
        <v>5</v>
      </c>
      <c r="R16" s="151">
        <v>120</v>
      </c>
      <c r="S16" s="169">
        <f t="shared" si="10"/>
        <v>72</v>
      </c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62">
        <f t="shared" si="11"/>
        <v>19</v>
      </c>
      <c r="AP16" s="162">
        <f t="shared" si="12"/>
        <v>456</v>
      </c>
      <c r="AQ16" s="218">
        <f t="shared" si="13"/>
        <v>273.39999999999998</v>
      </c>
      <c r="AR16" s="218">
        <f t="shared" si="14"/>
        <v>54.679999999999993</v>
      </c>
    </row>
    <row r="17" spans="1:44" ht="20.399999999999999">
      <c r="A17" s="151">
        <v>80</v>
      </c>
      <c r="B17" s="151" t="s">
        <v>40</v>
      </c>
      <c r="C17" s="151">
        <v>0.64</v>
      </c>
      <c r="D17" s="151" t="s">
        <v>127</v>
      </c>
      <c r="E17" s="151">
        <v>146</v>
      </c>
      <c r="F17" s="151">
        <v>3504</v>
      </c>
      <c r="G17" s="151">
        <v>2243</v>
      </c>
      <c r="H17" s="151">
        <v>59</v>
      </c>
      <c r="I17" s="151">
        <v>1416</v>
      </c>
      <c r="J17" s="168">
        <v>906.24</v>
      </c>
      <c r="K17" s="151">
        <v>256</v>
      </c>
      <c r="L17" s="151">
        <v>6154</v>
      </c>
      <c r="M17" s="169">
        <f t="shared" si="8"/>
        <v>3938.56</v>
      </c>
      <c r="N17" s="151">
        <v>70</v>
      </c>
      <c r="O17" s="151">
        <v>1680</v>
      </c>
      <c r="P17" s="169">
        <f t="shared" si="9"/>
        <v>1075.2</v>
      </c>
      <c r="Q17" s="151">
        <v>241</v>
      </c>
      <c r="R17" s="151">
        <v>5784</v>
      </c>
      <c r="S17" s="169">
        <f t="shared" si="10"/>
        <v>3701.76</v>
      </c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62">
        <f t="shared" si="11"/>
        <v>772</v>
      </c>
      <c r="AP17" s="162">
        <f t="shared" si="12"/>
        <v>18538</v>
      </c>
      <c r="AQ17" s="218">
        <f t="shared" si="13"/>
        <v>11864.759999999998</v>
      </c>
      <c r="AR17" s="218">
        <f t="shared" si="14"/>
        <v>2372.9519999999998</v>
      </c>
    </row>
    <row r="18" spans="1:44" ht="20.399999999999999">
      <c r="A18" s="151">
        <v>81</v>
      </c>
      <c r="B18" s="151" t="s">
        <v>64</v>
      </c>
      <c r="C18" s="151">
        <v>0.64</v>
      </c>
      <c r="D18" s="151"/>
      <c r="E18" s="151"/>
      <c r="F18" s="151"/>
      <c r="G18" s="151"/>
      <c r="H18" s="151"/>
      <c r="I18" s="151"/>
      <c r="J18" s="168"/>
      <c r="K18" s="151"/>
      <c r="L18" s="151"/>
      <c r="M18" s="169"/>
      <c r="N18" s="151">
        <v>10</v>
      </c>
      <c r="O18" s="151">
        <v>140</v>
      </c>
      <c r="P18" s="169">
        <f t="shared" si="9"/>
        <v>89.600000000000009</v>
      </c>
      <c r="Q18" s="151">
        <v>3</v>
      </c>
      <c r="R18" s="151">
        <v>42</v>
      </c>
      <c r="S18" s="169">
        <f t="shared" si="10"/>
        <v>26.88</v>
      </c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62">
        <f t="shared" si="11"/>
        <v>13</v>
      </c>
      <c r="AP18" s="162">
        <f t="shared" si="12"/>
        <v>182</v>
      </c>
      <c r="AQ18" s="218">
        <f t="shared" si="13"/>
        <v>116.48</v>
      </c>
      <c r="AR18" s="218">
        <f t="shared" si="14"/>
        <v>23.295999999999999</v>
      </c>
    </row>
    <row r="19" spans="1:44" ht="20.399999999999999">
      <c r="A19" s="151">
        <v>91</v>
      </c>
      <c r="B19" s="151" t="s">
        <v>38</v>
      </c>
      <c r="C19" s="151">
        <v>0.7</v>
      </c>
      <c r="D19" s="151" t="s">
        <v>15</v>
      </c>
      <c r="E19" s="151">
        <v>7</v>
      </c>
      <c r="F19" s="151">
        <v>84</v>
      </c>
      <c r="G19" s="151">
        <v>59</v>
      </c>
      <c r="H19" s="151">
        <v>5</v>
      </c>
      <c r="I19" s="151">
        <v>60</v>
      </c>
      <c r="J19" s="168">
        <v>42</v>
      </c>
      <c r="K19" s="151">
        <v>15</v>
      </c>
      <c r="L19" s="151">
        <v>180</v>
      </c>
      <c r="M19" s="169">
        <f t="shared" si="8"/>
        <v>125.99999999999999</v>
      </c>
      <c r="N19" s="151"/>
      <c r="O19" s="151"/>
      <c r="P19" s="169">
        <f t="shared" si="9"/>
        <v>0</v>
      </c>
      <c r="Q19" s="151">
        <v>10</v>
      </c>
      <c r="R19" s="151">
        <v>120</v>
      </c>
      <c r="S19" s="169">
        <f t="shared" si="10"/>
        <v>84</v>
      </c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62">
        <f t="shared" si="11"/>
        <v>37</v>
      </c>
      <c r="AP19" s="162">
        <f t="shared" si="12"/>
        <v>444</v>
      </c>
      <c r="AQ19" s="218">
        <f t="shared" si="13"/>
        <v>311</v>
      </c>
      <c r="AR19" s="218">
        <f t="shared" si="14"/>
        <v>62.2</v>
      </c>
    </row>
    <row r="20" spans="1:44" ht="20.399999999999999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62">
        <f t="shared" ref="AO20:AO21" si="16">E20+H20+K20+N20+Q20</f>
        <v>0</v>
      </c>
      <c r="AP20" s="162">
        <f t="shared" ref="AP20:AP21" si="17">F20+I20+L20+O20+R20</f>
        <v>0</v>
      </c>
      <c r="AQ20" s="218">
        <f t="shared" ref="AQ20:AQ21" si="18">G20+J20+M20+P20+S20</f>
        <v>0</v>
      </c>
      <c r="AR20" s="218">
        <f t="shared" ref="AR20:AR21" si="19">AQ20/5</f>
        <v>0</v>
      </c>
    </row>
    <row r="21" spans="1:44" ht="33.75" customHeight="1">
      <c r="A21" s="151"/>
      <c r="B21" s="151" t="s">
        <v>128</v>
      </c>
      <c r="C21" s="151"/>
      <c r="D21" s="151"/>
      <c r="E21" s="170">
        <f t="shared" ref="E21:AN21" si="20">SUM(E5:E20)</f>
        <v>1163</v>
      </c>
      <c r="F21" s="170">
        <f t="shared" si="20"/>
        <v>17991</v>
      </c>
      <c r="G21" s="170">
        <f t="shared" si="20"/>
        <v>11820</v>
      </c>
      <c r="H21" s="170">
        <f t="shared" si="20"/>
        <v>871</v>
      </c>
      <c r="I21" s="170">
        <f t="shared" si="20"/>
        <v>12551</v>
      </c>
      <c r="J21" s="170">
        <f t="shared" si="20"/>
        <v>8736.5600000000013</v>
      </c>
      <c r="K21" s="170">
        <f t="shared" si="20"/>
        <v>3626</v>
      </c>
      <c r="L21" s="170">
        <f t="shared" si="20"/>
        <v>51722</v>
      </c>
      <c r="M21" s="170">
        <f t="shared" si="20"/>
        <v>37107.919999999998</v>
      </c>
      <c r="N21" s="170">
        <f t="shared" si="20"/>
        <v>449</v>
      </c>
      <c r="O21" s="170">
        <f t="shared" si="20"/>
        <v>7248</v>
      </c>
      <c r="P21" s="170">
        <f t="shared" si="20"/>
        <v>4652.1600000000008</v>
      </c>
      <c r="Q21" s="170">
        <f t="shared" si="20"/>
        <v>797</v>
      </c>
      <c r="R21" s="170">
        <f t="shared" si="20"/>
        <v>13432</v>
      </c>
      <c r="S21" s="170">
        <f t="shared" si="20"/>
        <v>9081.2800000000007</v>
      </c>
      <c r="T21" s="170">
        <f t="shared" si="20"/>
        <v>0</v>
      </c>
      <c r="U21" s="170">
        <f t="shared" si="20"/>
        <v>0</v>
      </c>
      <c r="V21" s="170">
        <f t="shared" si="20"/>
        <v>0</v>
      </c>
      <c r="W21" s="170">
        <f t="shared" si="20"/>
        <v>0</v>
      </c>
      <c r="X21" s="170">
        <f t="shared" si="20"/>
        <v>0</v>
      </c>
      <c r="Y21" s="170">
        <f t="shared" si="20"/>
        <v>0</v>
      </c>
      <c r="Z21" s="170">
        <f t="shared" si="20"/>
        <v>0</v>
      </c>
      <c r="AA21" s="170">
        <f t="shared" si="20"/>
        <v>0</v>
      </c>
      <c r="AB21" s="170">
        <f t="shared" si="20"/>
        <v>0</v>
      </c>
      <c r="AC21" s="170">
        <f t="shared" si="20"/>
        <v>0</v>
      </c>
      <c r="AD21" s="170">
        <f t="shared" si="20"/>
        <v>0</v>
      </c>
      <c r="AE21" s="170">
        <f t="shared" si="20"/>
        <v>0</v>
      </c>
      <c r="AF21" s="170">
        <f t="shared" si="20"/>
        <v>0</v>
      </c>
      <c r="AG21" s="170">
        <f t="shared" si="20"/>
        <v>0</v>
      </c>
      <c r="AH21" s="170">
        <f t="shared" si="20"/>
        <v>0</v>
      </c>
      <c r="AI21" s="170">
        <f t="shared" si="20"/>
        <v>0</v>
      </c>
      <c r="AJ21" s="170">
        <f t="shared" si="20"/>
        <v>0</v>
      </c>
      <c r="AK21" s="170">
        <f t="shared" si="20"/>
        <v>0</v>
      </c>
      <c r="AL21" s="170">
        <f t="shared" si="20"/>
        <v>0</v>
      </c>
      <c r="AM21" s="170">
        <f t="shared" si="20"/>
        <v>0</v>
      </c>
      <c r="AN21" s="170">
        <f t="shared" si="20"/>
        <v>0</v>
      </c>
      <c r="AO21" s="162">
        <f t="shared" si="16"/>
        <v>6906</v>
      </c>
      <c r="AP21" s="162">
        <f t="shared" si="17"/>
        <v>102944</v>
      </c>
      <c r="AQ21" s="218">
        <f t="shared" si="18"/>
        <v>71397.919999999998</v>
      </c>
      <c r="AR21" s="218">
        <f t="shared" si="19"/>
        <v>14279.583999999999</v>
      </c>
    </row>
    <row r="22" spans="1:44" ht="20.399999999999999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</row>
    <row r="23" spans="1:44" ht="20.399999999999999">
      <c r="A23" s="151">
        <v>109</v>
      </c>
      <c r="B23" s="151" t="s">
        <v>46</v>
      </c>
      <c r="C23" s="151">
        <v>0.7</v>
      </c>
      <c r="D23" s="151" t="s">
        <v>15</v>
      </c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</row>
    <row r="24" spans="1:44" ht="20.399999999999999">
      <c r="A24" s="151">
        <v>110</v>
      </c>
      <c r="B24" s="151" t="s">
        <v>47</v>
      </c>
      <c r="C24" s="151">
        <v>0.35</v>
      </c>
      <c r="D24" s="151" t="s">
        <v>18</v>
      </c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</row>
    <row r="25" spans="1:44" ht="20.399999999999999">
      <c r="A25" s="151">
        <v>111</v>
      </c>
      <c r="B25" s="151" t="s">
        <v>48</v>
      </c>
      <c r="C25" s="151">
        <v>0.17499999999999999</v>
      </c>
      <c r="D25" s="151" t="s">
        <v>49</v>
      </c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</row>
    <row r="26" spans="1:44" ht="20.399999999999999">
      <c r="A26" s="151">
        <v>112</v>
      </c>
      <c r="B26" s="151" t="s">
        <v>50</v>
      </c>
      <c r="C26" s="151">
        <v>0.7</v>
      </c>
      <c r="D26" s="151" t="s">
        <v>15</v>
      </c>
      <c r="E26" s="151"/>
      <c r="F26" s="151"/>
      <c r="G26" s="151"/>
      <c r="H26" s="151"/>
      <c r="I26" s="151"/>
      <c r="J26" s="151"/>
      <c r="K26" s="151"/>
      <c r="L26" s="151"/>
      <c r="M26" s="151"/>
      <c r="N26" s="151">
        <v>2</v>
      </c>
      <c r="O26" s="151">
        <v>24</v>
      </c>
      <c r="P26" s="169">
        <f>O26*C26</f>
        <v>16.799999999999997</v>
      </c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</row>
    <row r="27" spans="1:44" ht="20.399999999999999">
      <c r="A27" s="151">
        <v>113</v>
      </c>
      <c r="B27" s="151" t="s">
        <v>51</v>
      </c>
      <c r="C27" s="151">
        <v>0.35</v>
      </c>
      <c r="D27" s="151" t="s">
        <v>18</v>
      </c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69">
        <f t="shared" ref="P27:P34" si="21">O27*C27</f>
        <v>0</v>
      </c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</row>
    <row r="28" spans="1:44" ht="20.399999999999999">
      <c r="A28" s="151">
        <v>114</v>
      </c>
      <c r="B28" s="151" t="s">
        <v>52</v>
      </c>
      <c r="C28" s="151">
        <v>0.17499999999999999</v>
      </c>
      <c r="D28" s="151" t="s">
        <v>49</v>
      </c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69">
        <f t="shared" si="21"/>
        <v>0</v>
      </c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</row>
    <row r="29" spans="1:44" ht="20.399999999999999">
      <c r="A29" s="151">
        <v>115</v>
      </c>
      <c r="B29" s="151" t="s">
        <v>53</v>
      </c>
      <c r="C29" s="151">
        <v>0.7</v>
      </c>
      <c r="D29" s="151" t="s">
        <v>15</v>
      </c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69">
        <f t="shared" si="21"/>
        <v>0</v>
      </c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</row>
    <row r="30" spans="1:44" ht="20.399999999999999">
      <c r="A30" s="151">
        <v>116</v>
      </c>
      <c r="B30" s="151" t="s">
        <v>54</v>
      </c>
      <c r="C30" s="151">
        <v>0.7</v>
      </c>
      <c r="D30" s="151" t="s">
        <v>15</v>
      </c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69">
        <f t="shared" si="21"/>
        <v>0</v>
      </c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</row>
    <row r="31" spans="1:44" ht="20.399999999999999">
      <c r="A31" s="151">
        <v>117</v>
      </c>
      <c r="B31" s="151" t="s">
        <v>55</v>
      </c>
      <c r="C31" s="151">
        <v>0.35</v>
      </c>
      <c r="D31" s="151" t="s">
        <v>18</v>
      </c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69">
        <f t="shared" si="21"/>
        <v>0</v>
      </c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</row>
    <row r="32" spans="1:44" ht="20.399999999999999">
      <c r="A32" s="151">
        <v>118</v>
      </c>
      <c r="B32" s="151" t="s">
        <v>56</v>
      </c>
      <c r="C32" s="151">
        <v>0.7</v>
      </c>
      <c r="D32" s="151" t="s">
        <v>15</v>
      </c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69">
        <f t="shared" si="21"/>
        <v>0</v>
      </c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</row>
    <row r="33" spans="1:40" ht="20.399999999999999">
      <c r="A33" s="151">
        <v>119</v>
      </c>
      <c r="B33" s="151" t="s">
        <v>57</v>
      </c>
      <c r="C33" s="151">
        <v>0.35</v>
      </c>
      <c r="D33" s="151" t="s">
        <v>18</v>
      </c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69">
        <f t="shared" si="21"/>
        <v>0</v>
      </c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</row>
    <row r="34" spans="1:40" ht="20.399999999999999">
      <c r="A34" s="151">
        <v>120</v>
      </c>
      <c r="B34" s="151" t="s">
        <v>58</v>
      </c>
      <c r="C34" s="151">
        <v>0.7</v>
      </c>
      <c r="D34" s="151" t="s">
        <v>129</v>
      </c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69">
        <f t="shared" si="21"/>
        <v>0</v>
      </c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</row>
    <row r="35" spans="1:40" ht="42" customHeight="1">
      <c r="A35" s="151"/>
      <c r="B35" s="151" t="s">
        <v>128</v>
      </c>
      <c r="C35" s="151"/>
      <c r="D35" s="151"/>
      <c r="E35" s="171"/>
      <c r="F35" s="171"/>
      <c r="G35" s="171"/>
      <c r="H35" s="171"/>
      <c r="I35" s="171"/>
      <c r="J35" s="171"/>
      <c r="K35" s="171"/>
      <c r="L35" s="171"/>
      <c r="M35" s="171"/>
      <c r="N35" s="171">
        <f>SUM(N26:N34)</f>
        <v>2</v>
      </c>
      <c r="O35" s="171">
        <f>SUM(O26:O34)</f>
        <v>24</v>
      </c>
      <c r="P35" s="171">
        <f>SUM(P26:P34)</f>
        <v>16.799999999999997</v>
      </c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</row>
    <row r="36" spans="1:40" ht="44.25" customHeight="1">
      <c r="A36" s="151"/>
      <c r="B36" s="151" t="s">
        <v>61</v>
      </c>
      <c r="C36" s="151"/>
      <c r="D36" s="151"/>
      <c r="E36" s="172">
        <f>E21+E35</f>
        <v>1163</v>
      </c>
      <c r="F36" s="172">
        <f t="shared" ref="F36:AN36" si="22">F21+F35</f>
        <v>17991</v>
      </c>
      <c r="G36" s="172">
        <f t="shared" si="22"/>
        <v>11820</v>
      </c>
      <c r="H36" s="172">
        <f t="shared" si="22"/>
        <v>871</v>
      </c>
      <c r="I36" s="172">
        <f t="shared" si="22"/>
        <v>12551</v>
      </c>
      <c r="J36" s="172">
        <f t="shared" si="22"/>
        <v>8736.5600000000013</v>
      </c>
      <c r="K36" s="172">
        <f t="shared" si="22"/>
        <v>3626</v>
      </c>
      <c r="L36" s="172">
        <f t="shared" si="22"/>
        <v>51722</v>
      </c>
      <c r="M36" s="172">
        <f t="shared" si="22"/>
        <v>37107.919999999998</v>
      </c>
      <c r="N36" s="172">
        <f t="shared" si="22"/>
        <v>451</v>
      </c>
      <c r="O36" s="172">
        <f t="shared" si="22"/>
        <v>7272</v>
      </c>
      <c r="P36" s="172">
        <f t="shared" si="22"/>
        <v>4668.9600000000009</v>
      </c>
      <c r="Q36" s="172">
        <f t="shared" si="22"/>
        <v>797</v>
      </c>
      <c r="R36" s="172">
        <f t="shared" si="22"/>
        <v>13432</v>
      </c>
      <c r="S36" s="172">
        <f t="shared" si="22"/>
        <v>9081.2800000000007</v>
      </c>
      <c r="T36" s="172">
        <f t="shared" si="22"/>
        <v>0</v>
      </c>
      <c r="U36" s="172">
        <f t="shared" si="22"/>
        <v>0</v>
      </c>
      <c r="V36" s="172">
        <f t="shared" si="22"/>
        <v>0</v>
      </c>
      <c r="W36" s="172">
        <f t="shared" si="22"/>
        <v>0</v>
      </c>
      <c r="X36" s="172">
        <f t="shared" si="22"/>
        <v>0</v>
      </c>
      <c r="Y36" s="172">
        <f t="shared" si="22"/>
        <v>0</v>
      </c>
      <c r="Z36" s="172">
        <f t="shared" si="22"/>
        <v>0</v>
      </c>
      <c r="AA36" s="172">
        <f t="shared" si="22"/>
        <v>0</v>
      </c>
      <c r="AB36" s="172">
        <f t="shared" si="22"/>
        <v>0</v>
      </c>
      <c r="AC36" s="172">
        <f t="shared" si="22"/>
        <v>0</v>
      </c>
      <c r="AD36" s="172">
        <f t="shared" si="22"/>
        <v>0</v>
      </c>
      <c r="AE36" s="172">
        <f t="shared" si="22"/>
        <v>0</v>
      </c>
      <c r="AF36" s="172">
        <f t="shared" si="22"/>
        <v>0</v>
      </c>
      <c r="AG36" s="172">
        <f t="shared" si="22"/>
        <v>0</v>
      </c>
      <c r="AH36" s="172">
        <f t="shared" si="22"/>
        <v>0</v>
      </c>
      <c r="AI36" s="172">
        <f t="shared" si="22"/>
        <v>0</v>
      </c>
      <c r="AJ36" s="172">
        <f t="shared" si="22"/>
        <v>0</v>
      </c>
      <c r="AK36" s="172">
        <f t="shared" si="22"/>
        <v>0</v>
      </c>
      <c r="AL36" s="172">
        <f t="shared" si="22"/>
        <v>0</v>
      </c>
      <c r="AM36" s="172">
        <f t="shared" si="22"/>
        <v>0</v>
      </c>
      <c r="AN36" s="172">
        <f t="shared" si="22"/>
        <v>0</v>
      </c>
    </row>
    <row r="37" spans="1:40" ht="20.399999999999999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</row>
  </sheetData>
  <autoFilter ref="A4:AS21" xr:uid="{77FB59F5-B3EB-4C3A-AEF1-A4F79CE282E5}"/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10FB-6EE6-45A0-9B59-910A3D1624AB}">
  <sheetPr>
    <tabColor rgb="FFFF0000"/>
  </sheetPr>
  <dimension ref="A1:AS30"/>
  <sheetViews>
    <sheetView workbookViewId="0">
      <pane xSplit="4" ySplit="4" topLeftCell="N5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14"/>
    </sheetView>
  </sheetViews>
  <sheetFormatPr defaultColWidth="9.109375" defaultRowHeight="13.8"/>
  <cols>
    <col min="1" max="1" width="4.44140625" style="162" customWidth="1"/>
    <col min="2" max="2" width="28.88671875" style="162" customWidth="1"/>
    <col min="3" max="3" width="7.88671875" style="162" customWidth="1"/>
    <col min="4" max="4" width="10.88671875" style="162" customWidth="1"/>
    <col min="5" max="5" width="9.5546875" style="162" bestFit="1" customWidth="1"/>
    <col min="6" max="7" width="10.5546875" style="162" bestFit="1" customWidth="1"/>
    <col min="8" max="12" width="9.33203125" style="162" bestFit="1" customWidth="1"/>
    <col min="13" max="13" width="10.5546875" style="162" bestFit="1" customWidth="1"/>
    <col min="14" max="15" width="9.33203125" style="162" bestFit="1" customWidth="1"/>
    <col min="16" max="16" width="10.5546875" style="162" bestFit="1" customWidth="1"/>
    <col min="17" max="18" width="9.33203125" style="162" bestFit="1" customWidth="1"/>
    <col min="19" max="19" width="9.5546875" style="162" bestFit="1" customWidth="1"/>
    <col min="20" max="40" width="9.33203125" style="162" hidden="1" customWidth="1"/>
    <col min="41" max="41" width="11.109375" style="162" customWidth="1"/>
    <col min="42" max="42" width="11.6640625" style="162" customWidth="1"/>
    <col min="43" max="43" width="11.109375" style="162" customWidth="1"/>
    <col min="44" max="44" width="14.5546875" style="162" customWidth="1"/>
    <col min="45" max="45" width="14.33203125" style="162" customWidth="1"/>
    <col min="46" max="16384" width="9.109375" style="162"/>
  </cols>
  <sheetData>
    <row r="1" spans="1:45" ht="20.399999999999999">
      <c r="B1" s="148" t="s">
        <v>139</v>
      </c>
      <c r="C1" s="149"/>
      <c r="D1" s="149"/>
    </row>
    <row r="3" spans="1:45" ht="47.25" customHeight="1">
      <c r="A3" s="961" t="s">
        <v>111</v>
      </c>
      <c r="B3" s="961" t="s">
        <v>112</v>
      </c>
      <c r="C3" s="961" t="s">
        <v>113</v>
      </c>
      <c r="D3" s="961" t="s">
        <v>114</v>
      </c>
      <c r="E3" s="958" t="s">
        <v>115</v>
      </c>
      <c r="F3" s="959"/>
      <c r="G3" s="960"/>
      <c r="H3" s="958" t="s">
        <v>116</v>
      </c>
      <c r="I3" s="959"/>
      <c r="J3" s="960"/>
      <c r="K3" s="958" t="s">
        <v>117</v>
      </c>
      <c r="L3" s="959"/>
      <c r="M3" s="960"/>
      <c r="N3" s="958" t="s">
        <v>118</v>
      </c>
      <c r="O3" s="959"/>
      <c r="P3" s="960"/>
      <c r="Q3" s="958" t="s">
        <v>119</v>
      </c>
      <c r="R3" s="959"/>
      <c r="S3" s="960"/>
      <c r="T3" s="958" t="s">
        <v>120</v>
      </c>
      <c r="U3" s="959"/>
      <c r="V3" s="960"/>
      <c r="W3" s="958" t="s">
        <v>121</v>
      </c>
      <c r="X3" s="959"/>
      <c r="Y3" s="960"/>
      <c r="Z3" s="958" t="s">
        <v>122</v>
      </c>
      <c r="AA3" s="959"/>
      <c r="AB3" s="960"/>
      <c r="AC3" s="958" t="s">
        <v>123</v>
      </c>
      <c r="AD3" s="959"/>
      <c r="AE3" s="960"/>
      <c r="AF3" s="958" t="s">
        <v>92</v>
      </c>
      <c r="AG3" s="959"/>
      <c r="AH3" s="960"/>
      <c r="AI3" s="958" t="s">
        <v>93</v>
      </c>
      <c r="AJ3" s="959"/>
      <c r="AK3" s="960"/>
      <c r="AL3" s="962" t="s">
        <v>94</v>
      </c>
      <c r="AM3" s="962"/>
      <c r="AN3" s="962"/>
      <c r="AO3" s="963" t="s">
        <v>140</v>
      </c>
      <c r="AP3" s="963"/>
      <c r="AQ3" s="963"/>
      <c r="AR3" s="180" t="s">
        <v>95</v>
      </c>
      <c r="AS3" s="181" t="s">
        <v>67</v>
      </c>
    </row>
    <row r="4" spans="1:45" ht="40.5" customHeight="1">
      <c r="A4" s="961"/>
      <c r="B4" s="961"/>
      <c r="C4" s="961"/>
      <c r="D4" s="961"/>
      <c r="E4" s="150" t="s">
        <v>124</v>
      </c>
      <c r="F4" s="150" t="s">
        <v>96</v>
      </c>
      <c r="G4" s="150" t="s">
        <v>97</v>
      </c>
      <c r="H4" s="150" t="s">
        <v>124</v>
      </c>
      <c r="I4" s="150" t="s">
        <v>96</v>
      </c>
      <c r="J4" s="150" t="s">
        <v>97</v>
      </c>
      <c r="K4" s="150" t="s">
        <v>124</v>
      </c>
      <c r="L4" s="150" t="s">
        <v>96</v>
      </c>
      <c r="M4" s="150" t="s">
        <v>97</v>
      </c>
      <c r="N4" s="150" t="s">
        <v>124</v>
      </c>
      <c r="O4" s="150" t="s">
        <v>96</v>
      </c>
      <c r="P4" s="150" t="s">
        <v>97</v>
      </c>
      <c r="Q4" s="150" t="s">
        <v>124</v>
      </c>
      <c r="R4" s="150" t="s">
        <v>96</v>
      </c>
      <c r="S4" s="150" t="s">
        <v>97</v>
      </c>
      <c r="T4" s="150" t="s">
        <v>124</v>
      </c>
      <c r="U4" s="150" t="s">
        <v>96</v>
      </c>
      <c r="V4" s="150" t="s">
        <v>97</v>
      </c>
      <c r="W4" s="150" t="s">
        <v>124</v>
      </c>
      <c r="X4" s="150" t="s">
        <v>96</v>
      </c>
      <c r="Y4" s="150" t="s">
        <v>97</v>
      </c>
      <c r="Z4" s="150" t="s">
        <v>124</v>
      </c>
      <c r="AA4" s="150" t="s">
        <v>96</v>
      </c>
      <c r="AB4" s="150" t="s">
        <v>97</v>
      </c>
      <c r="AC4" s="150" t="s">
        <v>124</v>
      </c>
      <c r="AD4" s="150" t="s">
        <v>96</v>
      </c>
      <c r="AE4" s="150" t="s">
        <v>97</v>
      </c>
      <c r="AF4" s="150" t="s">
        <v>124</v>
      </c>
      <c r="AG4" s="150" t="s">
        <v>96</v>
      </c>
      <c r="AH4" s="150" t="s">
        <v>97</v>
      </c>
      <c r="AI4" s="150" t="s">
        <v>124</v>
      </c>
      <c r="AJ4" s="150" t="s">
        <v>96</v>
      </c>
      <c r="AK4" s="150" t="s">
        <v>97</v>
      </c>
      <c r="AL4" s="150" t="s">
        <v>124</v>
      </c>
      <c r="AM4" s="150" t="s">
        <v>96</v>
      </c>
      <c r="AN4" s="150" t="s">
        <v>97</v>
      </c>
      <c r="AO4" s="176" t="s">
        <v>141</v>
      </c>
      <c r="AP4" s="176" t="s">
        <v>142</v>
      </c>
      <c r="AQ4" s="176" t="s">
        <v>97</v>
      </c>
      <c r="AR4" s="192" t="s">
        <v>97</v>
      </c>
      <c r="AS4" s="192" t="s">
        <v>97</v>
      </c>
    </row>
    <row r="5" spans="1:45" ht="20.399999999999999">
      <c r="A5" s="151">
        <v>8</v>
      </c>
      <c r="B5" s="151" t="s">
        <v>125</v>
      </c>
      <c r="C5" s="151">
        <v>0.64</v>
      </c>
      <c r="D5" s="151" t="s">
        <v>20</v>
      </c>
      <c r="E5" s="151">
        <v>1495</v>
      </c>
      <c r="F5" s="151">
        <v>20930</v>
      </c>
      <c r="G5" s="151">
        <v>13395</v>
      </c>
      <c r="H5" s="151">
        <v>825</v>
      </c>
      <c r="I5" s="151">
        <v>11550</v>
      </c>
      <c r="J5" s="168">
        <f t="shared" ref="J5:J9" si="0">I5*$C5</f>
        <v>7392</v>
      </c>
      <c r="K5" s="151">
        <v>1650</v>
      </c>
      <c r="L5" s="151">
        <v>23100</v>
      </c>
      <c r="M5" s="169">
        <f>L5*$C5</f>
        <v>14784</v>
      </c>
      <c r="N5" s="151">
        <v>1260</v>
      </c>
      <c r="O5" s="151">
        <v>17640</v>
      </c>
      <c r="P5" s="169">
        <f>O5*$C5</f>
        <v>11289.6</v>
      </c>
      <c r="Q5" s="151">
        <v>1100</v>
      </c>
      <c r="R5" s="151">
        <v>15400</v>
      </c>
      <c r="S5" s="169">
        <f>R5*$C5</f>
        <v>9856</v>
      </c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62">
        <f t="shared" ref="AO5:AO9" si="1">E5+H5+K5+N5+Q5</f>
        <v>6330</v>
      </c>
      <c r="AP5" s="162">
        <f t="shared" ref="AP5:AP9" si="2">F5+I5+L5+O5+R5</f>
        <v>88620</v>
      </c>
      <c r="AQ5" s="217">
        <f t="shared" ref="AQ5:AQ9" si="3">G5+J5+M5+P5+S5</f>
        <v>56716.6</v>
      </c>
      <c r="AR5" s="217">
        <f t="shared" ref="AR5:AR9" si="4">AQ5/5</f>
        <v>11343.32</v>
      </c>
    </row>
    <row r="6" spans="1:45" ht="20.399999999999999">
      <c r="A6" s="151">
        <v>11</v>
      </c>
      <c r="B6" s="151" t="s">
        <v>21</v>
      </c>
      <c r="C6" s="151">
        <v>1</v>
      </c>
      <c r="D6" s="151" t="s">
        <v>15</v>
      </c>
      <c r="E6" s="151"/>
      <c r="F6" s="151"/>
      <c r="G6" s="151"/>
      <c r="H6" s="151">
        <v>60</v>
      </c>
      <c r="I6" s="151">
        <v>720</v>
      </c>
      <c r="J6" s="168">
        <f t="shared" si="0"/>
        <v>720</v>
      </c>
      <c r="K6" s="151">
        <v>210</v>
      </c>
      <c r="L6" s="151">
        <v>2520</v>
      </c>
      <c r="M6" s="169">
        <f t="shared" ref="M6:M9" si="5">L6*$C6</f>
        <v>2520</v>
      </c>
      <c r="N6" s="151">
        <v>300</v>
      </c>
      <c r="O6" s="151">
        <v>3600</v>
      </c>
      <c r="P6" s="169">
        <f t="shared" ref="P6:P9" si="6">O6*$C6</f>
        <v>3600</v>
      </c>
      <c r="Q6" s="151"/>
      <c r="R6" s="151"/>
      <c r="S6" s="169">
        <f t="shared" ref="S6:S9" si="7">R6*$C6</f>
        <v>0</v>
      </c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62">
        <f t="shared" si="1"/>
        <v>570</v>
      </c>
      <c r="AP6" s="162">
        <f t="shared" si="2"/>
        <v>6840</v>
      </c>
      <c r="AQ6" s="217">
        <f t="shared" si="3"/>
        <v>6840</v>
      </c>
      <c r="AR6" s="217">
        <f t="shared" si="4"/>
        <v>1368</v>
      </c>
    </row>
    <row r="7" spans="1:45" ht="20.399999999999999">
      <c r="A7" s="151">
        <v>34</v>
      </c>
      <c r="B7" s="151" t="s">
        <v>27</v>
      </c>
      <c r="C7" s="151">
        <v>0.64</v>
      </c>
      <c r="D7" s="151" t="s">
        <v>20</v>
      </c>
      <c r="E7" s="151">
        <v>400</v>
      </c>
      <c r="F7" s="151">
        <v>5600</v>
      </c>
      <c r="G7" s="151">
        <v>3584</v>
      </c>
      <c r="H7" s="151">
        <v>182</v>
      </c>
      <c r="I7" s="151">
        <v>2548</v>
      </c>
      <c r="J7" s="168">
        <f t="shared" si="0"/>
        <v>1630.72</v>
      </c>
      <c r="K7" s="151">
        <v>50</v>
      </c>
      <c r="L7" s="151">
        <v>700</v>
      </c>
      <c r="M7" s="169">
        <f t="shared" si="5"/>
        <v>448</v>
      </c>
      <c r="N7" s="151">
        <v>250</v>
      </c>
      <c r="O7" s="151">
        <v>3500</v>
      </c>
      <c r="P7" s="169">
        <f t="shared" si="6"/>
        <v>2240</v>
      </c>
      <c r="Q7" s="151">
        <v>150</v>
      </c>
      <c r="R7" s="151">
        <v>2100</v>
      </c>
      <c r="S7" s="169">
        <f t="shared" si="7"/>
        <v>1344</v>
      </c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62">
        <f t="shared" si="1"/>
        <v>1032</v>
      </c>
      <c r="AP7" s="162">
        <f t="shared" si="2"/>
        <v>14448</v>
      </c>
      <c r="AQ7" s="217">
        <f t="shared" si="3"/>
        <v>9246.7200000000012</v>
      </c>
      <c r="AR7" s="217">
        <f t="shared" si="4"/>
        <v>1849.3440000000003</v>
      </c>
    </row>
    <row r="8" spans="1:45" ht="20.399999999999999">
      <c r="A8" s="151">
        <v>37</v>
      </c>
      <c r="B8" s="151" t="s">
        <v>29</v>
      </c>
      <c r="C8" s="151">
        <v>0.64</v>
      </c>
      <c r="D8" s="151" t="s">
        <v>20</v>
      </c>
      <c r="E8" s="151">
        <v>30</v>
      </c>
      <c r="F8" s="151">
        <v>420</v>
      </c>
      <c r="G8" s="151">
        <v>269</v>
      </c>
      <c r="H8" s="151"/>
      <c r="I8" s="151"/>
      <c r="J8" s="168">
        <f t="shared" si="0"/>
        <v>0</v>
      </c>
      <c r="K8" s="151"/>
      <c r="L8" s="151"/>
      <c r="M8" s="169">
        <f t="shared" si="5"/>
        <v>0</v>
      </c>
      <c r="N8" s="151"/>
      <c r="O8" s="151"/>
      <c r="P8" s="169">
        <f t="shared" si="6"/>
        <v>0</v>
      </c>
      <c r="Q8" s="151">
        <v>20</v>
      </c>
      <c r="R8" s="151">
        <v>280</v>
      </c>
      <c r="S8" s="169">
        <f t="shared" si="7"/>
        <v>179.20000000000002</v>
      </c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62">
        <f t="shared" si="1"/>
        <v>50</v>
      </c>
      <c r="AP8" s="162">
        <f t="shared" si="2"/>
        <v>700</v>
      </c>
      <c r="AQ8" s="217">
        <f t="shared" si="3"/>
        <v>448.20000000000005</v>
      </c>
      <c r="AR8" s="217">
        <f t="shared" si="4"/>
        <v>89.640000000000015</v>
      </c>
    </row>
    <row r="9" spans="1:45" ht="20.399999999999999">
      <c r="A9" s="151">
        <v>52</v>
      </c>
      <c r="B9" s="151" t="s">
        <v>31</v>
      </c>
      <c r="C9" s="151">
        <v>0.64</v>
      </c>
      <c r="D9" s="151" t="s">
        <v>20</v>
      </c>
      <c r="E9" s="151">
        <v>225</v>
      </c>
      <c r="F9" s="151">
        <v>3150</v>
      </c>
      <c r="G9" s="151">
        <v>2016</v>
      </c>
      <c r="H9" s="151">
        <v>30</v>
      </c>
      <c r="I9" s="151">
        <v>420</v>
      </c>
      <c r="J9" s="168">
        <f t="shared" si="0"/>
        <v>268.8</v>
      </c>
      <c r="K9" s="151"/>
      <c r="L9" s="151"/>
      <c r="M9" s="169">
        <f t="shared" si="5"/>
        <v>0</v>
      </c>
      <c r="N9" s="151">
        <v>100</v>
      </c>
      <c r="O9" s="151">
        <v>1400</v>
      </c>
      <c r="P9" s="169">
        <f t="shared" si="6"/>
        <v>896</v>
      </c>
      <c r="Q9" s="151"/>
      <c r="R9" s="151"/>
      <c r="S9" s="169">
        <f t="shared" si="7"/>
        <v>0</v>
      </c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62">
        <f t="shared" si="1"/>
        <v>355</v>
      </c>
      <c r="AP9" s="162">
        <f t="shared" si="2"/>
        <v>4970</v>
      </c>
      <c r="AQ9" s="217">
        <f t="shared" si="3"/>
        <v>3180.8</v>
      </c>
      <c r="AR9" s="217">
        <f t="shared" si="4"/>
        <v>636.16000000000008</v>
      </c>
    </row>
    <row r="10" spans="1:45" ht="20.399999999999999">
      <c r="A10" s="151">
        <v>73</v>
      </c>
      <c r="B10" s="151" t="s">
        <v>35</v>
      </c>
      <c r="C10" s="151">
        <v>0.64</v>
      </c>
      <c r="D10" s="151" t="s">
        <v>20</v>
      </c>
      <c r="E10" s="151"/>
      <c r="F10" s="151"/>
      <c r="G10" s="151"/>
      <c r="H10" s="151">
        <v>170</v>
      </c>
      <c r="I10" s="151">
        <v>2380</v>
      </c>
      <c r="J10" s="168">
        <f t="shared" ref="J10:J11" si="8">I10*$C10</f>
        <v>1523.2</v>
      </c>
      <c r="K10" s="151"/>
      <c r="L10" s="151"/>
      <c r="M10" s="169">
        <f t="shared" ref="M10:M12" si="9">L10*$C10</f>
        <v>0</v>
      </c>
      <c r="N10" s="151"/>
      <c r="O10" s="151"/>
      <c r="P10" s="169">
        <f t="shared" ref="P10:P12" si="10">O10*$C10</f>
        <v>0</v>
      </c>
      <c r="Q10" s="151"/>
      <c r="R10" s="151"/>
      <c r="S10" s="169">
        <f t="shared" ref="S10:S12" si="11">R10*$C10</f>
        <v>0</v>
      </c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62">
        <f t="shared" ref="AO10:AO12" si="12">E10+H10+K10+N10+Q10</f>
        <v>170</v>
      </c>
      <c r="AP10" s="162">
        <f t="shared" ref="AP10:AP12" si="13">F10+I10+L10+O10+R10</f>
        <v>2380</v>
      </c>
      <c r="AQ10" s="217">
        <f t="shared" ref="AQ10:AQ12" si="14">G10+J10+M10+P10+S10</f>
        <v>1523.2</v>
      </c>
      <c r="AR10" s="217">
        <f t="shared" ref="AR10:AR12" si="15">AQ10/5</f>
        <v>304.64</v>
      </c>
    </row>
    <row r="11" spans="1:45" ht="20.399999999999999">
      <c r="A11" s="151">
        <v>75</v>
      </c>
      <c r="B11" s="151" t="s">
        <v>36</v>
      </c>
      <c r="C11" s="151">
        <v>1</v>
      </c>
      <c r="D11" s="151" t="s">
        <v>15</v>
      </c>
      <c r="E11" s="151">
        <v>100</v>
      </c>
      <c r="F11" s="151">
        <v>1200</v>
      </c>
      <c r="G11" s="151">
        <v>1200</v>
      </c>
      <c r="H11" s="151">
        <v>199</v>
      </c>
      <c r="I11" s="151">
        <v>2388</v>
      </c>
      <c r="J11" s="168">
        <f t="shared" si="8"/>
        <v>2388</v>
      </c>
      <c r="K11" s="151">
        <v>100</v>
      </c>
      <c r="L11" s="151">
        <v>1200</v>
      </c>
      <c r="M11" s="169">
        <f t="shared" si="9"/>
        <v>1200</v>
      </c>
      <c r="N11" s="151"/>
      <c r="O11" s="151"/>
      <c r="P11" s="169">
        <f t="shared" si="10"/>
        <v>0</v>
      </c>
      <c r="Q11" s="151">
        <v>199</v>
      </c>
      <c r="R11" s="151">
        <v>2388</v>
      </c>
      <c r="S11" s="169">
        <f t="shared" si="11"/>
        <v>2388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62">
        <f t="shared" si="12"/>
        <v>598</v>
      </c>
      <c r="AP11" s="162">
        <f t="shared" si="13"/>
        <v>7176</v>
      </c>
      <c r="AQ11" s="217">
        <f t="shared" si="14"/>
        <v>7176</v>
      </c>
      <c r="AR11" s="217">
        <f t="shared" si="15"/>
        <v>1435.2</v>
      </c>
    </row>
    <row r="12" spans="1:45" ht="20.399999999999999">
      <c r="A12" s="151">
        <v>80</v>
      </c>
      <c r="B12" s="151" t="s">
        <v>40</v>
      </c>
      <c r="C12" s="151">
        <v>0.64</v>
      </c>
      <c r="D12" s="151" t="s">
        <v>127</v>
      </c>
      <c r="E12" s="151"/>
      <c r="F12" s="151"/>
      <c r="G12" s="151"/>
      <c r="H12" s="151">
        <v>165</v>
      </c>
      <c r="I12" s="151">
        <v>3960</v>
      </c>
      <c r="J12" s="168">
        <v>2534.4</v>
      </c>
      <c r="K12" s="151">
        <v>50</v>
      </c>
      <c r="L12" s="151">
        <v>1200</v>
      </c>
      <c r="M12" s="169">
        <f t="shared" si="9"/>
        <v>768</v>
      </c>
      <c r="N12" s="151">
        <v>110</v>
      </c>
      <c r="O12" s="151">
        <v>2640</v>
      </c>
      <c r="P12" s="169">
        <f t="shared" si="10"/>
        <v>1689.6000000000001</v>
      </c>
      <c r="Q12" s="151">
        <v>100</v>
      </c>
      <c r="R12" s="151">
        <v>2400</v>
      </c>
      <c r="S12" s="169">
        <f t="shared" si="11"/>
        <v>1536</v>
      </c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62">
        <f t="shared" si="12"/>
        <v>425</v>
      </c>
      <c r="AP12" s="162">
        <f t="shared" si="13"/>
        <v>10200</v>
      </c>
      <c r="AQ12" s="217">
        <f t="shared" si="14"/>
        <v>6528</v>
      </c>
      <c r="AR12" s="217">
        <f t="shared" si="15"/>
        <v>1305.5999999999999</v>
      </c>
    </row>
    <row r="13" spans="1:45" ht="20.399999999999999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62">
        <f t="shared" ref="AO13:AO14" si="16">E13+H13+K13+N13+Q13</f>
        <v>0</v>
      </c>
      <c r="AP13" s="162">
        <f t="shared" ref="AP13:AP14" si="17">F13+I13+L13+O13+R13</f>
        <v>0</v>
      </c>
      <c r="AQ13" s="217">
        <f t="shared" ref="AQ13:AQ14" si="18">G13+J13+M13+P13+S13</f>
        <v>0</v>
      </c>
      <c r="AR13" s="217">
        <f t="shared" ref="AR13:AR14" si="19">AQ13/5</f>
        <v>0</v>
      </c>
    </row>
    <row r="14" spans="1:45" ht="44.25" customHeight="1">
      <c r="A14" s="151"/>
      <c r="B14" s="151" t="s">
        <v>128</v>
      </c>
      <c r="C14" s="151"/>
      <c r="D14" s="151"/>
      <c r="E14" s="170">
        <f t="shared" ref="E14:AN14" si="20">SUM(E5:E13)</f>
        <v>2250</v>
      </c>
      <c r="F14" s="170">
        <f t="shared" si="20"/>
        <v>31300</v>
      </c>
      <c r="G14" s="170">
        <f t="shared" si="20"/>
        <v>20464</v>
      </c>
      <c r="H14" s="170">
        <f t="shared" si="20"/>
        <v>1631</v>
      </c>
      <c r="I14" s="170">
        <f t="shared" si="20"/>
        <v>23966</v>
      </c>
      <c r="J14" s="170">
        <f t="shared" si="20"/>
        <v>16457.12</v>
      </c>
      <c r="K14" s="170">
        <f t="shared" si="20"/>
        <v>2060</v>
      </c>
      <c r="L14" s="170">
        <f t="shared" si="20"/>
        <v>28720</v>
      </c>
      <c r="M14" s="170">
        <f t="shared" si="20"/>
        <v>19720</v>
      </c>
      <c r="N14" s="170">
        <f t="shared" si="20"/>
        <v>2020</v>
      </c>
      <c r="O14" s="170">
        <f t="shared" si="20"/>
        <v>28780</v>
      </c>
      <c r="P14" s="170">
        <f t="shared" si="20"/>
        <v>19715.199999999997</v>
      </c>
      <c r="Q14" s="170">
        <f t="shared" si="20"/>
        <v>1569</v>
      </c>
      <c r="R14" s="170">
        <f t="shared" si="20"/>
        <v>22568</v>
      </c>
      <c r="S14" s="170">
        <f t="shared" si="20"/>
        <v>15303.2</v>
      </c>
      <c r="T14" s="170">
        <f t="shared" si="20"/>
        <v>0</v>
      </c>
      <c r="U14" s="170">
        <f t="shared" si="20"/>
        <v>0</v>
      </c>
      <c r="V14" s="170">
        <f t="shared" si="20"/>
        <v>0</v>
      </c>
      <c r="W14" s="170">
        <f t="shared" si="20"/>
        <v>0</v>
      </c>
      <c r="X14" s="170">
        <f t="shared" si="20"/>
        <v>0</v>
      </c>
      <c r="Y14" s="170">
        <f t="shared" si="20"/>
        <v>0</v>
      </c>
      <c r="Z14" s="170">
        <f t="shared" si="20"/>
        <v>0</v>
      </c>
      <c r="AA14" s="170">
        <f t="shared" si="20"/>
        <v>0</v>
      </c>
      <c r="AB14" s="170">
        <f t="shared" si="20"/>
        <v>0</v>
      </c>
      <c r="AC14" s="170">
        <f t="shared" si="20"/>
        <v>0</v>
      </c>
      <c r="AD14" s="170">
        <f t="shared" si="20"/>
        <v>0</v>
      </c>
      <c r="AE14" s="170">
        <f t="shared" si="20"/>
        <v>0</v>
      </c>
      <c r="AF14" s="170">
        <f t="shared" si="20"/>
        <v>0</v>
      </c>
      <c r="AG14" s="170">
        <f t="shared" si="20"/>
        <v>0</v>
      </c>
      <c r="AH14" s="170">
        <f t="shared" si="20"/>
        <v>0</v>
      </c>
      <c r="AI14" s="170">
        <f t="shared" si="20"/>
        <v>0</v>
      </c>
      <c r="AJ14" s="170">
        <f t="shared" si="20"/>
        <v>0</v>
      </c>
      <c r="AK14" s="170">
        <f t="shared" si="20"/>
        <v>0</v>
      </c>
      <c r="AL14" s="170">
        <f t="shared" si="20"/>
        <v>0</v>
      </c>
      <c r="AM14" s="170">
        <f t="shared" si="20"/>
        <v>0</v>
      </c>
      <c r="AN14" s="170">
        <f t="shared" si="20"/>
        <v>0</v>
      </c>
      <c r="AO14" s="162">
        <f t="shared" si="16"/>
        <v>9530</v>
      </c>
      <c r="AP14" s="162">
        <f t="shared" si="17"/>
        <v>135334</v>
      </c>
      <c r="AQ14" s="217">
        <f t="shared" si="18"/>
        <v>91659.51999999999</v>
      </c>
      <c r="AR14" s="217">
        <f t="shared" si="19"/>
        <v>18331.903999999999</v>
      </c>
    </row>
    <row r="15" spans="1:45" ht="20.399999999999999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</row>
    <row r="16" spans="1:45" ht="20.399999999999999">
      <c r="A16" s="151">
        <v>109</v>
      </c>
      <c r="B16" s="151" t="s">
        <v>46</v>
      </c>
      <c r="C16" s="151">
        <v>0.7</v>
      </c>
      <c r="D16" s="151" t="s">
        <v>15</v>
      </c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</row>
    <row r="17" spans="1:40" ht="20.399999999999999">
      <c r="A17" s="151">
        <v>110</v>
      </c>
      <c r="B17" s="151" t="s">
        <v>47</v>
      </c>
      <c r="C17" s="151">
        <v>0.35</v>
      </c>
      <c r="D17" s="151" t="s">
        <v>18</v>
      </c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</row>
    <row r="18" spans="1:40" ht="20.399999999999999">
      <c r="A18" s="151">
        <v>111</v>
      </c>
      <c r="B18" s="151" t="s">
        <v>48</v>
      </c>
      <c r="C18" s="151">
        <v>0.17499999999999999</v>
      </c>
      <c r="D18" s="151" t="s">
        <v>49</v>
      </c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</row>
    <row r="19" spans="1:40" ht="20.399999999999999">
      <c r="A19" s="151">
        <v>112</v>
      </c>
      <c r="B19" s="151" t="s">
        <v>50</v>
      </c>
      <c r="C19" s="151">
        <v>0.7</v>
      </c>
      <c r="D19" s="151" t="s">
        <v>15</v>
      </c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</row>
    <row r="20" spans="1:40" ht="20.399999999999999">
      <c r="A20" s="151">
        <v>113</v>
      </c>
      <c r="B20" s="151" t="s">
        <v>51</v>
      </c>
      <c r="C20" s="151">
        <v>0.35</v>
      </c>
      <c r="D20" s="151" t="s">
        <v>18</v>
      </c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</row>
    <row r="21" spans="1:40" ht="20.399999999999999">
      <c r="A21" s="151">
        <v>114</v>
      </c>
      <c r="B21" s="151" t="s">
        <v>52</v>
      </c>
      <c r="C21" s="151">
        <v>0.17499999999999999</v>
      </c>
      <c r="D21" s="151" t="s">
        <v>49</v>
      </c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</row>
    <row r="22" spans="1:40" ht="20.399999999999999">
      <c r="A22" s="151">
        <v>115</v>
      </c>
      <c r="B22" s="151" t="s">
        <v>53</v>
      </c>
      <c r="C22" s="151">
        <v>0.7</v>
      </c>
      <c r="D22" s="151" t="s">
        <v>15</v>
      </c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</row>
    <row r="23" spans="1:40" ht="20.399999999999999">
      <c r="A23" s="151">
        <v>116</v>
      </c>
      <c r="B23" s="151" t="s">
        <v>54</v>
      </c>
      <c r="C23" s="151">
        <v>0.7</v>
      </c>
      <c r="D23" s="151" t="s">
        <v>15</v>
      </c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</row>
    <row r="24" spans="1:40" ht="20.399999999999999">
      <c r="A24" s="151">
        <v>117</v>
      </c>
      <c r="B24" s="151" t="s">
        <v>55</v>
      </c>
      <c r="C24" s="151">
        <v>0.35</v>
      </c>
      <c r="D24" s="151" t="s">
        <v>18</v>
      </c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</row>
    <row r="25" spans="1:40" ht="20.399999999999999">
      <c r="A25" s="151">
        <v>118</v>
      </c>
      <c r="B25" s="151" t="s">
        <v>56</v>
      </c>
      <c r="C25" s="151">
        <v>0.7</v>
      </c>
      <c r="D25" s="151" t="s">
        <v>15</v>
      </c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</row>
    <row r="26" spans="1:40" ht="20.399999999999999">
      <c r="A26" s="151">
        <v>119</v>
      </c>
      <c r="B26" s="151" t="s">
        <v>57</v>
      </c>
      <c r="C26" s="151">
        <v>0.35</v>
      </c>
      <c r="D26" s="151" t="s">
        <v>18</v>
      </c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</row>
    <row r="27" spans="1:40" ht="20.399999999999999">
      <c r="A27" s="151">
        <v>120</v>
      </c>
      <c r="B27" s="151" t="s">
        <v>58</v>
      </c>
      <c r="C27" s="151">
        <v>0.7</v>
      </c>
      <c r="D27" s="151" t="s">
        <v>129</v>
      </c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</row>
    <row r="28" spans="1:40" ht="32.25" customHeight="1">
      <c r="A28" s="151"/>
      <c r="B28" s="151" t="s">
        <v>128</v>
      </c>
      <c r="C28" s="151"/>
      <c r="D28" s="15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</row>
    <row r="29" spans="1:40" ht="33" customHeight="1">
      <c r="A29" s="151"/>
      <c r="B29" s="151" t="s">
        <v>61</v>
      </c>
      <c r="C29" s="151"/>
      <c r="D29" s="151"/>
      <c r="E29" s="172">
        <f>E14+E28</f>
        <v>2250</v>
      </c>
      <c r="F29" s="172">
        <f t="shared" ref="F29:AN29" si="21">F14+F28</f>
        <v>31300</v>
      </c>
      <c r="G29" s="172">
        <f t="shared" si="21"/>
        <v>20464</v>
      </c>
      <c r="H29" s="172">
        <f t="shared" si="21"/>
        <v>1631</v>
      </c>
      <c r="I29" s="172">
        <f t="shared" si="21"/>
        <v>23966</v>
      </c>
      <c r="J29" s="172">
        <f t="shared" si="21"/>
        <v>16457.12</v>
      </c>
      <c r="K29" s="172">
        <f t="shared" si="21"/>
        <v>2060</v>
      </c>
      <c r="L29" s="172">
        <f t="shared" si="21"/>
        <v>28720</v>
      </c>
      <c r="M29" s="172">
        <f t="shared" si="21"/>
        <v>19720</v>
      </c>
      <c r="N29" s="172">
        <f t="shared" si="21"/>
        <v>2020</v>
      </c>
      <c r="O29" s="172">
        <f t="shared" si="21"/>
        <v>28780</v>
      </c>
      <c r="P29" s="172">
        <f t="shared" si="21"/>
        <v>19715.199999999997</v>
      </c>
      <c r="Q29" s="172">
        <f t="shared" si="21"/>
        <v>1569</v>
      </c>
      <c r="R29" s="172">
        <f t="shared" si="21"/>
        <v>22568</v>
      </c>
      <c r="S29" s="172">
        <f t="shared" si="21"/>
        <v>15303.2</v>
      </c>
      <c r="T29" s="172">
        <f t="shared" si="21"/>
        <v>0</v>
      </c>
      <c r="U29" s="172">
        <f t="shared" si="21"/>
        <v>0</v>
      </c>
      <c r="V29" s="172">
        <f t="shared" si="21"/>
        <v>0</v>
      </c>
      <c r="W29" s="172">
        <f t="shared" si="21"/>
        <v>0</v>
      </c>
      <c r="X29" s="172">
        <f t="shared" si="21"/>
        <v>0</v>
      </c>
      <c r="Y29" s="172">
        <f t="shared" si="21"/>
        <v>0</v>
      </c>
      <c r="Z29" s="172">
        <f t="shared" si="21"/>
        <v>0</v>
      </c>
      <c r="AA29" s="172">
        <f t="shared" si="21"/>
        <v>0</v>
      </c>
      <c r="AB29" s="172">
        <f t="shared" si="21"/>
        <v>0</v>
      </c>
      <c r="AC29" s="172">
        <f t="shared" si="21"/>
        <v>0</v>
      </c>
      <c r="AD29" s="172">
        <f t="shared" si="21"/>
        <v>0</v>
      </c>
      <c r="AE29" s="172">
        <f t="shared" si="21"/>
        <v>0</v>
      </c>
      <c r="AF29" s="172">
        <f t="shared" si="21"/>
        <v>0</v>
      </c>
      <c r="AG29" s="172">
        <f t="shared" si="21"/>
        <v>0</v>
      </c>
      <c r="AH29" s="172">
        <f t="shared" si="21"/>
        <v>0</v>
      </c>
      <c r="AI29" s="172">
        <f t="shared" si="21"/>
        <v>0</v>
      </c>
      <c r="AJ29" s="172">
        <f t="shared" si="21"/>
        <v>0</v>
      </c>
      <c r="AK29" s="172">
        <f t="shared" si="21"/>
        <v>0</v>
      </c>
      <c r="AL29" s="172">
        <f t="shared" si="21"/>
        <v>0</v>
      </c>
      <c r="AM29" s="172">
        <f t="shared" si="21"/>
        <v>0</v>
      </c>
      <c r="AN29" s="172">
        <f t="shared" si="21"/>
        <v>0</v>
      </c>
    </row>
    <row r="30" spans="1:40" ht="31.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</row>
  </sheetData>
  <autoFilter ref="A4:AS14" xr:uid="{647C10FB-6EE6-45A0-9B59-910A3D1624AB}"/>
  <mergeCells count="17">
    <mergeCell ref="AC3:AE3"/>
    <mergeCell ref="AF3:AH3"/>
    <mergeCell ref="AI3:AK3"/>
    <mergeCell ref="AL3:AN3"/>
    <mergeCell ref="AO3:AQ3"/>
    <mergeCell ref="Z3:AB3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7-MTL</vt:lpstr>
      <vt:lpstr>Business Summary</vt:lpstr>
      <vt:lpstr>Ws Semi Ws </vt:lpstr>
      <vt:lpstr>Final MTL SKU Wise</vt:lpstr>
      <vt:lpstr>MTL Individual</vt:lpstr>
      <vt:lpstr>MTL SKU Analysis</vt:lpstr>
      <vt:lpstr>Township wise Analysis</vt:lpstr>
      <vt:lpstr>Final Town SKU wise Analysis</vt:lpstr>
      <vt:lpstr>Outlet Summary</vt:lpstr>
      <vt:lpstr>Outlet List </vt:lpstr>
      <vt:lpstr>Way Plan</vt:lpstr>
      <vt:lpstr>3-Van Wise SKU</vt:lpstr>
      <vt:lpstr>Competition Information</vt:lpstr>
      <vt:lpstr>Top 3 or 4 brands in Township</vt:lpstr>
      <vt:lpstr>Meiktila</vt:lpstr>
      <vt:lpstr>Tharzi</vt:lpstr>
      <vt:lpstr>Pyawbwe</vt:lpstr>
      <vt:lpstr>Wantwin</vt:lpstr>
      <vt:lpstr>Mahlaing</vt:lpstr>
      <vt:lpstr>Yamethin</vt:lpstr>
      <vt:lpstr>Kyaukpandaung</vt:lpstr>
      <vt:lpstr>Taungthar</vt:lpstr>
      <vt:lpstr>Myingan</vt:lpstr>
      <vt:lpstr>Bagan</vt:lpstr>
      <vt:lpstr>Pakokku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Hp15s</cp:lastModifiedBy>
  <cp:lastPrinted>2025-03-18T08:35:24Z</cp:lastPrinted>
  <dcterms:created xsi:type="dcterms:W3CDTF">2025-03-12T04:24:51Z</dcterms:created>
  <dcterms:modified xsi:type="dcterms:W3CDTF">2026-03-09T09:34:24Z</dcterms:modified>
</cp:coreProperties>
</file>